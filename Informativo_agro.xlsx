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5a5074aead9b8fe/Estagio - Araguaia/Informativo/"/>
    </mc:Choice>
  </mc:AlternateContent>
  <xr:revisionPtr revIDLastSave="64" documentId="11_9598B208F8D099C2FF7FAC81A54F4EE0292C3009" xr6:coauthVersionLast="47" xr6:coauthVersionMax="47" xr10:uidLastSave="{6C13B9D0-67C3-41AC-B3AB-B0CB4927012F}"/>
  <bookViews>
    <workbookView xWindow="-108" yWindow="-108" windowWidth="23256" windowHeight="12456" activeTab="1" xr2:uid="{00000000-000D-0000-FFFF-FFFF00000000}"/>
  </bookViews>
  <sheets>
    <sheet name="Informativo" sheetId="1" r:id="rId1"/>
    <sheet name="Histórico" sheetId="2" r:id="rId2"/>
    <sheet name="Fontes e guia" sheetId="3" r:id="rId3"/>
    <sheet name="Séries" sheetId="4" r:id="rId4"/>
    <sheet name="Novas cotações" sheetId="5" r:id="rId9"/>
  </sheets>
  <definedNames>
    <definedName name="_xlnm.Print_Area" localSheetId="0">Informativo!$A$1:$J$52</definedName>
    <definedName name="BoiDatas">OFFSET(Séries!$K$7,30-MAX(1,MIN(30,Informativo!$J$9)),0,MAX(1,MIN(30,Informativo!$J$9)),1)</definedName>
    <definedName name="BoiPrecos">OFFSET(Séries!$J$7,30-MAX(1,MIN(30,Informativo!$J$9)),0,MAX(1,MIN(30,Informativo!$J$9)),1)</definedName>
    <definedName name="DolarDatas">OFFSET(Séries!$O$7,30-MAX(1,MIN(30,Informativo!$J$10)),0,MAX(1,MIN(30,Informativo!$J$10)),1)</definedName>
    <definedName name="DolarPrecos">OFFSET(Séries!$N$7,30-MAX(1,MIN(30,Informativo!$J$10)),0,MAX(1,MIN(30,Informativo!$J$10)),1)</definedName>
    <definedName name="MilhoDatas">OFFSET(Séries!$G$7,30-MAX(1,MIN(30,Informativo!$J$8)),0,MAX(1,MIN(30,Informativo!$J$8)),1)</definedName>
    <definedName name="MilhoPrecos">OFFSET(Séries!$F$7,30-MAX(1,MIN(30,Informativo!$J$8)),0,MAX(1,MIN(30,Informativo!$J$8)),1)</definedName>
    <definedName name="SojaDatas">OFFSET(Séries!$C$7,30-MAX(1,MIN(30,Informativo!$J$7)),0,MAX(1,MIN(30,Informativo!$J$7)),1)</definedName>
    <definedName name="SojaPrecos">OFFSET(Séries!$B$7,30-MAX(1,MIN(30,Informativo!$J$7)),0,MAX(1,MIN(30,Informativo!$J$7)),1)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4" l="1"/>
  <c r="T14" i="4"/>
  <c r="S14" i="4"/>
  <c r="R14" i="4"/>
  <c r="Q14" i="4"/>
  <c r="U13" i="4"/>
  <c r="K14" i="2" s="1"/>
  <c r="T13" i="4"/>
  <c r="I14" i="2" s="1"/>
  <c r="S13" i="4"/>
  <c r="H14" i="2" s="1"/>
  <c r="R13" i="4"/>
  <c r="G14" i="2" s="1"/>
  <c r="Q13" i="4"/>
  <c r="F14" i="2" s="1"/>
  <c r="U12" i="4"/>
  <c r="K13" i="2" s="1"/>
  <c r="T12" i="4"/>
  <c r="I13" i="2" s="1"/>
  <c r="S12" i="4"/>
  <c r="H13" i="2" s="1"/>
  <c r="R12" i="4"/>
  <c r="G13" i="2" s="1"/>
  <c r="Q12" i="4"/>
  <c r="F13" i="2" s="1"/>
  <c r="U11" i="4"/>
  <c r="K12" i="2" s="1"/>
  <c r="T11" i="4"/>
  <c r="I12" i="2" s="1"/>
  <c r="S11" i="4"/>
  <c r="H12" i="2" s="1"/>
  <c r="R11" i="4"/>
  <c r="G12" i="2" s="1"/>
  <c r="Q11" i="4"/>
  <c r="F12" i="2" s="1"/>
  <c r="U10" i="4"/>
  <c r="K11" i="2" s="1"/>
  <c r="T10" i="4"/>
  <c r="I11" i="2" s="1"/>
  <c r="S10" i="4"/>
  <c r="H11" i="2" s="1"/>
  <c r="R10" i="4"/>
  <c r="G11" i="2" s="1"/>
  <c r="Q10" i="4"/>
  <c r="F11" i="2" s="1"/>
  <c r="U9" i="4"/>
  <c r="K10" i="2" s="1"/>
  <c r="T9" i="4"/>
  <c r="I10" i="2" s="1"/>
  <c r="S9" i="4"/>
  <c r="H10" i="2" s="1"/>
  <c r="R9" i="4"/>
  <c r="G10" i="2" s="1"/>
  <c r="Q9" i="4"/>
  <c r="F10" i="2" s="1"/>
  <c r="U8" i="4"/>
  <c r="K9" i="2" s="1"/>
  <c r="T8" i="4"/>
  <c r="I9" i="2" s="1"/>
  <c r="S8" i="4"/>
  <c r="H9" i="2" s="1"/>
  <c r="R8" i="4"/>
  <c r="G9" i="2" s="1"/>
  <c r="Q8" i="4"/>
  <c r="F9" i="2" s="1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8" i="2"/>
  <c r="I8" i="2"/>
  <c r="H8" i="2"/>
  <c r="G8" i="2"/>
  <c r="F8" i="2"/>
  <c r="J10" i="1"/>
  <c r="C10" i="1" s="1"/>
  <c r="M36" i="4" s="1"/>
  <c r="J9" i="1"/>
  <c r="C9" i="1" s="1"/>
  <c r="I36" i="4" s="1"/>
  <c r="J8" i="1"/>
  <c r="C8" i="1" s="1"/>
  <c r="J7" i="1"/>
  <c r="C7" i="1" s="1"/>
  <c r="U15" i="4" l="1"/>
  <c r="K15" i="2"/>
  <c r="E36" i="4"/>
  <c r="A36" i="4"/>
  <c r="T15" i="4"/>
  <c r="I15" i="2"/>
  <c r="S15" i="4"/>
  <c r="H15" i="2"/>
  <c r="R15" i="4"/>
  <c r="G15" i="2"/>
  <c r="Q15" i="4"/>
  <c r="F15" i="2"/>
  <c r="N36" i="4"/>
  <c r="O36" i="4"/>
  <c r="M35" i="4"/>
  <c r="E10" i="1"/>
  <c r="F10" i="1" s="1"/>
  <c r="D10" i="1"/>
  <c r="I10" i="1" s="1"/>
  <c r="J36" i="4"/>
  <c r="K36" i="4"/>
  <c r="I35" i="4"/>
  <c r="E9" i="1"/>
  <c r="F9" i="1" s="1"/>
  <c r="D9" i="1"/>
  <c r="I9" i="1" s="1"/>
  <c r="E8" i="1"/>
  <c r="F8" i="1" s="1"/>
  <c r="D8" i="1"/>
  <c r="I8" i="1" s="1"/>
  <c r="E7" i="1"/>
  <c r="F7" i="1" s="1"/>
  <c r="D7" i="1"/>
  <c r="I7" i="1" s="1"/>
  <c r="K16" i="2" l="1"/>
  <c r="U16" i="4"/>
  <c r="F36" i="4"/>
  <c r="G36" i="4"/>
  <c r="E35" i="4"/>
  <c r="B36" i="4"/>
  <c r="C36" i="4"/>
  <c r="A35" i="4"/>
  <c r="I16" i="2"/>
  <c r="T16" i="4"/>
  <c r="S16" i="4"/>
  <c r="H16" i="2"/>
  <c r="R16" i="4"/>
  <c r="G16" i="2"/>
  <c r="Q16" i="4"/>
  <c r="F16" i="2"/>
  <c r="N35" i="4"/>
  <c r="O35" i="4"/>
  <c r="M34" i="4"/>
  <c r="G10" i="1"/>
  <c r="H10" i="1"/>
  <c r="J35" i="4"/>
  <c r="K35" i="4"/>
  <c r="I34" i="4"/>
  <c r="G9" i="1"/>
  <c r="H9" i="1"/>
  <c r="G8" i="1"/>
  <c r="H8" i="1"/>
  <c r="G7" i="1"/>
  <c r="H7" i="1"/>
  <c r="K17" i="2" l="1"/>
  <c r="U17" i="4"/>
  <c r="F35" i="4"/>
  <c r="G35" i="4"/>
  <c r="E34" i="4"/>
  <c r="B35" i="4"/>
  <c r="C35" i="4"/>
  <c r="A34" i="4"/>
  <c r="T17" i="4"/>
  <c r="I17" i="2"/>
  <c r="S17" i="4"/>
  <c r="H17" i="2"/>
  <c r="R17" i="4"/>
  <c r="G17" i="2"/>
  <c r="Q17" i="4"/>
  <c r="F17" i="2"/>
  <c r="N34" i="4"/>
  <c r="O34" i="4"/>
  <c r="M33" i="4"/>
  <c r="J34" i="4"/>
  <c r="K34" i="4"/>
  <c r="I33" i="4"/>
  <c r="K18" i="2" l="1"/>
  <c r="U18" i="4"/>
  <c r="F34" i="4"/>
  <c r="G34" i="4"/>
  <c r="E33" i="4"/>
  <c r="B34" i="4"/>
  <c r="C34" i="4"/>
  <c r="A33" i="4"/>
  <c r="T18" i="4"/>
  <c r="I18" i="2"/>
  <c r="S18" i="4"/>
  <c r="H18" i="2"/>
  <c r="R18" i="4"/>
  <c r="G18" i="2"/>
  <c r="Q18" i="4"/>
  <c r="F18" i="2"/>
  <c r="N33" i="4"/>
  <c r="O33" i="4"/>
  <c r="M32" i="4"/>
  <c r="J33" i="4"/>
  <c r="K33" i="4"/>
  <c r="I32" i="4"/>
  <c r="U19" i="4" l="1"/>
  <c r="K19" i="2"/>
  <c r="F33" i="4"/>
  <c r="G33" i="4"/>
  <c r="E32" i="4"/>
  <c r="B33" i="4"/>
  <c r="C33" i="4"/>
  <c r="A32" i="4"/>
  <c r="I19" i="2"/>
  <c r="T19" i="4"/>
  <c r="S19" i="4"/>
  <c r="H19" i="2"/>
  <c r="G19" i="2"/>
  <c r="R19" i="4"/>
  <c r="Q19" i="4"/>
  <c r="F19" i="2"/>
  <c r="N32" i="4"/>
  <c r="O32" i="4"/>
  <c r="M31" i="4"/>
  <c r="J32" i="4"/>
  <c r="K32" i="4"/>
  <c r="I31" i="4"/>
  <c r="K20" i="2" l="1"/>
  <c r="U20" i="4"/>
  <c r="F32" i="4"/>
  <c r="G32" i="4"/>
  <c r="E31" i="4"/>
  <c r="B32" i="4"/>
  <c r="C32" i="4"/>
  <c r="A31" i="4"/>
  <c r="T20" i="4"/>
  <c r="I20" i="2"/>
  <c r="H20" i="2"/>
  <c r="S20" i="4"/>
  <c r="R20" i="4"/>
  <c r="G20" i="2"/>
  <c r="F20" i="2"/>
  <c r="Q20" i="4"/>
  <c r="N31" i="4"/>
  <c r="O31" i="4"/>
  <c r="M30" i="4"/>
  <c r="J31" i="4"/>
  <c r="K31" i="4"/>
  <c r="I30" i="4"/>
  <c r="K21" i="2" l="1"/>
  <c r="U21" i="4"/>
  <c r="F31" i="4"/>
  <c r="G31" i="4"/>
  <c r="E30" i="4"/>
  <c r="B31" i="4"/>
  <c r="C31" i="4"/>
  <c r="A30" i="4"/>
  <c r="T21" i="4"/>
  <c r="I21" i="2"/>
  <c r="S21" i="4"/>
  <c r="H21" i="2"/>
  <c r="R21" i="4"/>
  <c r="G21" i="2"/>
  <c r="Q21" i="4"/>
  <c r="F21" i="2"/>
  <c r="N30" i="4"/>
  <c r="O30" i="4"/>
  <c r="M29" i="4"/>
  <c r="J30" i="4"/>
  <c r="K30" i="4"/>
  <c r="I29" i="4"/>
  <c r="K22" i="2" l="1"/>
  <c r="U22" i="4"/>
  <c r="F30" i="4"/>
  <c r="G30" i="4"/>
  <c r="E29" i="4"/>
  <c r="B30" i="4"/>
  <c r="C30" i="4"/>
  <c r="A29" i="4"/>
  <c r="T22" i="4"/>
  <c r="I22" i="2"/>
  <c r="S22" i="4"/>
  <c r="H22" i="2"/>
  <c r="R22" i="4"/>
  <c r="G22" i="2"/>
  <c r="Q22" i="4"/>
  <c r="F22" i="2"/>
  <c r="N29" i="4"/>
  <c r="O29" i="4"/>
  <c r="M28" i="4"/>
  <c r="J29" i="4"/>
  <c r="K29" i="4"/>
  <c r="I28" i="4"/>
  <c r="K23" i="2" l="1"/>
  <c r="U23" i="4"/>
  <c r="E28" i="4"/>
  <c r="F29" i="4"/>
  <c r="G29" i="4"/>
  <c r="A28" i="4"/>
  <c r="B29" i="4"/>
  <c r="C29" i="4"/>
  <c r="T23" i="4"/>
  <c r="I23" i="2"/>
  <c r="S23" i="4"/>
  <c r="H23" i="2"/>
  <c r="R23" i="4"/>
  <c r="G23" i="2"/>
  <c r="Q23" i="4"/>
  <c r="F23" i="2"/>
  <c r="N28" i="4"/>
  <c r="O28" i="4"/>
  <c r="M27" i="4"/>
  <c r="J28" i="4"/>
  <c r="K28" i="4"/>
  <c r="I27" i="4"/>
  <c r="K24" i="2" l="1"/>
  <c r="U24" i="4"/>
  <c r="G28" i="4"/>
  <c r="F28" i="4"/>
  <c r="E27" i="4"/>
  <c r="C28" i="4"/>
  <c r="B28" i="4"/>
  <c r="A27" i="4"/>
  <c r="T24" i="4"/>
  <c r="I24" i="2"/>
  <c r="S24" i="4"/>
  <c r="H24" i="2"/>
  <c r="R24" i="4"/>
  <c r="G24" i="2"/>
  <c r="Q24" i="4"/>
  <c r="F24" i="2"/>
  <c r="N27" i="4"/>
  <c r="O27" i="4"/>
  <c r="M26" i="4"/>
  <c r="J27" i="4"/>
  <c r="K27" i="4"/>
  <c r="I26" i="4"/>
  <c r="K25" i="2" l="1"/>
  <c r="U25" i="4"/>
  <c r="B27" i="4"/>
  <c r="C27" i="4"/>
  <c r="A26" i="4"/>
  <c r="E26" i="4"/>
  <c r="F27" i="4"/>
  <c r="G27" i="4"/>
  <c r="T25" i="4"/>
  <c r="I25" i="2"/>
  <c r="S25" i="4"/>
  <c r="H25" i="2"/>
  <c r="R25" i="4"/>
  <c r="G25" i="2"/>
  <c r="Q25" i="4"/>
  <c r="F25" i="2"/>
  <c r="N26" i="4"/>
  <c r="O26" i="4"/>
  <c r="M25" i="4"/>
  <c r="J26" i="4"/>
  <c r="K26" i="4"/>
  <c r="I25" i="4"/>
  <c r="K26" i="2" l="1"/>
  <c r="A14" i="1" s="1"/>
  <c r="U26" i="4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U246" i="4" s="1"/>
  <c r="U247" i="4" s="1"/>
  <c r="U248" i="4" s="1"/>
  <c r="U249" i="4" s="1"/>
  <c r="U250" i="4" s="1"/>
  <c r="U251" i="4" s="1"/>
  <c r="U252" i="4" s="1"/>
  <c r="U253" i="4" s="1"/>
  <c r="U254" i="4" s="1"/>
  <c r="U255" i="4" s="1"/>
  <c r="U256" i="4" s="1"/>
  <c r="U257" i="4" s="1"/>
  <c r="U258" i="4" s="1"/>
  <c r="U259" i="4" s="1"/>
  <c r="U260" i="4" s="1"/>
  <c r="U261" i="4" s="1"/>
  <c r="U262" i="4" s="1"/>
  <c r="U263" i="4" s="1"/>
  <c r="U264" i="4" s="1"/>
  <c r="U265" i="4" s="1"/>
  <c r="U266" i="4" s="1"/>
  <c r="U267" i="4" s="1"/>
  <c r="U268" i="4" s="1"/>
  <c r="U269" i="4" s="1"/>
  <c r="U270" i="4" s="1"/>
  <c r="U271" i="4" s="1"/>
  <c r="U272" i="4" s="1"/>
  <c r="U273" i="4" s="1"/>
  <c r="U274" i="4" s="1"/>
  <c r="U275" i="4" s="1"/>
  <c r="U276" i="4" s="1"/>
  <c r="U277" i="4" s="1"/>
  <c r="U278" i="4" s="1"/>
  <c r="U279" i="4" s="1"/>
  <c r="U280" i="4" s="1"/>
  <c r="U281" i="4" s="1"/>
  <c r="U282" i="4" s="1"/>
  <c r="U283" i="4" s="1"/>
  <c r="U284" i="4" s="1"/>
  <c r="U285" i="4" s="1"/>
  <c r="U286" i="4" s="1"/>
  <c r="U287" i="4" s="1"/>
  <c r="U288" i="4" s="1"/>
  <c r="U289" i="4" s="1"/>
  <c r="U290" i="4" s="1"/>
  <c r="U291" i="4" s="1"/>
  <c r="U292" i="4" s="1"/>
  <c r="U293" i="4" s="1"/>
  <c r="U294" i="4" s="1"/>
  <c r="U295" i="4" s="1"/>
  <c r="U296" i="4" s="1"/>
  <c r="U297" i="4" s="1"/>
  <c r="U298" i="4" s="1"/>
  <c r="U299" i="4" s="1"/>
  <c r="U300" i="4" s="1"/>
  <c r="U301" i="4" s="1"/>
  <c r="U302" i="4" s="1"/>
  <c r="U303" i="4" s="1"/>
  <c r="U304" i="4" s="1"/>
  <c r="U305" i="4" s="1"/>
  <c r="U306" i="4" s="1"/>
  <c r="U307" i="4" s="1"/>
  <c r="U308" i="4" s="1"/>
  <c r="U309" i="4" s="1"/>
  <c r="U310" i="4" s="1"/>
  <c r="U311" i="4" s="1"/>
  <c r="U312" i="4" s="1"/>
  <c r="U313" i="4" s="1"/>
  <c r="U314" i="4" s="1"/>
  <c r="U315" i="4" s="1"/>
  <c r="U316" i="4" s="1"/>
  <c r="U317" i="4" s="1"/>
  <c r="U318" i="4" s="1"/>
  <c r="U319" i="4" s="1"/>
  <c r="U320" i="4" s="1"/>
  <c r="U321" i="4" s="1"/>
  <c r="U322" i="4" s="1"/>
  <c r="U323" i="4" s="1"/>
  <c r="U324" i="4" s="1"/>
  <c r="U325" i="4" s="1"/>
  <c r="U326" i="4" s="1"/>
  <c r="U327" i="4" s="1"/>
  <c r="U328" i="4" s="1"/>
  <c r="U329" i="4" s="1"/>
  <c r="U330" i="4" s="1"/>
  <c r="U331" i="4" s="1"/>
  <c r="U332" i="4" s="1"/>
  <c r="U333" i="4" s="1"/>
  <c r="U334" i="4" s="1"/>
  <c r="U335" i="4" s="1"/>
  <c r="U336" i="4" s="1"/>
  <c r="U337" i="4" s="1"/>
  <c r="U338" i="4" s="1"/>
  <c r="U339" i="4" s="1"/>
  <c r="U340" i="4" s="1"/>
  <c r="U341" i="4" s="1"/>
  <c r="U342" i="4" s="1"/>
  <c r="U343" i="4" s="1"/>
  <c r="U344" i="4" s="1"/>
  <c r="U345" i="4" s="1"/>
  <c r="U346" i="4" s="1"/>
  <c r="U347" i="4" s="1"/>
  <c r="U348" i="4" s="1"/>
  <c r="U349" i="4" s="1"/>
  <c r="U350" i="4" s="1"/>
  <c r="U351" i="4" s="1"/>
  <c r="U352" i="4" s="1"/>
  <c r="U353" i="4" s="1"/>
  <c r="U354" i="4" s="1"/>
  <c r="U355" i="4" s="1"/>
  <c r="U356" i="4" s="1"/>
  <c r="U357" i="4" s="1"/>
  <c r="U358" i="4" s="1"/>
  <c r="U359" i="4" s="1"/>
  <c r="U360" i="4" s="1"/>
  <c r="U361" i="4" s="1"/>
  <c r="U362" i="4" s="1"/>
  <c r="U363" i="4" s="1"/>
  <c r="U364" i="4" s="1"/>
  <c r="U365" i="4" s="1"/>
  <c r="U366" i="4" s="1"/>
  <c r="U367" i="4" s="1"/>
  <c r="U368" i="4" s="1"/>
  <c r="U369" i="4" s="1"/>
  <c r="U370" i="4" s="1"/>
  <c r="U371" i="4" s="1"/>
  <c r="U372" i="4" s="1"/>
  <c r="U373" i="4" s="1"/>
  <c r="U374" i="4" s="1"/>
  <c r="U375" i="4" s="1"/>
  <c r="U376" i="4" s="1"/>
  <c r="U377" i="4" s="1"/>
  <c r="U378" i="4" s="1"/>
  <c r="U379" i="4" s="1"/>
  <c r="U380" i="4" s="1"/>
  <c r="U381" i="4" s="1"/>
  <c r="U382" i="4" s="1"/>
  <c r="U383" i="4" s="1"/>
  <c r="U384" i="4" s="1"/>
  <c r="U385" i="4" s="1"/>
  <c r="U386" i="4" s="1"/>
  <c r="U387" i="4" s="1"/>
  <c r="U388" i="4" s="1"/>
  <c r="U389" i="4" s="1"/>
  <c r="U390" i="4" s="1"/>
  <c r="U391" i="4" s="1"/>
  <c r="U392" i="4" s="1"/>
  <c r="U393" i="4" s="1"/>
  <c r="U394" i="4" s="1"/>
  <c r="U395" i="4" s="1"/>
  <c r="U396" i="4" s="1"/>
  <c r="U397" i="4" s="1"/>
  <c r="U398" i="4" s="1"/>
  <c r="U399" i="4" s="1"/>
  <c r="U400" i="4" s="1"/>
  <c r="U401" i="4" s="1"/>
  <c r="U402" i="4" s="1"/>
  <c r="U403" i="4" s="1"/>
  <c r="U404" i="4" s="1"/>
  <c r="U405" i="4" s="1"/>
  <c r="U406" i="4" s="1"/>
  <c r="U407" i="4" s="1"/>
  <c r="U408" i="4" s="1"/>
  <c r="U409" i="4" s="1"/>
  <c r="U410" i="4" s="1"/>
  <c r="U411" i="4" s="1"/>
  <c r="U412" i="4" s="1"/>
  <c r="U413" i="4" s="1"/>
  <c r="U414" i="4" s="1"/>
  <c r="U415" i="4" s="1"/>
  <c r="U416" i="4" s="1"/>
  <c r="U417" i="4" s="1"/>
  <c r="U418" i="4" s="1"/>
  <c r="U419" i="4" s="1"/>
  <c r="U420" i="4" s="1"/>
  <c r="U421" i="4" s="1"/>
  <c r="U422" i="4" s="1"/>
  <c r="U423" i="4" s="1"/>
  <c r="U424" i="4" s="1"/>
  <c r="U425" i="4" s="1"/>
  <c r="U426" i="4" s="1"/>
  <c r="U427" i="4" s="1"/>
  <c r="U428" i="4" s="1"/>
  <c r="U429" i="4" s="1"/>
  <c r="U430" i="4" s="1"/>
  <c r="U431" i="4" s="1"/>
  <c r="U432" i="4" s="1"/>
  <c r="U433" i="4" s="1"/>
  <c r="U434" i="4" s="1"/>
  <c r="U435" i="4" s="1"/>
  <c r="U436" i="4" s="1"/>
  <c r="U437" i="4" s="1"/>
  <c r="U438" i="4" s="1"/>
  <c r="U439" i="4" s="1"/>
  <c r="U440" i="4" s="1"/>
  <c r="U441" i="4" s="1"/>
  <c r="U442" i="4" s="1"/>
  <c r="U443" i="4" s="1"/>
  <c r="U444" i="4" s="1"/>
  <c r="U445" i="4" s="1"/>
  <c r="U446" i="4" s="1"/>
  <c r="U447" i="4" s="1"/>
  <c r="U448" i="4" s="1"/>
  <c r="U449" i="4" s="1"/>
  <c r="U450" i="4" s="1"/>
  <c r="U451" i="4" s="1"/>
  <c r="U452" i="4" s="1"/>
  <c r="U453" i="4" s="1"/>
  <c r="U454" i="4" s="1"/>
  <c r="U455" i="4" s="1"/>
  <c r="U456" i="4" s="1"/>
  <c r="U457" i="4" s="1"/>
  <c r="U458" i="4" s="1"/>
  <c r="U459" i="4" s="1"/>
  <c r="U460" i="4" s="1"/>
  <c r="U461" i="4" s="1"/>
  <c r="U462" i="4" s="1"/>
  <c r="U463" i="4" s="1"/>
  <c r="U464" i="4" s="1"/>
  <c r="U465" i="4" s="1"/>
  <c r="U466" i="4" s="1"/>
  <c r="U467" i="4" s="1"/>
  <c r="U468" i="4" s="1"/>
  <c r="U469" i="4" s="1"/>
  <c r="U470" i="4" s="1"/>
  <c r="U471" i="4" s="1"/>
  <c r="U472" i="4" s="1"/>
  <c r="U473" i="4" s="1"/>
  <c r="U474" i="4" s="1"/>
  <c r="U475" i="4" s="1"/>
  <c r="U476" i="4" s="1"/>
  <c r="U477" i="4" s="1"/>
  <c r="U478" i="4" s="1"/>
  <c r="U479" i="4" s="1"/>
  <c r="U480" i="4" s="1"/>
  <c r="U481" i="4" s="1"/>
  <c r="U482" i="4" s="1"/>
  <c r="U483" i="4" s="1"/>
  <c r="U484" i="4" s="1"/>
  <c r="U485" i="4" s="1"/>
  <c r="U486" i="4" s="1"/>
  <c r="U487" i="4" s="1"/>
  <c r="U488" i="4" s="1"/>
  <c r="U489" i="4" s="1"/>
  <c r="U490" i="4" s="1"/>
  <c r="U491" i="4" s="1"/>
  <c r="U492" i="4" s="1"/>
  <c r="U493" i="4" s="1"/>
  <c r="U494" i="4" s="1"/>
  <c r="U495" i="4" s="1"/>
  <c r="U496" i="4" s="1"/>
  <c r="U497" i="4" s="1"/>
  <c r="U498" i="4" s="1"/>
  <c r="U499" i="4" s="1"/>
  <c r="U500" i="4" s="1"/>
  <c r="U501" i="4" s="1"/>
  <c r="U502" i="4" s="1"/>
  <c r="U503" i="4" s="1"/>
  <c r="U504" i="4" s="1"/>
  <c r="U505" i="4" s="1"/>
  <c r="U506" i="4" s="1"/>
  <c r="U507" i="4" s="1"/>
  <c r="U508" i="4" s="1"/>
  <c r="U509" i="4" s="1"/>
  <c r="U510" i="4" s="1"/>
  <c r="U511" i="4" s="1"/>
  <c r="U512" i="4" s="1"/>
  <c r="U513" i="4" s="1"/>
  <c r="U514" i="4" s="1"/>
  <c r="U515" i="4" s="1"/>
  <c r="U516" i="4" s="1"/>
  <c r="U517" i="4" s="1"/>
  <c r="U518" i="4" s="1"/>
  <c r="U519" i="4" s="1"/>
  <c r="U520" i="4" s="1"/>
  <c r="U521" i="4" s="1"/>
  <c r="U522" i="4" s="1"/>
  <c r="U523" i="4" s="1"/>
  <c r="U524" i="4" s="1"/>
  <c r="U525" i="4" s="1"/>
  <c r="U526" i="4" s="1"/>
  <c r="U527" i="4" s="1"/>
  <c r="U528" i="4" s="1"/>
  <c r="U529" i="4" s="1"/>
  <c r="U530" i="4" s="1"/>
  <c r="U531" i="4" s="1"/>
  <c r="U532" i="4" s="1"/>
  <c r="U533" i="4" s="1"/>
  <c r="U534" i="4" s="1"/>
  <c r="U535" i="4" s="1"/>
  <c r="U536" i="4" s="1"/>
  <c r="U537" i="4" s="1"/>
  <c r="U538" i="4" s="1"/>
  <c r="U539" i="4" s="1"/>
  <c r="U540" i="4" s="1"/>
  <c r="U541" i="4" s="1"/>
  <c r="U542" i="4" s="1"/>
  <c r="U543" i="4" s="1"/>
  <c r="U544" i="4" s="1"/>
  <c r="U545" i="4" s="1"/>
  <c r="U546" i="4" s="1"/>
  <c r="U547" i="4" s="1"/>
  <c r="U548" i="4" s="1"/>
  <c r="U549" i="4" s="1"/>
  <c r="U550" i="4" s="1"/>
  <c r="U551" i="4" s="1"/>
  <c r="U552" i="4" s="1"/>
  <c r="U553" i="4" s="1"/>
  <c r="U554" i="4" s="1"/>
  <c r="U555" i="4" s="1"/>
  <c r="U556" i="4" s="1"/>
  <c r="U557" i="4" s="1"/>
  <c r="U558" i="4" s="1"/>
  <c r="U559" i="4" s="1"/>
  <c r="U560" i="4" s="1"/>
  <c r="U561" i="4" s="1"/>
  <c r="U562" i="4" s="1"/>
  <c r="U563" i="4" s="1"/>
  <c r="U564" i="4" s="1"/>
  <c r="U565" i="4" s="1"/>
  <c r="U566" i="4" s="1"/>
  <c r="U567" i="4" s="1"/>
  <c r="U568" i="4" s="1"/>
  <c r="U569" i="4" s="1"/>
  <c r="U570" i="4" s="1"/>
  <c r="U571" i="4" s="1"/>
  <c r="U572" i="4" s="1"/>
  <c r="U573" i="4" s="1"/>
  <c r="U574" i="4" s="1"/>
  <c r="U575" i="4" s="1"/>
  <c r="U576" i="4" s="1"/>
  <c r="U577" i="4" s="1"/>
  <c r="U578" i="4" s="1"/>
  <c r="U579" i="4" s="1"/>
  <c r="U580" i="4" s="1"/>
  <c r="U581" i="4" s="1"/>
  <c r="U582" i="4" s="1"/>
  <c r="U583" i="4" s="1"/>
  <c r="U584" i="4" s="1"/>
  <c r="U585" i="4" s="1"/>
  <c r="U586" i="4" s="1"/>
  <c r="U587" i="4" s="1"/>
  <c r="U588" i="4" s="1"/>
  <c r="U589" i="4" s="1"/>
  <c r="U590" i="4" s="1"/>
  <c r="U591" i="4" s="1"/>
  <c r="U592" i="4" s="1"/>
  <c r="U593" i="4" s="1"/>
  <c r="U594" i="4" s="1"/>
  <c r="U595" i="4" s="1"/>
  <c r="U596" i="4" s="1"/>
  <c r="U597" i="4" s="1"/>
  <c r="U598" i="4" s="1"/>
  <c r="U599" i="4" s="1"/>
  <c r="U600" i="4" s="1"/>
  <c r="U601" i="4" s="1"/>
  <c r="U602" i="4" s="1"/>
  <c r="U603" i="4" s="1"/>
  <c r="U604" i="4" s="1"/>
  <c r="U605" i="4" s="1"/>
  <c r="U606" i="4" s="1"/>
  <c r="U607" i="4" s="1"/>
  <c r="U608" i="4" s="1"/>
  <c r="U609" i="4" s="1"/>
  <c r="U610" i="4" s="1"/>
  <c r="U611" i="4" s="1"/>
  <c r="U612" i="4" s="1"/>
  <c r="U613" i="4" s="1"/>
  <c r="U614" i="4" s="1"/>
  <c r="U615" i="4" s="1"/>
  <c r="U616" i="4" s="1"/>
  <c r="U617" i="4" s="1"/>
  <c r="U618" i="4" s="1"/>
  <c r="U619" i="4" s="1"/>
  <c r="U620" i="4" s="1"/>
  <c r="U621" i="4" s="1"/>
  <c r="U622" i="4" s="1"/>
  <c r="U623" i="4" s="1"/>
  <c r="U624" i="4" s="1"/>
  <c r="U625" i="4" s="1"/>
  <c r="U626" i="4" s="1"/>
  <c r="U627" i="4" s="1"/>
  <c r="U628" i="4" s="1"/>
  <c r="U629" i="4" s="1"/>
  <c r="U630" i="4" s="1"/>
  <c r="U631" i="4" s="1"/>
  <c r="U632" i="4" s="1"/>
  <c r="U633" i="4" s="1"/>
  <c r="U634" i="4" s="1"/>
  <c r="U635" i="4" s="1"/>
  <c r="U636" i="4" s="1"/>
  <c r="U637" i="4" s="1"/>
  <c r="U638" i="4" s="1"/>
  <c r="U639" i="4" s="1"/>
  <c r="U640" i="4" s="1"/>
  <c r="U641" i="4" s="1"/>
  <c r="U642" i="4" s="1"/>
  <c r="U643" i="4" s="1"/>
  <c r="U644" i="4" s="1"/>
  <c r="U645" i="4" s="1"/>
  <c r="U646" i="4" s="1"/>
  <c r="U647" i="4" s="1"/>
  <c r="U648" i="4" s="1"/>
  <c r="U649" i="4" s="1"/>
  <c r="U650" i="4" s="1"/>
  <c r="U651" i="4" s="1"/>
  <c r="U652" i="4" s="1"/>
  <c r="U653" i="4" s="1"/>
  <c r="U654" i="4" s="1"/>
  <c r="U655" i="4" s="1"/>
  <c r="U656" i="4" s="1"/>
  <c r="U657" i="4" s="1"/>
  <c r="U658" i="4" s="1"/>
  <c r="U659" i="4" s="1"/>
  <c r="U660" i="4" s="1"/>
  <c r="U661" i="4" s="1"/>
  <c r="U662" i="4" s="1"/>
  <c r="U663" i="4" s="1"/>
  <c r="U664" i="4" s="1"/>
  <c r="U665" i="4" s="1"/>
  <c r="U666" i="4" s="1"/>
  <c r="U667" i="4" s="1"/>
  <c r="U668" i="4" s="1"/>
  <c r="U669" i="4" s="1"/>
  <c r="U670" i="4" s="1"/>
  <c r="U671" i="4" s="1"/>
  <c r="U672" i="4" s="1"/>
  <c r="U673" i="4" s="1"/>
  <c r="U674" i="4" s="1"/>
  <c r="U675" i="4" s="1"/>
  <c r="U676" i="4" s="1"/>
  <c r="U677" i="4" s="1"/>
  <c r="U678" i="4" s="1"/>
  <c r="U679" i="4" s="1"/>
  <c r="U680" i="4" s="1"/>
  <c r="U681" i="4" s="1"/>
  <c r="U682" i="4" s="1"/>
  <c r="U683" i="4" s="1"/>
  <c r="U684" i="4" s="1"/>
  <c r="U685" i="4" s="1"/>
  <c r="U686" i="4" s="1"/>
  <c r="U687" i="4" s="1"/>
  <c r="U688" i="4" s="1"/>
  <c r="U689" i="4" s="1"/>
  <c r="U690" i="4" s="1"/>
  <c r="U691" i="4" s="1"/>
  <c r="U692" i="4" s="1"/>
  <c r="U693" i="4" s="1"/>
  <c r="U694" i="4" s="1"/>
  <c r="U695" i="4" s="1"/>
  <c r="U696" i="4" s="1"/>
  <c r="U697" i="4" s="1"/>
  <c r="U698" i="4" s="1"/>
  <c r="U699" i="4" s="1"/>
  <c r="U700" i="4" s="1"/>
  <c r="U701" i="4" s="1"/>
  <c r="U702" i="4" s="1"/>
  <c r="U703" i="4" s="1"/>
  <c r="U704" i="4" s="1"/>
  <c r="U705" i="4" s="1"/>
  <c r="U706" i="4" s="1"/>
  <c r="U707" i="4" s="1"/>
  <c r="U708" i="4" s="1"/>
  <c r="U709" i="4" s="1"/>
  <c r="U710" i="4" s="1"/>
  <c r="U711" i="4" s="1"/>
  <c r="U712" i="4" s="1"/>
  <c r="U713" i="4" s="1"/>
  <c r="U714" i="4" s="1"/>
  <c r="U715" i="4" s="1"/>
  <c r="U716" i="4" s="1"/>
  <c r="U717" i="4" s="1"/>
  <c r="U718" i="4" s="1"/>
  <c r="U719" i="4" s="1"/>
  <c r="U720" i="4" s="1"/>
  <c r="U721" i="4" s="1"/>
  <c r="U722" i="4" s="1"/>
  <c r="U723" i="4" s="1"/>
  <c r="U724" i="4" s="1"/>
  <c r="U725" i="4" s="1"/>
  <c r="U726" i="4" s="1"/>
  <c r="U727" i="4" s="1"/>
  <c r="U728" i="4" s="1"/>
  <c r="U729" i="4" s="1"/>
  <c r="U730" i="4" s="1"/>
  <c r="U731" i="4" s="1"/>
  <c r="U732" i="4" s="1"/>
  <c r="U733" i="4" s="1"/>
  <c r="U734" i="4" s="1"/>
  <c r="U735" i="4" s="1"/>
  <c r="U736" i="4" s="1"/>
  <c r="U737" i="4" s="1"/>
  <c r="U738" i="4" s="1"/>
  <c r="U739" i="4" s="1"/>
  <c r="U740" i="4" s="1"/>
  <c r="U741" i="4" s="1"/>
  <c r="U742" i="4" s="1"/>
  <c r="U743" i="4" s="1"/>
  <c r="U744" i="4" s="1"/>
  <c r="U745" i="4" s="1"/>
  <c r="U746" i="4" s="1"/>
  <c r="U747" i="4" s="1"/>
  <c r="U748" i="4" s="1"/>
  <c r="U749" i="4" s="1"/>
  <c r="U750" i="4" s="1"/>
  <c r="U751" i="4" s="1"/>
  <c r="U752" i="4" s="1"/>
  <c r="U753" i="4" s="1"/>
  <c r="U754" i="4" s="1"/>
  <c r="U755" i="4" s="1"/>
  <c r="U756" i="4" s="1"/>
  <c r="U757" i="4" s="1"/>
  <c r="U758" i="4" s="1"/>
  <c r="U759" i="4" s="1"/>
  <c r="U760" i="4" s="1"/>
  <c r="U761" i="4" s="1"/>
  <c r="U762" i="4" s="1"/>
  <c r="U763" i="4" s="1"/>
  <c r="U764" i="4" s="1"/>
  <c r="U765" i="4" s="1"/>
  <c r="U766" i="4" s="1"/>
  <c r="U767" i="4" s="1"/>
  <c r="U768" i="4" s="1"/>
  <c r="U769" i="4" s="1"/>
  <c r="U770" i="4" s="1"/>
  <c r="U771" i="4" s="1"/>
  <c r="U772" i="4" s="1"/>
  <c r="U773" i="4" s="1"/>
  <c r="U774" i="4" s="1"/>
  <c r="U775" i="4" s="1"/>
  <c r="U776" i="4" s="1"/>
  <c r="U777" i="4" s="1"/>
  <c r="U778" i="4" s="1"/>
  <c r="U779" i="4" s="1"/>
  <c r="U780" i="4" s="1"/>
  <c r="U781" i="4" s="1"/>
  <c r="U782" i="4" s="1"/>
  <c r="U783" i="4" s="1"/>
  <c r="U784" i="4" s="1"/>
  <c r="U785" i="4" s="1"/>
  <c r="U786" i="4" s="1"/>
  <c r="U787" i="4" s="1"/>
  <c r="U788" i="4" s="1"/>
  <c r="U789" i="4" s="1"/>
  <c r="U790" i="4" s="1"/>
  <c r="U791" i="4" s="1"/>
  <c r="U792" i="4" s="1"/>
  <c r="U793" i="4" s="1"/>
  <c r="U794" i="4" s="1"/>
  <c r="U795" i="4" s="1"/>
  <c r="U796" i="4" s="1"/>
  <c r="U797" i="4" s="1"/>
  <c r="U798" i="4" s="1"/>
  <c r="U799" i="4" s="1"/>
  <c r="U800" i="4" s="1"/>
  <c r="U801" i="4" s="1"/>
  <c r="U802" i="4" s="1"/>
  <c r="U803" i="4" s="1"/>
  <c r="U804" i="4" s="1"/>
  <c r="U805" i="4" s="1"/>
  <c r="U806" i="4" s="1"/>
  <c r="U807" i="4" s="1"/>
  <c r="U808" i="4" s="1"/>
  <c r="U809" i="4" s="1"/>
  <c r="U810" i="4" s="1"/>
  <c r="U811" i="4" s="1"/>
  <c r="U812" i="4" s="1"/>
  <c r="U813" i="4" s="1"/>
  <c r="U814" i="4" s="1"/>
  <c r="U815" i="4" s="1"/>
  <c r="U816" i="4" s="1"/>
  <c r="U817" i="4" s="1"/>
  <c r="U818" i="4" s="1"/>
  <c r="U819" i="4" s="1"/>
  <c r="U820" i="4" s="1"/>
  <c r="U821" i="4" s="1"/>
  <c r="U822" i="4" s="1"/>
  <c r="U823" i="4" s="1"/>
  <c r="U824" i="4" s="1"/>
  <c r="U825" i="4" s="1"/>
  <c r="U826" i="4" s="1"/>
  <c r="U827" i="4" s="1"/>
  <c r="U828" i="4" s="1"/>
  <c r="U829" i="4" s="1"/>
  <c r="U830" i="4" s="1"/>
  <c r="U831" i="4" s="1"/>
  <c r="U832" i="4" s="1"/>
  <c r="U833" i="4" s="1"/>
  <c r="U834" i="4" s="1"/>
  <c r="U835" i="4" s="1"/>
  <c r="U836" i="4" s="1"/>
  <c r="U837" i="4" s="1"/>
  <c r="U838" i="4" s="1"/>
  <c r="U839" i="4" s="1"/>
  <c r="U840" i="4" s="1"/>
  <c r="U841" i="4" s="1"/>
  <c r="U842" i="4" s="1"/>
  <c r="U843" i="4" s="1"/>
  <c r="U844" i="4" s="1"/>
  <c r="U845" i="4" s="1"/>
  <c r="U846" i="4" s="1"/>
  <c r="U847" i="4" s="1"/>
  <c r="U848" i="4" s="1"/>
  <c r="U849" i="4" s="1"/>
  <c r="U850" i="4" s="1"/>
  <c r="U851" i="4" s="1"/>
  <c r="U852" i="4" s="1"/>
  <c r="U853" i="4" s="1"/>
  <c r="U854" i="4" s="1"/>
  <c r="U855" i="4" s="1"/>
  <c r="U856" i="4" s="1"/>
  <c r="U857" i="4" s="1"/>
  <c r="U858" i="4" s="1"/>
  <c r="U859" i="4" s="1"/>
  <c r="U860" i="4" s="1"/>
  <c r="U861" i="4" s="1"/>
  <c r="U862" i="4" s="1"/>
  <c r="U863" i="4" s="1"/>
  <c r="U864" i="4" s="1"/>
  <c r="U865" i="4" s="1"/>
  <c r="U866" i="4" s="1"/>
  <c r="U867" i="4" s="1"/>
  <c r="U868" i="4" s="1"/>
  <c r="U869" i="4" s="1"/>
  <c r="U870" i="4" s="1"/>
  <c r="U871" i="4" s="1"/>
  <c r="U872" i="4" s="1"/>
  <c r="U873" i="4" s="1"/>
  <c r="U874" i="4" s="1"/>
  <c r="U875" i="4" s="1"/>
  <c r="U876" i="4" s="1"/>
  <c r="U877" i="4" s="1"/>
  <c r="U878" i="4" s="1"/>
  <c r="U879" i="4" s="1"/>
  <c r="U880" i="4" s="1"/>
  <c r="U881" i="4" s="1"/>
  <c r="U882" i="4" s="1"/>
  <c r="U883" i="4" s="1"/>
  <c r="U884" i="4" s="1"/>
  <c r="U885" i="4" s="1"/>
  <c r="U886" i="4" s="1"/>
  <c r="U887" i="4" s="1"/>
  <c r="U888" i="4" s="1"/>
  <c r="U889" i="4" s="1"/>
  <c r="U890" i="4" s="1"/>
  <c r="U891" i="4" s="1"/>
  <c r="U892" i="4" s="1"/>
  <c r="U893" i="4" s="1"/>
  <c r="U894" i="4" s="1"/>
  <c r="U895" i="4" s="1"/>
  <c r="U896" i="4" s="1"/>
  <c r="U897" i="4" s="1"/>
  <c r="U898" i="4" s="1"/>
  <c r="U899" i="4" s="1"/>
  <c r="U900" i="4" s="1"/>
  <c r="U901" i="4" s="1"/>
  <c r="U902" i="4" s="1"/>
  <c r="U903" i="4" s="1"/>
  <c r="U904" i="4" s="1"/>
  <c r="U905" i="4" s="1"/>
  <c r="U906" i="4" s="1"/>
  <c r="U907" i="4" s="1"/>
  <c r="U908" i="4" s="1"/>
  <c r="U909" i="4" s="1"/>
  <c r="U910" i="4" s="1"/>
  <c r="U911" i="4" s="1"/>
  <c r="U912" i="4" s="1"/>
  <c r="U913" i="4" s="1"/>
  <c r="U914" i="4" s="1"/>
  <c r="U915" i="4" s="1"/>
  <c r="U916" i="4" s="1"/>
  <c r="U917" i="4" s="1"/>
  <c r="U918" i="4" s="1"/>
  <c r="U919" i="4" s="1"/>
  <c r="U920" i="4" s="1"/>
  <c r="U921" i="4" s="1"/>
  <c r="U922" i="4" s="1"/>
  <c r="U923" i="4" s="1"/>
  <c r="U924" i="4" s="1"/>
  <c r="U925" i="4" s="1"/>
  <c r="U926" i="4" s="1"/>
  <c r="U927" i="4" s="1"/>
  <c r="U928" i="4" s="1"/>
  <c r="U929" i="4" s="1"/>
  <c r="U930" i="4" s="1"/>
  <c r="U931" i="4" s="1"/>
  <c r="U932" i="4" s="1"/>
  <c r="U933" i="4" s="1"/>
  <c r="U934" i="4" s="1"/>
  <c r="U935" i="4" s="1"/>
  <c r="U936" i="4" s="1"/>
  <c r="U937" i="4" s="1"/>
  <c r="U938" i="4" s="1"/>
  <c r="U939" i="4" s="1"/>
  <c r="U940" i="4" s="1"/>
  <c r="U941" i="4" s="1"/>
  <c r="U942" i="4" s="1"/>
  <c r="U943" i="4" s="1"/>
  <c r="U944" i="4" s="1"/>
  <c r="U945" i="4" s="1"/>
  <c r="U946" i="4" s="1"/>
  <c r="U947" i="4" s="1"/>
  <c r="U948" i="4" s="1"/>
  <c r="U949" i="4" s="1"/>
  <c r="U950" i="4" s="1"/>
  <c r="U951" i="4" s="1"/>
  <c r="U952" i="4" s="1"/>
  <c r="U953" i="4" s="1"/>
  <c r="U954" i="4" s="1"/>
  <c r="U955" i="4" s="1"/>
  <c r="U956" i="4" s="1"/>
  <c r="U957" i="4" s="1"/>
  <c r="U958" i="4" s="1"/>
  <c r="U959" i="4" s="1"/>
  <c r="U960" i="4" s="1"/>
  <c r="U961" i="4" s="1"/>
  <c r="U962" i="4" s="1"/>
  <c r="U963" i="4" s="1"/>
  <c r="U964" i="4" s="1"/>
  <c r="U965" i="4" s="1"/>
  <c r="U966" i="4" s="1"/>
  <c r="U967" i="4" s="1"/>
  <c r="U968" i="4" s="1"/>
  <c r="U969" i="4" s="1"/>
  <c r="U970" i="4" s="1"/>
  <c r="U971" i="4" s="1"/>
  <c r="U972" i="4" s="1"/>
  <c r="U973" i="4" s="1"/>
  <c r="U974" i="4" s="1"/>
  <c r="U975" i="4" s="1"/>
  <c r="U976" i="4" s="1"/>
  <c r="U977" i="4" s="1"/>
  <c r="U978" i="4" s="1"/>
  <c r="U979" i="4" s="1"/>
  <c r="U980" i="4" s="1"/>
  <c r="U981" i="4" s="1"/>
  <c r="U982" i="4" s="1"/>
  <c r="U983" i="4" s="1"/>
  <c r="U984" i="4" s="1"/>
  <c r="U985" i="4" s="1"/>
  <c r="U986" i="4" s="1"/>
  <c r="U987" i="4" s="1"/>
  <c r="U988" i="4" s="1"/>
  <c r="U989" i="4" s="1"/>
  <c r="U990" i="4" s="1"/>
  <c r="U991" i="4" s="1"/>
  <c r="U992" i="4" s="1"/>
  <c r="U993" i="4" s="1"/>
  <c r="U994" i="4" s="1"/>
  <c r="U995" i="4" s="1"/>
  <c r="U996" i="4" s="1"/>
  <c r="U997" i="4" s="1"/>
  <c r="U998" i="4" s="1"/>
  <c r="U999" i="4" s="1"/>
  <c r="U1000" i="4" s="1"/>
  <c r="U1001" i="4" s="1"/>
  <c r="U1002" i="4" s="1"/>
  <c r="U1003" i="4" s="1"/>
  <c r="U1004" i="4" s="1"/>
  <c r="U1005" i="4" s="1"/>
  <c r="U1006" i="4" s="1"/>
  <c r="U1007" i="4" s="1"/>
  <c r="E25" i="4"/>
  <c r="G26" i="4"/>
  <c r="F26" i="4"/>
  <c r="B26" i="4"/>
  <c r="C26" i="4"/>
  <c r="A25" i="4"/>
  <c r="T26" i="4"/>
  <c r="I26" i="2"/>
  <c r="S26" i="4"/>
  <c r="H26" i="2"/>
  <c r="R26" i="4"/>
  <c r="G26" i="2"/>
  <c r="Q26" i="4"/>
  <c r="F26" i="2"/>
  <c r="N25" i="4"/>
  <c r="O25" i="4"/>
  <c r="M24" i="4"/>
  <c r="J25" i="4"/>
  <c r="K25" i="4"/>
  <c r="I24" i="4"/>
  <c r="F25" i="4" l="1"/>
  <c r="G25" i="4"/>
  <c r="E24" i="4"/>
  <c r="B25" i="4"/>
  <c r="C25" i="4"/>
  <c r="A24" i="4"/>
  <c r="T27" i="4"/>
  <c r="I27" i="2"/>
  <c r="S27" i="4"/>
  <c r="H27" i="2"/>
  <c r="R27" i="4"/>
  <c r="G27" i="2"/>
  <c r="Q27" i="4"/>
  <c r="F27" i="2"/>
  <c r="N24" i="4"/>
  <c r="O24" i="4"/>
  <c r="M23" i="4"/>
  <c r="J24" i="4"/>
  <c r="K24" i="4"/>
  <c r="I23" i="4"/>
  <c r="E23" i="4" l="1"/>
  <c r="G24" i="4"/>
  <c r="F24" i="4"/>
  <c r="B24" i="4"/>
  <c r="C24" i="4"/>
  <c r="A23" i="4"/>
  <c r="T28" i="4"/>
  <c r="I28" i="2"/>
  <c r="S28" i="4"/>
  <c r="H28" i="2"/>
  <c r="R28" i="4"/>
  <c r="G28" i="2"/>
  <c r="Q28" i="4"/>
  <c r="F28" i="2"/>
  <c r="N23" i="4"/>
  <c r="O23" i="4"/>
  <c r="M22" i="4"/>
  <c r="J23" i="4"/>
  <c r="K23" i="4"/>
  <c r="I22" i="4"/>
  <c r="G23" i="4" l="1"/>
  <c r="E22" i="4"/>
  <c r="F23" i="4"/>
  <c r="B23" i="4"/>
  <c r="C23" i="4"/>
  <c r="A22" i="4"/>
  <c r="T29" i="4"/>
  <c r="I29" i="2"/>
  <c r="S29" i="4"/>
  <c r="H29" i="2"/>
  <c r="R29" i="4"/>
  <c r="G29" i="2"/>
  <c r="Q29" i="4"/>
  <c r="F29" i="2"/>
  <c r="N22" i="4"/>
  <c r="O22" i="4"/>
  <c r="M21" i="4"/>
  <c r="J22" i="4"/>
  <c r="K22" i="4"/>
  <c r="I21" i="4"/>
  <c r="F22" i="4" l="1"/>
  <c r="E21" i="4"/>
  <c r="G22" i="4"/>
  <c r="B22" i="4"/>
  <c r="C22" i="4"/>
  <c r="A21" i="4"/>
  <c r="T30" i="4"/>
  <c r="I30" i="2"/>
  <c r="S30" i="4"/>
  <c r="H30" i="2"/>
  <c r="R30" i="4"/>
  <c r="G30" i="2"/>
  <c r="Q30" i="4"/>
  <c r="F30" i="2"/>
  <c r="N21" i="4"/>
  <c r="O21" i="4"/>
  <c r="M20" i="4"/>
  <c r="J21" i="4"/>
  <c r="K21" i="4"/>
  <c r="I20" i="4"/>
  <c r="F21" i="4" l="1"/>
  <c r="G21" i="4"/>
  <c r="E20" i="4"/>
  <c r="G20" i="4" s="1"/>
  <c r="B21" i="4"/>
  <c r="C21" i="4"/>
  <c r="A20" i="4"/>
  <c r="T31" i="4"/>
  <c r="I31" i="2"/>
  <c r="S31" i="4"/>
  <c r="H31" i="2"/>
  <c r="R31" i="4"/>
  <c r="G31" i="2"/>
  <c r="Q31" i="4"/>
  <c r="F31" i="2"/>
  <c r="N20" i="4"/>
  <c r="O20" i="4"/>
  <c r="M19" i="4"/>
  <c r="J20" i="4"/>
  <c r="K20" i="4"/>
  <c r="I19" i="4"/>
  <c r="E19" i="4" l="1"/>
  <c r="F20" i="4"/>
  <c r="B20" i="4"/>
  <c r="C20" i="4"/>
  <c r="A19" i="4"/>
  <c r="T32" i="4"/>
  <c r="I32" i="2"/>
  <c r="S32" i="4"/>
  <c r="H32" i="2"/>
  <c r="R32" i="4"/>
  <c r="G32" i="2"/>
  <c r="Q32" i="4"/>
  <c r="F32" i="2"/>
  <c r="N19" i="4"/>
  <c r="O19" i="4"/>
  <c r="M18" i="4"/>
  <c r="J19" i="4"/>
  <c r="K19" i="4"/>
  <c r="I18" i="4"/>
  <c r="F19" i="4" l="1"/>
  <c r="G19" i="4"/>
  <c r="E18" i="4"/>
  <c r="A18" i="4"/>
  <c r="B19" i="4"/>
  <c r="C19" i="4"/>
  <c r="T33" i="4"/>
  <c r="I33" i="2"/>
  <c r="S33" i="4"/>
  <c r="H33" i="2"/>
  <c r="R33" i="4"/>
  <c r="G33" i="2"/>
  <c r="Q33" i="4"/>
  <c r="F33" i="2"/>
  <c r="M17" i="4"/>
  <c r="N18" i="4"/>
  <c r="O18" i="4"/>
  <c r="K18" i="4"/>
  <c r="I17" i="4"/>
  <c r="J18" i="4"/>
  <c r="G18" i="4" l="1"/>
  <c r="F18" i="4"/>
  <c r="E17" i="4"/>
  <c r="F17" i="4" s="1"/>
  <c r="C18" i="4"/>
  <c r="A17" i="4"/>
  <c r="B18" i="4"/>
  <c r="T34" i="4"/>
  <c r="I34" i="2"/>
  <c r="S34" i="4"/>
  <c r="H34" i="2"/>
  <c r="R34" i="4"/>
  <c r="G34" i="2"/>
  <c r="Q34" i="4"/>
  <c r="F34" i="2"/>
  <c r="N17" i="4"/>
  <c r="O17" i="4"/>
  <c r="M16" i="4"/>
  <c r="J17" i="4"/>
  <c r="I16" i="4"/>
  <c r="K17" i="4"/>
  <c r="G17" i="4" l="1"/>
  <c r="E16" i="4"/>
  <c r="B17" i="4"/>
  <c r="A16" i="4"/>
  <c r="B16" i="4" s="1"/>
  <c r="C17" i="4"/>
  <c r="T35" i="4"/>
  <c r="I35" i="2"/>
  <c r="S35" i="4"/>
  <c r="H35" i="2"/>
  <c r="R35" i="4"/>
  <c r="G35" i="2"/>
  <c r="Q35" i="4"/>
  <c r="F35" i="2"/>
  <c r="N16" i="4"/>
  <c r="O16" i="4"/>
  <c r="M15" i="4"/>
  <c r="J16" i="4"/>
  <c r="I15" i="4"/>
  <c r="K16" i="4"/>
  <c r="G16" i="4" l="1"/>
  <c r="E15" i="4"/>
  <c r="F16" i="4"/>
  <c r="C16" i="4"/>
  <c r="A15" i="4"/>
  <c r="T36" i="4"/>
  <c r="I36" i="2"/>
  <c r="S36" i="4"/>
  <c r="H36" i="2"/>
  <c r="R36" i="4"/>
  <c r="G36" i="2"/>
  <c r="Q36" i="4"/>
  <c r="F36" i="2"/>
  <c r="O15" i="4"/>
  <c r="N15" i="4"/>
  <c r="M14" i="4"/>
  <c r="K15" i="4"/>
  <c r="J15" i="4"/>
  <c r="I14" i="4"/>
  <c r="G15" i="4" l="1"/>
  <c r="F15" i="4"/>
  <c r="E14" i="4"/>
  <c r="B15" i="4"/>
  <c r="C15" i="4"/>
  <c r="A14" i="4"/>
  <c r="T37" i="4"/>
  <c r="I37" i="2"/>
  <c r="S37" i="4"/>
  <c r="H37" i="2"/>
  <c r="R37" i="4"/>
  <c r="G37" i="2"/>
  <c r="Q37" i="4"/>
  <c r="F37" i="2"/>
  <c r="N14" i="4"/>
  <c r="O14" i="4"/>
  <c r="M13" i="4"/>
  <c r="K14" i="4"/>
  <c r="J14" i="4"/>
  <c r="I13" i="4"/>
  <c r="G14" i="4" l="1"/>
  <c r="F14" i="4"/>
  <c r="E13" i="4"/>
  <c r="C14" i="4"/>
  <c r="B14" i="4"/>
  <c r="A13" i="4"/>
  <c r="T38" i="4"/>
  <c r="I38" i="2"/>
  <c r="S38" i="4"/>
  <c r="H38" i="2"/>
  <c r="R38" i="4"/>
  <c r="G38" i="2"/>
  <c r="Q38" i="4"/>
  <c r="F38" i="2"/>
  <c r="N13" i="4"/>
  <c r="O13" i="4"/>
  <c r="M12" i="4"/>
  <c r="I12" i="4"/>
  <c r="J13" i="4"/>
  <c r="K13" i="4"/>
  <c r="G13" i="4" l="1"/>
  <c r="F13" i="4"/>
  <c r="E12" i="4"/>
  <c r="B13" i="4"/>
  <c r="C13" i="4"/>
  <c r="A12" i="4"/>
  <c r="T39" i="4"/>
  <c r="I39" i="2"/>
  <c r="S39" i="4"/>
  <c r="H39" i="2"/>
  <c r="R39" i="4"/>
  <c r="G39" i="2"/>
  <c r="Q39" i="4"/>
  <c r="F39" i="2"/>
  <c r="O12" i="4"/>
  <c r="N12" i="4"/>
  <c r="M11" i="4"/>
  <c r="K12" i="4"/>
  <c r="J12" i="4"/>
  <c r="I11" i="4"/>
  <c r="F12" i="4" l="1"/>
  <c r="G12" i="4"/>
  <c r="E11" i="4"/>
  <c r="C12" i="4"/>
  <c r="A11" i="4"/>
  <c r="B12" i="4"/>
  <c r="T40" i="4"/>
  <c r="I40" i="2"/>
  <c r="S40" i="4"/>
  <c r="H40" i="2"/>
  <c r="R40" i="4"/>
  <c r="G40" i="2"/>
  <c r="Q40" i="4"/>
  <c r="F40" i="2"/>
  <c r="N11" i="4"/>
  <c r="O11" i="4"/>
  <c r="M10" i="4"/>
  <c r="J11" i="4"/>
  <c r="I10" i="4"/>
  <c r="K11" i="4"/>
  <c r="F11" i="4" l="1"/>
  <c r="G11" i="4"/>
  <c r="E10" i="4"/>
  <c r="C11" i="4"/>
  <c r="A10" i="4"/>
  <c r="B11" i="4"/>
  <c r="T41" i="4"/>
  <c r="I41" i="2"/>
  <c r="S41" i="4"/>
  <c r="H41" i="2"/>
  <c r="R41" i="4"/>
  <c r="G41" i="2"/>
  <c r="Q41" i="4"/>
  <c r="F41" i="2"/>
  <c r="N10" i="4"/>
  <c r="O10" i="4"/>
  <c r="M9" i="4"/>
  <c r="K10" i="4"/>
  <c r="I9" i="4"/>
  <c r="J10" i="4"/>
  <c r="G10" i="4" l="1"/>
  <c r="F10" i="4"/>
  <c r="E9" i="4"/>
  <c r="A9" i="4"/>
  <c r="C10" i="4"/>
  <c r="B10" i="4"/>
  <c r="T42" i="4"/>
  <c r="I42" i="2"/>
  <c r="S42" i="4"/>
  <c r="H42" i="2"/>
  <c r="R42" i="4"/>
  <c r="G42" i="2"/>
  <c r="Q42" i="4"/>
  <c r="F42" i="2"/>
  <c r="O9" i="4"/>
  <c r="M8" i="4"/>
  <c r="N9" i="4"/>
  <c r="K9" i="4"/>
  <c r="J9" i="4"/>
  <c r="I8" i="4"/>
  <c r="F9" i="4" l="1"/>
  <c r="G9" i="4"/>
  <c r="E8" i="4"/>
  <c r="A8" i="4"/>
  <c r="B9" i="4"/>
  <c r="C9" i="4"/>
  <c r="T43" i="4"/>
  <c r="I43" i="2"/>
  <c r="S43" i="4"/>
  <c r="H43" i="2"/>
  <c r="R43" i="4"/>
  <c r="G43" i="2"/>
  <c r="Q43" i="4"/>
  <c r="F43" i="2"/>
  <c r="N8" i="4"/>
  <c r="O8" i="4"/>
  <c r="M7" i="4"/>
  <c r="J8" i="4"/>
  <c r="K8" i="4"/>
  <c r="I7" i="4"/>
  <c r="F8" i="4" l="1"/>
  <c r="G8" i="4"/>
  <c r="E7" i="4"/>
  <c r="C8" i="4"/>
  <c r="B8" i="4"/>
  <c r="T44" i="4"/>
  <c r="I44" i="2"/>
  <c r="S44" i="4"/>
  <c r="H44" i="2"/>
  <c r="R44" i="4"/>
  <c r="G44" i="2"/>
  <c r="Q44" i="4"/>
  <c r="F44" i="2"/>
  <c r="N7" i="4"/>
  <c r="O7" i="4"/>
  <c r="J7" i="4"/>
  <c r="K7" i="4"/>
  <c r="B7" i="4"/>
  <c r="C7" i="4"/>
  <c r="G7" i="4" l="1"/>
  <c r="F7" i="4"/>
  <c r="T45" i="4"/>
  <c r="I45" i="2"/>
  <c r="S45" i="4"/>
  <c r="H45" i="2"/>
  <c r="R45" i="4"/>
  <c r="G45" i="2"/>
  <c r="Q45" i="4"/>
  <c r="F45" i="2"/>
  <c r="T46" i="4" l="1"/>
  <c r="I46" i="2"/>
  <c r="S46" i="4"/>
  <c r="H46" i="2"/>
  <c r="R46" i="4"/>
  <c r="G46" i="2"/>
  <c r="Q46" i="4"/>
  <c r="F46" i="2"/>
  <c r="T47" i="4" l="1"/>
  <c r="I47" i="2"/>
  <c r="S47" i="4"/>
  <c r="H47" i="2"/>
  <c r="R47" i="4"/>
  <c r="G47" i="2"/>
  <c r="Q47" i="4"/>
  <c r="F47" i="2"/>
  <c r="T48" i="4" l="1"/>
  <c r="I48" i="2"/>
  <c r="S48" i="4"/>
  <c r="H48" i="2"/>
  <c r="R48" i="4"/>
  <c r="G48" i="2"/>
  <c r="Q48" i="4"/>
  <c r="F48" i="2"/>
  <c r="T49" i="4" l="1"/>
  <c r="I49" i="2"/>
  <c r="S49" i="4"/>
  <c r="H49" i="2"/>
  <c r="R49" i="4"/>
  <c r="G49" i="2"/>
  <c r="Q49" i="4"/>
  <c r="F49" i="2"/>
  <c r="T50" i="4" l="1"/>
  <c r="I50" i="2"/>
  <c r="S50" i="4"/>
  <c r="H50" i="2"/>
  <c r="R50" i="4"/>
  <c r="G50" i="2"/>
  <c r="Q50" i="4"/>
  <c r="F50" i="2"/>
  <c r="T51" i="4" l="1"/>
  <c r="I51" i="2"/>
  <c r="S51" i="4"/>
  <c r="H51" i="2"/>
  <c r="R51" i="4"/>
  <c r="G51" i="2"/>
  <c r="Q51" i="4"/>
  <c r="F51" i="2"/>
  <c r="T52" i="4" l="1"/>
  <c r="I52" i="2"/>
  <c r="S52" i="4"/>
  <c r="H52" i="2"/>
  <c r="R52" i="4"/>
  <c r="G52" i="2"/>
  <c r="Q52" i="4"/>
  <c r="F52" i="2"/>
  <c r="T53" i="4" l="1"/>
  <c r="I53" i="2"/>
  <c r="S53" i="4"/>
  <c r="H53" i="2"/>
  <c r="R53" i="4"/>
  <c r="G53" i="2"/>
  <c r="Q53" i="4"/>
  <c r="F53" i="2"/>
  <c r="T54" i="4" l="1"/>
  <c r="I54" i="2"/>
  <c r="S54" i="4"/>
  <c r="H54" i="2"/>
  <c r="R54" i="4"/>
  <c r="G54" i="2"/>
  <c r="Q54" i="4"/>
  <c r="F54" i="2"/>
  <c r="T55" i="4" l="1"/>
  <c r="I55" i="2"/>
  <c r="S55" i="4"/>
  <c r="H55" i="2"/>
  <c r="R55" i="4"/>
  <c r="G55" i="2"/>
  <c r="Q55" i="4"/>
  <c r="F55" i="2"/>
  <c r="T56" i="4" l="1"/>
  <c r="I56" i="2"/>
  <c r="S56" i="4"/>
  <c r="H56" i="2"/>
  <c r="R56" i="4"/>
  <c r="G56" i="2"/>
  <c r="Q56" i="4"/>
  <c r="F56" i="2"/>
  <c r="T57" i="4" l="1"/>
  <c r="I57" i="2"/>
  <c r="S57" i="4"/>
  <c r="H57" i="2"/>
  <c r="R57" i="4"/>
  <c r="G57" i="2"/>
  <c r="Q57" i="4"/>
  <c r="F57" i="2"/>
  <c r="T58" i="4" l="1"/>
  <c r="I58" i="2"/>
  <c r="S58" i="4"/>
  <c r="H58" i="2"/>
  <c r="R58" i="4"/>
  <c r="G58" i="2"/>
  <c r="Q58" i="4"/>
  <c r="F58" i="2"/>
  <c r="T59" i="4" l="1"/>
  <c r="I59" i="2"/>
  <c r="S59" i="4"/>
  <c r="H59" i="2"/>
  <c r="R59" i="4"/>
  <c r="G59" i="2"/>
  <c r="Q59" i="4"/>
  <c r="F59" i="2"/>
  <c r="T60" i="4" l="1"/>
  <c r="I60" i="2"/>
  <c r="S60" i="4"/>
  <c r="H60" i="2"/>
  <c r="R60" i="4"/>
  <c r="G60" i="2"/>
  <c r="Q60" i="4"/>
  <c r="F60" i="2"/>
  <c r="T61" i="4" l="1"/>
  <c r="I61" i="2"/>
  <c r="S61" i="4"/>
  <c r="H61" i="2"/>
  <c r="R61" i="4"/>
  <c r="G61" i="2"/>
  <c r="Q61" i="4"/>
  <c r="F61" i="2"/>
  <c r="T62" i="4" l="1"/>
  <c r="I62" i="2"/>
  <c r="S62" i="4"/>
  <c r="H62" i="2"/>
  <c r="R62" i="4"/>
  <c r="G62" i="2"/>
  <c r="Q62" i="4"/>
  <c r="F62" i="2"/>
  <c r="T63" i="4" l="1"/>
  <c r="I63" i="2"/>
  <c r="S63" i="4"/>
  <c r="H63" i="2"/>
  <c r="R63" i="4"/>
  <c r="G63" i="2"/>
  <c r="Q63" i="4"/>
  <c r="F63" i="2"/>
  <c r="T64" i="4" l="1"/>
  <c r="I64" i="2"/>
  <c r="S64" i="4"/>
  <c r="H64" i="2"/>
  <c r="R64" i="4"/>
  <c r="G64" i="2"/>
  <c r="Q64" i="4"/>
  <c r="F64" i="2"/>
  <c r="T65" i="4" l="1"/>
  <c r="I65" i="2"/>
  <c r="S65" i="4"/>
  <c r="H65" i="2"/>
  <c r="R65" i="4"/>
  <c r="G65" i="2"/>
  <c r="Q65" i="4"/>
  <c r="F65" i="2"/>
  <c r="T66" i="4" l="1"/>
  <c r="I66" i="2"/>
  <c r="S66" i="4"/>
  <c r="H66" i="2"/>
  <c r="R66" i="4"/>
  <c r="G66" i="2"/>
  <c r="Q66" i="4"/>
  <c r="F66" i="2"/>
  <c r="T67" i="4" l="1"/>
  <c r="I67" i="2"/>
  <c r="S67" i="4"/>
  <c r="H67" i="2"/>
  <c r="R67" i="4"/>
  <c r="G67" i="2"/>
  <c r="Q67" i="4"/>
  <c r="F67" i="2"/>
  <c r="T68" i="4" l="1"/>
  <c r="I68" i="2"/>
  <c r="S68" i="4"/>
  <c r="H68" i="2"/>
  <c r="R68" i="4"/>
  <c r="G68" i="2"/>
  <c r="Q68" i="4"/>
  <c r="F68" i="2"/>
  <c r="T69" i="4" l="1"/>
  <c r="I69" i="2"/>
  <c r="S69" i="4"/>
  <c r="H69" i="2"/>
  <c r="R69" i="4"/>
  <c r="G69" i="2"/>
  <c r="Q69" i="4"/>
  <c r="F69" i="2"/>
  <c r="T70" i="4" l="1"/>
  <c r="I70" i="2"/>
  <c r="S70" i="4"/>
  <c r="H70" i="2"/>
  <c r="R70" i="4"/>
  <c r="G70" i="2"/>
  <c r="Q70" i="4"/>
  <c r="F70" i="2"/>
  <c r="T71" i="4" l="1"/>
  <c r="I71" i="2"/>
  <c r="S71" i="4"/>
  <c r="H71" i="2"/>
  <c r="R71" i="4"/>
  <c r="G71" i="2"/>
  <c r="Q71" i="4"/>
  <c r="F71" i="2"/>
  <c r="T72" i="4" l="1"/>
  <c r="I72" i="2"/>
  <c r="S72" i="4"/>
  <c r="H72" i="2"/>
  <c r="R72" i="4"/>
  <c r="G72" i="2"/>
  <c r="Q72" i="4"/>
  <c r="F72" i="2"/>
  <c r="T73" i="4" l="1"/>
  <c r="I73" i="2"/>
  <c r="S73" i="4"/>
  <c r="H73" i="2"/>
  <c r="R73" i="4"/>
  <c r="G73" i="2"/>
  <c r="Q73" i="4"/>
  <c r="F73" i="2"/>
  <c r="T74" i="4" l="1"/>
  <c r="I74" i="2"/>
  <c r="S74" i="4"/>
  <c r="H74" i="2"/>
  <c r="R74" i="4"/>
  <c r="G74" i="2"/>
  <c r="Q74" i="4"/>
  <c r="F74" i="2"/>
  <c r="T75" i="4" l="1"/>
  <c r="I75" i="2"/>
  <c r="S75" i="4"/>
  <c r="H75" i="2"/>
  <c r="R75" i="4"/>
  <c r="G75" i="2"/>
  <c r="Q75" i="4"/>
  <c r="F75" i="2"/>
  <c r="T76" i="4" l="1"/>
  <c r="I76" i="2"/>
  <c r="S76" i="4"/>
  <c r="H76" i="2"/>
  <c r="R76" i="4"/>
  <c r="G76" i="2"/>
  <c r="Q76" i="4"/>
  <c r="F76" i="2"/>
  <c r="T77" i="4" l="1"/>
  <c r="I77" i="2"/>
  <c r="S77" i="4"/>
  <c r="H77" i="2"/>
  <c r="R77" i="4"/>
  <c r="G77" i="2"/>
  <c r="Q77" i="4"/>
  <c r="F77" i="2"/>
  <c r="T78" i="4" l="1"/>
  <c r="I78" i="2"/>
  <c r="S78" i="4"/>
  <c r="H78" i="2"/>
  <c r="R78" i="4"/>
  <c r="G78" i="2"/>
  <c r="Q78" i="4"/>
  <c r="F78" i="2"/>
  <c r="T79" i="4" l="1"/>
  <c r="I79" i="2"/>
  <c r="S79" i="4"/>
  <c r="H79" i="2"/>
  <c r="R79" i="4"/>
  <c r="G79" i="2"/>
  <c r="Q79" i="4"/>
  <c r="F79" i="2"/>
  <c r="T80" i="4" l="1"/>
  <c r="I80" i="2"/>
  <c r="S80" i="4"/>
  <c r="H80" i="2"/>
  <c r="R80" i="4"/>
  <c r="G80" i="2"/>
  <c r="Q80" i="4"/>
  <c r="F80" i="2"/>
  <c r="T81" i="4" l="1"/>
  <c r="I81" i="2"/>
  <c r="S81" i="4"/>
  <c r="H81" i="2"/>
  <c r="R81" i="4"/>
  <c r="G81" i="2"/>
  <c r="Q81" i="4"/>
  <c r="F81" i="2"/>
  <c r="T82" i="4" l="1"/>
  <c r="I82" i="2"/>
  <c r="S82" i="4"/>
  <c r="H82" i="2"/>
  <c r="R82" i="4"/>
  <c r="G82" i="2"/>
  <c r="Q82" i="4"/>
  <c r="F82" i="2"/>
  <c r="T83" i="4" l="1"/>
  <c r="I83" i="2"/>
  <c r="S83" i="4"/>
  <c r="H83" i="2"/>
  <c r="R83" i="4"/>
  <c r="G83" i="2"/>
  <c r="Q83" i="4"/>
  <c r="F83" i="2"/>
  <c r="T84" i="4" l="1"/>
  <c r="I84" i="2"/>
  <c r="S84" i="4"/>
  <c r="H84" i="2"/>
  <c r="R84" i="4"/>
  <c r="G84" i="2"/>
  <c r="Q84" i="4"/>
  <c r="F84" i="2"/>
  <c r="T85" i="4" l="1"/>
  <c r="I85" i="2"/>
  <c r="S85" i="4"/>
  <c r="H85" i="2"/>
  <c r="R85" i="4"/>
  <c r="G85" i="2"/>
  <c r="Q85" i="4"/>
  <c r="F85" i="2"/>
  <c r="T86" i="4" l="1"/>
  <c r="I86" i="2"/>
  <c r="S86" i="4"/>
  <c r="H86" i="2"/>
  <c r="R86" i="4"/>
  <c r="G86" i="2"/>
  <c r="Q86" i="4"/>
  <c r="F86" i="2"/>
  <c r="T87" i="4" l="1"/>
  <c r="I87" i="2"/>
  <c r="S87" i="4"/>
  <c r="H87" i="2"/>
  <c r="R87" i="4"/>
  <c r="G87" i="2"/>
  <c r="Q87" i="4"/>
  <c r="F87" i="2"/>
  <c r="T88" i="4" l="1"/>
  <c r="I88" i="2"/>
  <c r="S88" i="4"/>
  <c r="H88" i="2"/>
  <c r="R88" i="4"/>
  <c r="G88" i="2"/>
  <c r="Q88" i="4"/>
  <c r="F88" i="2"/>
  <c r="T89" i="4" l="1"/>
  <c r="I89" i="2"/>
  <c r="S89" i="4"/>
  <c r="H89" i="2"/>
  <c r="R89" i="4"/>
  <c r="G89" i="2"/>
  <c r="Q89" i="4"/>
  <c r="F89" i="2"/>
  <c r="T90" i="4" l="1"/>
  <c r="I90" i="2"/>
  <c r="S90" i="4"/>
  <c r="H90" i="2"/>
  <c r="R90" i="4"/>
  <c r="G90" i="2"/>
  <c r="Q90" i="4"/>
  <c r="F90" i="2"/>
  <c r="T91" i="4" l="1"/>
  <c r="I91" i="2"/>
  <c r="S91" i="4"/>
  <c r="H91" i="2"/>
  <c r="R91" i="4"/>
  <c r="G91" i="2"/>
  <c r="Q91" i="4"/>
  <c r="F91" i="2"/>
  <c r="T92" i="4" l="1"/>
  <c r="I92" i="2"/>
  <c r="S92" i="4"/>
  <c r="H92" i="2"/>
  <c r="R92" i="4"/>
  <c r="G92" i="2"/>
  <c r="Q92" i="4"/>
  <c r="F92" i="2"/>
  <c r="T93" i="4" l="1"/>
  <c r="I93" i="2"/>
  <c r="S93" i="4"/>
  <c r="H93" i="2"/>
  <c r="R93" i="4"/>
  <c r="G93" i="2"/>
  <c r="Q93" i="4"/>
  <c r="F93" i="2"/>
  <c r="T94" i="4" l="1"/>
  <c r="I94" i="2"/>
  <c r="S94" i="4"/>
  <c r="H94" i="2"/>
  <c r="R94" i="4"/>
  <c r="G94" i="2"/>
  <c r="Q94" i="4"/>
  <c r="F94" i="2"/>
  <c r="T95" i="4" l="1"/>
  <c r="I95" i="2"/>
  <c r="S95" i="4"/>
  <c r="H95" i="2"/>
  <c r="R95" i="4"/>
  <c r="G95" i="2"/>
  <c r="Q95" i="4"/>
  <c r="F95" i="2"/>
  <c r="T96" i="4" l="1"/>
  <c r="I96" i="2"/>
  <c r="S96" i="4"/>
  <c r="H96" i="2"/>
  <c r="R96" i="4"/>
  <c r="G96" i="2"/>
  <c r="Q96" i="4"/>
  <c r="F96" i="2"/>
  <c r="T97" i="4" l="1"/>
  <c r="I97" i="2"/>
  <c r="S97" i="4"/>
  <c r="H97" i="2"/>
  <c r="R97" i="4"/>
  <c r="G97" i="2"/>
  <c r="Q97" i="4"/>
  <c r="F97" i="2"/>
  <c r="T98" i="4" l="1"/>
  <c r="I98" i="2"/>
  <c r="S98" i="4"/>
  <c r="H98" i="2"/>
  <c r="R98" i="4"/>
  <c r="G98" i="2"/>
  <c r="Q98" i="4"/>
  <c r="F98" i="2"/>
  <c r="T99" i="4" l="1"/>
  <c r="I99" i="2"/>
  <c r="S99" i="4"/>
  <c r="H99" i="2"/>
  <c r="R99" i="4"/>
  <c r="G99" i="2"/>
  <c r="Q99" i="4"/>
  <c r="F99" i="2"/>
  <c r="T100" i="4" l="1"/>
  <c r="I100" i="2"/>
  <c r="S100" i="4"/>
  <c r="H100" i="2"/>
  <c r="R100" i="4"/>
  <c r="G100" i="2"/>
  <c r="Q100" i="4"/>
  <c r="F100" i="2"/>
  <c r="T101" i="4" l="1"/>
  <c r="I101" i="2"/>
  <c r="S101" i="4"/>
  <c r="H101" i="2"/>
  <c r="R101" i="4"/>
  <c r="G101" i="2"/>
  <c r="Q101" i="4"/>
  <c r="F101" i="2"/>
  <c r="T102" i="4" l="1"/>
  <c r="I102" i="2"/>
  <c r="S102" i="4"/>
  <c r="H102" i="2"/>
  <c r="R102" i="4"/>
  <c r="G102" i="2"/>
  <c r="Q102" i="4"/>
  <c r="F102" i="2"/>
  <c r="T103" i="4" l="1"/>
  <c r="I103" i="2"/>
  <c r="S103" i="4"/>
  <c r="H103" i="2"/>
  <c r="R103" i="4"/>
  <c r="G103" i="2"/>
  <c r="Q103" i="4"/>
  <c r="F103" i="2"/>
  <c r="T104" i="4" l="1"/>
  <c r="I104" i="2"/>
  <c r="S104" i="4"/>
  <c r="H104" i="2"/>
  <c r="R104" i="4"/>
  <c r="G104" i="2"/>
  <c r="Q104" i="4"/>
  <c r="F104" i="2"/>
  <c r="T105" i="4" l="1"/>
  <c r="I105" i="2"/>
  <c r="S105" i="4"/>
  <c r="H105" i="2"/>
  <c r="R105" i="4"/>
  <c r="G105" i="2"/>
  <c r="Q105" i="4"/>
  <c r="F105" i="2"/>
  <c r="T106" i="4" l="1"/>
  <c r="I106" i="2"/>
  <c r="S106" i="4"/>
  <c r="H106" i="2"/>
  <c r="R106" i="4"/>
  <c r="G106" i="2"/>
  <c r="Q106" i="4"/>
  <c r="F106" i="2"/>
  <c r="T107" i="4" l="1"/>
  <c r="I107" i="2"/>
  <c r="S107" i="4"/>
  <c r="H107" i="2"/>
  <c r="R107" i="4"/>
  <c r="G107" i="2"/>
  <c r="Q107" i="4"/>
  <c r="F107" i="2"/>
  <c r="T108" i="4" l="1"/>
  <c r="I108" i="2"/>
  <c r="S108" i="4"/>
  <c r="H108" i="2"/>
  <c r="R108" i="4"/>
  <c r="G108" i="2"/>
  <c r="Q108" i="4"/>
  <c r="F108" i="2"/>
  <c r="T109" i="4" l="1"/>
  <c r="I109" i="2"/>
  <c r="S109" i="4"/>
  <c r="H109" i="2"/>
  <c r="R109" i="4"/>
  <c r="G109" i="2"/>
  <c r="Q109" i="4"/>
  <c r="F109" i="2"/>
  <c r="T110" i="4" l="1"/>
  <c r="I110" i="2"/>
  <c r="S110" i="4"/>
  <c r="H110" i="2"/>
  <c r="R110" i="4"/>
  <c r="G110" i="2"/>
  <c r="Q110" i="4"/>
  <c r="F110" i="2"/>
  <c r="T111" i="4" l="1"/>
  <c r="I111" i="2"/>
  <c r="S111" i="4"/>
  <c r="H111" i="2"/>
  <c r="R111" i="4"/>
  <c r="G111" i="2"/>
  <c r="Q111" i="4"/>
  <c r="F111" i="2"/>
  <c r="T112" i="4" l="1"/>
  <c r="I112" i="2"/>
  <c r="S112" i="4"/>
  <c r="H112" i="2"/>
  <c r="R112" i="4"/>
  <c r="G112" i="2"/>
  <c r="Q112" i="4"/>
  <c r="F112" i="2"/>
  <c r="T113" i="4" l="1"/>
  <c r="I113" i="2"/>
  <c r="S113" i="4"/>
  <c r="H113" i="2"/>
  <c r="R113" i="4"/>
  <c r="G113" i="2"/>
  <c r="Q113" i="4"/>
  <c r="F113" i="2"/>
  <c r="T114" i="4" l="1"/>
  <c r="I114" i="2"/>
  <c r="S114" i="4"/>
  <c r="H114" i="2"/>
  <c r="R114" i="4"/>
  <c r="G114" i="2"/>
  <c r="Q114" i="4"/>
  <c r="F114" i="2"/>
  <c r="T115" i="4" l="1"/>
  <c r="I115" i="2"/>
  <c r="S115" i="4"/>
  <c r="H115" i="2"/>
  <c r="R115" i="4"/>
  <c r="G115" i="2"/>
  <c r="Q115" i="4"/>
  <c r="F115" i="2"/>
  <c r="T116" i="4" l="1"/>
  <c r="I116" i="2"/>
  <c r="S116" i="4"/>
  <c r="H116" i="2"/>
  <c r="R116" i="4"/>
  <c r="G116" i="2"/>
  <c r="Q116" i="4"/>
  <c r="F116" i="2"/>
  <c r="T117" i="4" l="1"/>
  <c r="I117" i="2"/>
  <c r="S117" i="4"/>
  <c r="H117" i="2"/>
  <c r="R117" i="4"/>
  <c r="G117" i="2"/>
  <c r="Q117" i="4"/>
  <c r="F117" i="2"/>
  <c r="T118" i="4" l="1"/>
  <c r="I118" i="2"/>
  <c r="S118" i="4"/>
  <c r="H118" i="2"/>
  <c r="R118" i="4"/>
  <c r="G118" i="2"/>
  <c r="Q118" i="4"/>
  <c r="F118" i="2"/>
  <c r="T119" i="4" l="1"/>
  <c r="I119" i="2"/>
  <c r="S119" i="4"/>
  <c r="H119" i="2"/>
  <c r="R119" i="4"/>
  <c r="G119" i="2"/>
  <c r="Q119" i="4"/>
  <c r="F119" i="2"/>
  <c r="T120" i="4" l="1"/>
  <c r="I120" i="2"/>
  <c r="S120" i="4"/>
  <c r="H120" i="2"/>
  <c r="R120" i="4"/>
  <c r="G120" i="2"/>
  <c r="Q120" i="4"/>
  <c r="F120" i="2"/>
  <c r="T121" i="4" l="1"/>
  <c r="I121" i="2"/>
  <c r="S121" i="4"/>
  <c r="H121" i="2"/>
  <c r="R121" i="4"/>
  <c r="G121" i="2"/>
  <c r="Q121" i="4"/>
  <c r="F121" i="2"/>
  <c r="T122" i="4" l="1"/>
  <c r="I122" i="2"/>
  <c r="S122" i="4"/>
  <c r="H122" i="2"/>
  <c r="R122" i="4"/>
  <c r="G122" i="2"/>
  <c r="Q122" i="4"/>
  <c r="F122" i="2"/>
  <c r="T123" i="4" l="1"/>
  <c r="I123" i="2"/>
  <c r="S123" i="4"/>
  <c r="H123" i="2"/>
  <c r="R123" i="4"/>
  <c r="G123" i="2"/>
  <c r="Q123" i="4"/>
  <c r="F123" i="2"/>
  <c r="T124" i="4" l="1"/>
  <c r="I124" i="2"/>
  <c r="S124" i="4"/>
  <c r="H124" i="2"/>
  <c r="R124" i="4"/>
  <c r="G124" i="2"/>
  <c r="Q124" i="4"/>
  <c r="F124" i="2"/>
  <c r="T125" i="4" l="1"/>
  <c r="I125" i="2"/>
  <c r="S125" i="4"/>
  <c r="H125" i="2"/>
  <c r="R125" i="4"/>
  <c r="G125" i="2"/>
  <c r="Q125" i="4"/>
  <c r="F125" i="2"/>
  <c r="T126" i="4" l="1"/>
  <c r="I126" i="2"/>
  <c r="S126" i="4"/>
  <c r="H126" i="2"/>
  <c r="R126" i="4"/>
  <c r="G126" i="2"/>
  <c r="Q126" i="4"/>
  <c r="F126" i="2"/>
  <c r="T127" i="4" l="1"/>
  <c r="I127" i="2"/>
  <c r="S127" i="4"/>
  <c r="H127" i="2"/>
  <c r="R127" i="4"/>
  <c r="G127" i="2"/>
  <c r="Q127" i="4"/>
  <c r="F127" i="2"/>
  <c r="T128" i="4" l="1"/>
  <c r="I128" i="2"/>
  <c r="S128" i="4"/>
  <c r="H128" i="2"/>
  <c r="R128" i="4"/>
  <c r="G128" i="2"/>
  <c r="Q128" i="4"/>
  <c r="F128" i="2"/>
  <c r="T129" i="4" l="1"/>
  <c r="I129" i="2"/>
  <c r="S129" i="4"/>
  <c r="H129" i="2"/>
  <c r="R129" i="4"/>
  <c r="G129" i="2"/>
  <c r="Q129" i="4"/>
  <c r="F129" i="2"/>
  <c r="T130" i="4" l="1"/>
  <c r="I130" i="2"/>
  <c r="S130" i="4"/>
  <c r="H130" i="2"/>
  <c r="R130" i="4"/>
  <c r="G130" i="2"/>
  <c r="Q130" i="4"/>
  <c r="F130" i="2"/>
  <c r="T131" i="4" l="1"/>
  <c r="I131" i="2"/>
  <c r="S131" i="4"/>
  <c r="H131" i="2"/>
  <c r="R131" i="4"/>
  <c r="G131" i="2"/>
  <c r="Q131" i="4"/>
  <c r="F131" i="2"/>
  <c r="T132" i="4" l="1"/>
  <c r="I132" i="2"/>
  <c r="S132" i="4"/>
  <c r="H132" i="2"/>
  <c r="R132" i="4"/>
  <c r="G132" i="2"/>
  <c r="Q132" i="4"/>
  <c r="F132" i="2"/>
  <c r="T133" i="4" l="1"/>
  <c r="I133" i="2"/>
  <c r="S133" i="4"/>
  <c r="H133" i="2"/>
  <c r="R133" i="4"/>
  <c r="G133" i="2"/>
  <c r="Q133" i="4"/>
  <c r="F133" i="2"/>
  <c r="T134" i="4" l="1"/>
  <c r="I134" i="2"/>
  <c r="S134" i="4"/>
  <c r="H134" i="2"/>
  <c r="R134" i="4"/>
  <c r="G134" i="2"/>
  <c r="Q134" i="4"/>
  <c r="F134" i="2"/>
  <c r="T135" i="4" l="1"/>
  <c r="I135" i="2"/>
  <c r="S135" i="4"/>
  <c r="H135" i="2"/>
  <c r="R135" i="4"/>
  <c r="G135" i="2"/>
  <c r="Q135" i="4"/>
  <c r="F135" i="2"/>
  <c r="T136" i="4" l="1"/>
  <c r="I136" i="2"/>
  <c r="S136" i="4"/>
  <c r="H136" i="2"/>
  <c r="R136" i="4"/>
  <c r="G136" i="2"/>
  <c r="Q136" i="4"/>
  <c r="F136" i="2"/>
  <c r="T137" i="4" l="1"/>
  <c r="I137" i="2"/>
  <c r="S137" i="4"/>
  <c r="H137" i="2"/>
  <c r="R137" i="4"/>
  <c r="G137" i="2"/>
  <c r="Q137" i="4"/>
  <c r="F137" i="2"/>
  <c r="T138" i="4" l="1"/>
  <c r="I138" i="2"/>
  <c r="S138" i="4"/>
  <c r="H138" i="2"/>
  <c r="R138" i="4"/>
  <c r="G138" i="2"/>
  <c r="Q138" i="4"/>
  <c r="F138" i="2"/>
  <c r="T139" i="4" l="1"/>
  <c r="I139" i="2"/>
  <c r="S139" i="4"/>
  <c r="H139" i="2"/>
  <c r="R139" i="4"/>
  <c r="G139" i="2"/>
  <c r="Q139" i="4"/>
  <c r="F139" i="2"/>
  <c r="T140" i="4" l="1"/>
  <c r="I140" i="2"/>
  <c r="S140" i="4"/>
  <c r="H140" i="2"/>
  <c r="R140" i="4"/>
  <c r="G140" i="2"/>
  <c r="Q140" i="4"/>
  <c r="F140" i="2"/>
  <c r="T141" i="4" l="1"/>
  <c r="I141" i="2"/>
  <c r="S141" i="4"/>
  <c r="H141" i="2"/>
  <c r="R141" i="4"/>
  <c r="G141" i="2"/>
  <c r="Q141" i="4"/>
  <c r="F141" i="2"/>
  <c r="T142" i="4" l="1"/>
  <c r="I142" i="2"/>
  <c r="S142" i="4"/>
  <c r="H142" i="2"/>
  <c r="R142" i="4"/>
  <c r="G142" i="2"/>
  <c r="Q142" i="4"/>
  <c r="F142" i="2"/>
  <c r="T143" i="4" l="1"/>
  <c r="I143" i="2"/>
  <c r="S143" i="4"/>
  <c r="H143" i="2"/>
  <c r="R143" i="4"/>
  <c r="G143" i="2"/>
  <c r="Q143" i="4"/>
  <c r="F143" i="2"/>
  <c r="T144" i="4" l="1"/>
  <c r="I144" i="2"/>
  <c r="S144" i="4"/>
  <c r="H144" i="2"/>
  <c r="R144" i="4"/>
  <c r="G144" i="2"/>
  <c r="Q144" i="4"/>
  <c r="F144" i="2"/>
  <c r="T145" i="4" l="1"/>
  <c r="I145" i="2"/>
  <c r="S145" i="4"/>
  <c r="H145" i="2"/>
  <c r="R145" i="4"/>
  <c r="G145" i="2"/>
  <c r="Q145" i="4"/>
  <c r="F145" i="2"/>
  <c r="T146" i="4" l="1"/>
  <c r="I146" i="2"/>
  <c r="S146" i="4"/>
  <c r="H146" i="2"/>
  <c r="R146" i="4"/>
  <c r="G146" i="2"/>
  <c r="Q146" i="4"/>
  <c r="F146" i="2"/>
  <c r="T147" i="4" l="1"/>
  <c r="I147" i="2"/>
  <c r="S147" i="4"/>
  <c r="H147" i="2"/>
  <c r="R147" i="4"/>
  <c r="G147" i="2"/>
  <c r="Q147" i="4"/>
  <c r="F147" i="2"/>
  <c r="T148" i="4" l="1"/>
  <c r="I148" i="2"/>
  <c r="S148" i="4"/>
  <c r="H148" i="2"/>
  <c r="R148" i="4"/>
  <c r="G148" i="2"/>
  <c r="Q148" i="4"/>
  <c r="F148" i="2"/>
  <c r="T149" i="4" l="1"/>
  <c r="I149" i="2"/>
  <c r="S149" i="4"/>
  <c r="H149" i="2"/>
  <c r="R149" i="4"/>
  <c r="G149" i="2"/>
  <c r="Q149" i="4"/>
  <c r="F149" i="2"/>
  <c r="T150" i="4" l="1"/>
  <c r="I150" i="2"/>
  <c r="S150" i="4"/>
  <c r="H150" i="2"/>
  <c r="R150" i="4"/>
  <c r="G150" i="2"/>
  <c r="Q150" i="4"/>
  <c r="F150" i="2"/>
  <c r="T151" i="4" l="1"/>
  <c r="I151" i="2"/>
  <c r="S151" i="4"/>
  <c r="H151" i="2"/>
  <c r="R151" i="4"/>
  <c r="G151" i="2"/>
  <c r="Q151" i="4"/>
  <c r="F151" i="2"/>
  <c r="T152" i="4" l="1"/>
  <c r="I152" i="2"/>
  <c r="S152" i="4"/>
  <c r="H152" i="2"/>
  <c r="R152" i="4"/>
  <c r="G152" i="2"/>
  <c r="Q152" i="4"/>
  <c r="F152" i="2"/>
  <c r="T153" i="4" l="1"/>
  <c r="I153" i="2"/>
  <c r="S153" i="4"/>
  <c r="H153" i="2"/>
  <c r="R153" i="4"/>
  <c r="G153" i="2"/>
  <c r="Q153" i="4"/>
  <c r="F153" i="2"/>
  <c r="T154" i="4" l="1"/>
  <c r="I154" i="2"/>
  <c r="S154" i="4"/>
  <c r="H154" i="2"/>
  <c r="R154" i="4"/>
  <c r="G154" i="2"/>
  <c r="Q154" i="4"/>
  <c r="F154" i="2"/>
  <c r="T155" i="4" l="1"/>
  <c r="I155" i="2"/>
  <c r="S155" i="4"/>
  <c r="H155" i="2"/>
  <c r="R155" i="4"/>
  <c r="G155" i="2"/>
  <c r="Q155" i="4"/>
  <c r="F155" i="2"/>
  <c r="T156" i="4" l="1"/>
  <c r="I156" i="2"/>
  <c r="S156" i="4"/>
  <c r="H156" i="2"/>
  <c r="R156" i="4"/>
  <c r="G156" i="2"/>
  <c r="Q156" i="4"/>
  <c r="F156" i="2"/>
  <c r="T157" i="4" l="1"/>
  <c r="I157" i="2"/>
  <c r="S157" i="4"/>
  <c r="H157" i="2"/>
  <c r="R157" i="4"/>
  <c r="G157" i="2"/>
  <c r="Q157" i="4"/>
  <c r="F157" i="2"/>
  <c r="T158" i="4" l="1"/>
  <c r="I158" i="2"/>
  <c r="S158" i="4"/>
  <c r="H158" i="2"/>
  <c r="R158" i="4"/>
  <c r="G158" i="2"/>
  <c r="Q158" i="4"/>
  <c r="F158" i="2"/>
  <c r="T159" i="4" l="1"/>
  <c r="I159" i="2"/>
  <c r="S159" i="4"/>
  <c r="H159" i="2"/>
  <c r="R159" i="4"/>
  <c r="G159" i="2"/>
  <c r="Q159" i="4"/>
  <c r="F159" i="2"/>
  <c r="T160" i="4" l="1"/>
  <c r="I160" i="2"/>
  <c r="S160" i="4"/>
  <c r="H160" i="2"/>
  <c r="R160" i="4"/>
  <c r="G160" i="2"/>
  <c r="Q160" i="4"/>
  <c r="F160" i="2"/>
  <c r="T161" i="4" l="1"/>
  <c r="I161" i="2"/>
  <c r="S161" i="4"/>
  <c r="H161" i="2"/>
  <c r="R161" i="4"/>
  <c r="G161" i="2"/>
  <c r="Q161" i="4"/>
  <c r="F161" i="2"/>
  <c r="T162" i="4" l="1"/>
  <c r="I162" i="2"/>
  <c r="S162" i="4"/>
  <c r="H162" i="2"/>
  <c r="R162" i="4"/>
  <c r="G162" i="2"/>
  <c r="Q162" i="4"/>
  <c r="F162" i="2"/>
  <c r="T163" i="4" l="1"/>
  <c r="I163" i="2"/>
  <c r="S163" i="4"/>
  <c r="H163" i="2"/>
  <c r="R163" i="4"/>
  <c r="G163" i="2"/>
  <c r="Q163" i="4"/>
  <c r="F163" i="2"/>
  <c r="T164" i="4" l="1"/>
  <c r="I164" i="2"/>
  <c r="S164" i="4"/>
  <c r="H164" i="2"/>
  <c r="R164" i="4"/>
  <c r="G164" i="2"/>
  <c r="Q164" i="4"/>
  <c r="F164" i="2"/>
  <c r="T165" i="4" l="1"/>
  <c r="I165" i="2"/>
  <c r="S165" i="4"/>
  <c r="H165" i="2"/>
  <c r="R165" i="4"/>
  <c r="G165" i="2"/>
  <c r="Q165" i="4"/>
  <c r="F165" i="2"/>
  <c r="T166" i="4" l="1"/>
  <c r="I166" i="2"/>
  <c r="S166" i="4"/>
  <c r="H166" i="2"/>
  <c r="R166" i="4"/>
  <c r="G166" i="2"/>
  <c r="Q166" i="4"/>
  <c r="F166" i="2"/>
  <c r="T167" i="4" l="1"/>
  <c r="I167" i="2"/>
  <c r="S167" i="4"/>
  <c r="H167" i="2"/>
  <c r="R167" i="4"/>
  <c r="G167" i="2"/>
  <c r="Q167" i="4"/>
  <c r="F167" i="2"/>
  <c r="T168" i="4" l="1"/>
  <c r="I168" i="2"/>
  <c r="S168" i="4"/>
  <c r="H168" i="2"/>
  <c r="R168" i="4"/>
  <c r="G168" i="2"/>
  <c r="Q168" i="4"/>
  <c r="F168" i="2"/>
  <c r="T169" i="4" l="1"/>
  <c r="I169" i="2"/>
  <c r="S169" i="4"/>
  <c r="H169" i="2"/>
  <c r="R169" i="4"/>
  <c r="G169" i="2"/>
  <c r="Q169" i="4"/>
  <c r="F169" i="2"/>
  <c r="T170" i="4" l="1"/>
  <c r="I170" i="2"/>
  <c r="S170" i="4"/>
  <c r="H170" i="2"/>
  <c r="R170" i="4"/>
  <c r="G170" i="2"/>
  <c r="Q170" i="4"/>
  <c r="F170" i="2"/>
  <c r="T171" i="4" l="1"/>
  <c r="I171" i="2"/>
  <c r="S171" i="4"/>
  <c r="H171" i="2"/>
  <c r="R171" i="4"/>
  <c r="G171" i="2"/>
  <c r="Q171" i="4"/>
  <c r="F171" i="2"/>
  <c r="T172" i="4" l="1"/>
  <c r="I172" i="2"/>
  <c r="S172" i="4"/>
  <c r="H172" i="2"/>
  <c r="R172" i="4"/>
  <c r="G172" i="2"/>
  <c r="Q172" i="4"/>
  <c r="F172" i="2"/>
  <c r="T173" i="4" l="1"/>
  <c r="I173" i="2"/>
  <c r="S173" i="4"/>
  <c r="H173" i="2"/>
  <c r="R173" i="4"/>
  <c r="G173" i="2"/>
  <c r="Q173" i="4"/>
  <c r="F173" i="2"/>
  <c r="T174" i="4" l="1"/>
  <c r="I174" i="2"/>
  <c r="S174" i="4"/>
  <c r="H174" i="2"/>
  <c r="R174" i="4"/>
  <c r="G174" i="2"/>
  <c r="Q174" i="4"/>
  <c r="F174" i="2"/>
  <c r="T175" i="4" l="1"/>
  <c r="I175" i="2"/>
  <c r="S175" i="4"/>
  <c r="H175" i="2"/>
  <c r="R175" i="4"/>
  <c r="G175" i="2"/>
  <c r="Q175" i="4"/>
  <c r="F175" i="2"/>
  <c r="T176" i="4" l="1"/>
  <c r="I176" i="2"/>
  <c r="S176" i="4"/>
  <c r="H176" i="2"/>
  <c r="R176" i="4"/>
  <c r="G176" i="2"/>
  <c r="Q176" i="4"/>
  <c r="F176" i="2"/>
  <c r="T177" i="4" l="1"/>
  <c r="I177" i="2"/>
  <c r="S177" i="4"/>
  <c r="H177" i="2"/>
  <c r="R177" i="4"/>
  <c r="G177" i="2"/>
  <c r="Q177" i="4"/>
  <c r="F177" i="2"/>
  <c r="T178" i="4" l="1"/>
  <c r="I178" i="2"/>
  <c r="S178" i="4"/>
  <c r="H178" i="2"/>
  <c r="R178" i="4"/>
  <c r="G178" i="2"/>
  <c r="Q178" i="4"/>
  <c r="F178" i="2"/>
  <c r="T179" i="4" l="1"/>
  <c r="I179" i="2"/>
  <c r="S179" i="4"/>
  <c r="H179" i="2"/>
  <c r="R179" i="4"/>
  <c r="G179" i="2"/>
  <c r="Q179" i="4"/>
  <c r="F179" i="2"/>
  <c r="T180" i="4" l="1"/>
  <c r="I180" i="2"/>
  <c r="S180" i="4"/>
  <c r="H180" i="2"/>
  <c r="R180" i="4"/>
  <c r="G180" i="2"/>
  <c r="Q180" i="4"/>
  <c r="F180" i="2"/>
  <c r="T181" i="4" l="1"/>
  <c r="I181" i="2"/>
  <c r="S181" i="4"/>
  <c r="H181" i="2"/>
  <c r="R181" i="4"/>
  <c r="G181" i="2"/>
  <c r="Q181" i="4"/>
  <c r="F181" i="2"/>
  <c r="T182" i="4" l="1"/>
  <c r="I182" i="2"/>
  <c r="S182" i="4"/>
  <c r="H182" i="2"/>
  <c r="R182" i="4"/>
  <c r="G182" i="2"/>
  <c r="Q182" i="4"/>
  <c r="F182" i="2"/>
  <c r="T183" i="4" l="1"/>
  <c r="I183" i="2"/>
  <c r="S183" i="4"/>
  <c r="H183" i="2"/>
  <c r="R183" i="4"/>
  <c r="G183" i="2"/>
  <c r="Q183" i="4"/>
  <c r="F183" i="2"/>
  <c r="T184" i="4" l="1"/>
  <c r="I184" i="2"/>
  <c r="S184" i="4"/>
  <c r="H184" i="2"/>
  <c r="R184" i="4"/>
  <c r="G184" i="2"/>
  <c r="Q184" i="4"/>
  <c r="F184" i="2"/>
  <c r="T185" i="4" l="1"/>
  <c r="I185" i="2"/>
  <c r="S185" i="4"/>
  <c r="H185" i="2"/>
  <c r="R185" i="4"/>
  <c r="G185" i="2"/>
  <c r="Q185" i="4"/>
  <c r="F185" i="2"/>
  <c r="T186" i="4" l="1"/>
  <c r="I186" i="2"/>
  <c r="S186" i="4"/>
  <c r="H186" i="2"/>
  <c r="R186" i="4"/>
  <c r="G186" i="2"/>
  <c r="Q186" i="4"/>
  <c r="F186" i="2"/>
  <c r="T187" i="4" l="1"/>
  <c r="I187" i="2"/>
  <c r="S187" i="4"/>
  <c r="H187" i="2"/>
  <c r="R187" i="4"/>
  <c r="G187" i="2"/>
  <c r="Q187" i="4"/>
  <c r="F187" i="2"/>
  <c r="T188" i="4" l="1"/>
  <c r="I188" i="2"/>
  <c r="S188" i="4"/>
  <c r="H188" i="2"/>
  <c r="R188" i="4"/>
  <c r="G188" i="2"/>
  <c r="Q188" i="4"/>
  <c r="F188" i="2"/>
  <c r="T189" i="4" l="1"/>
  <c r="I189" i="2"/>
  <c r="S189" i="4"/>
  <c r="H189" i="2"/>
  <c r="R189" i="4"/>
  <c r="G189" i="2"/>
  <c r="Q189" i="4"/>
  <c r="F189" i="2"/>
  <c r="T190" i="4" l="1"/>
  <c r="I190" i="2"/>
  <c r="S190" i="4"/>
  <c r="H190" i="2"/>
  <c r="R190" i="4"/>
  <c r="G190" i="2"/>
  <c r="Q190" i="4"/>
  <c r="F190" i="2"/>
  <c r="T191" i="4" l="1"/>
  <c r="I191" i="2"/>
  <c r="S191" i="4"/>
  <c r="H191" i="2"/>
  <c r="R191" i="4"/>
  <c r="G191" i="2"/>
  <c r="Q191" i="4"/>
  <c r="F191" i="2"/>
  <c r="T192" i="4" l="1"/>
  <c r="I192" i="2"/>
  <c r="S192" i="4"/>
  <c r="H192" i="2"/>
  <c r="R192" i="4"/>
  <c r="G192" i="2"/>
  <c r="Q192" i="4"/>
  <c r="F192" i="2"/>
  <c r="T193" i="4" l="1"/>
  <c r="I193" i="2"/>
  <c r="S193" i="4"/>
  <c r="H193" i="2"/>
  <c r="R193" i="4"/>
  <c r="G193" i="2"/>
  <c r="Q193" i="4"/>
  <c r="F193" i="2"/>
  <c r="T194" i="4" l="1"/>
  <c r="I194" i="2"/>
  <c r="S194" i="4"/>
  <c r="H194" i="2"/>
  <c r="R194" i="4"/>
  <c r="G194" i="2"/>
  <c r="Q194" i="4"/>
  <c r="F194" i="2"/>
  <c r="T195" i="4" l="1"/>
  <c r="I195" i="2"/>
  <c r="S195" i="4"/>
  <c r="H195" i="2"/>
  <c r="R195" i="4"/>
  <c r="G195" i="2"/>
  <c r="Q195" i="4"/>
  <c r="F195" i="2"/>
  <c r="T196" i="4" l="1"/>
  <c r="I196" i="2"/>
  <c r="S196" i="4"/>
  <c r="H196" i="2"/>
  <c r="R196" i="4"/>
  <c r="G196" i="2"/>
  <c r="Q196" i="4"/>
  <c r="F196" i="2"/>
  <c r="T197" i="4" l="1"/>
  <c r="I197" i="2"/>
  <c r="S197" i="4"/>
  <c r="H197" i="2"/>
  <c r="R197" i="4"/>
  <c r="G197" i="2"/>
  <c r="Q197" i="4"/>
  <c r="F197" i="2"/>
  <c r="T198" i="4" l="1"/>
  <c r="I198" i="2"/>
  <c r="S198" i="4"/>
  <c r="H198" i="2"/>
  <c r="R198" i="4"/>
  <c r="G198" i="2"/>
  <c r="Q198" i="4"/>
  <c r="F198" i="2"/>
  <c r="T199" i="4" l="1"/>
  <c r="I199" i="2"/>
  <c r="S199" i="4"/>
  <c r="H199" i="2"/>
  <c r="R199" i="4"/>
  <c r="G199" i="2"/>
  <c r="Q199" i="4"/>
  <c r="F199" i="2"/>
  <c r="T200" i="4" l="1"/>
  <c r="I200" i="2"/>
  <c r="S200" i="4"/>
  <c r="H200" i="2"/>
  <c r="R200" i="4"/>
  <c r="G200" i="2"/>
  <c r="Q200" i="4"/>
  <c r="F200" i="2"/>
  <c r="T201" i="4" l="1"/>
  <c r="I201" i="2"/>
  <c r="S201" i="4"/>
  <c r="H201" i="2"/>
  <c r="R201" i="4"/>
  <c r="G201" i="2"/>
  <c r="Q201" i="4"/>
  <c r="F201" i="2"/>
  <c r="T202" i="4" l="1"/>
  <c r="I202" i="2"/>
  <c r="S202" i="4"/>
  <c r="H202" i="2"/>
  <c r="R202" i="4"/>
  <c r="G202" i="2"/>
  <c r="Q202" i="4"/>
  <c r="F202" i="2"/>
  <c r="T203" i="4" l="1"/>
  <c r="I203" i="2"/>
  <c r="S203" i="4"/>
  <c r="H203" i="2"/>
  <c r="R203" i="4"/>
  <c r="G203" i="2"/>
  <c r="Q203" i="4"/>
  <c r="F203" i="2"/>
  <c r="T204" i="4" l="1"/>
  <c r="I204" i="2"/>
  <c r="S204" i="4"/>
  <c r="H204" i="2"/>
  <c r="R204" i="4"/>
  <c r="G204" i="2"/>
  <c r="Q204" i="4"/>
  <c r="F204" i="2"/>
  <c r="T205" i="4" l="1"/>
  <c r="I205" i="2"/>
  <c r="S205" i="4"/>
  <c r="H205" i="2"/>
  <c r="R205" i="4"/>
  <c r="G205" i="2"/>
  <c r="Q205" i="4"/>
  <c r="F205" i="2"/>
  <c r="T206" i="4" l="1"/>
  <c r="I206" i="2"/>
  <c r="S206" i="4"/>
  <c r="H206" i="2"/>
  <c r="R206" i="4"/>
  <c r="G206" i="2"/>
  <c r="Q206" i="4"/>
  <c r="F206" i="2"/>
  <c r="T207" i="4" l="1"/>
  <c r="I207" i="2"/>
  <c r="S207" i="4"/>
  <c r="H207" i="2"/>
  <c r="R207" i="4"/>
  <c r="G207" i="2"/>
  <c r="Q207" i="4"/>
  <c r="F207" i="2"/>
  <c r="T208" i="4" l="1"/>
  <c r="I208" i="2"/>
  <c r="S208" i="4"/>
  <c r="H208" i="2"/>
  <c r="R208" i="4"/>
  <c r="G208" i="2"/>
  <c r="Q208" i="4"/>
  <c r="F208" i="2"/>
  <c r="T209" i="4" l="1"/>
  <c r="I209" i="2"/>
  <c r="S209" i="4"/>
  <c r="H209" i="2"/>
  <c r="R209" i="4"/>
  <c r="G209" i="2"/>
  <c r="Q209" i="4"/>
  <c r="F209" i="2"/>
  <c r="T210" i="4" l="1"/>
  <c r="I210" i="2"/>
  <c r="S210" i="4"/>
  <c r="H210" i="2"/>
  <c r="R210" i="4"/>
  <c r="G210" i="2"/>
  <c r="Q210" i="4"/>
  <c r="F210" i="2"/>
  <c r="T211" i="4" l="1"/>
  <c r="I211" i="2"/>
  <c r="S211" i="4"/>
  <c r="H211" i="2"/>
  <c r="R211" i="4"/>
  <c r="G211" i="2"/>
  <c r="Q211" i="4"/>
  <c r="F211" i="2"/>
  <c r="T212" i="4" l="1"/>
  <c r="I212" i="2"/>
  <c r="S212" i="4"/>
  <c r="H212" i="2"/>
  <c r="R212" i="4"/>
  <c r="G212" i="2"/>
  <c r="Q212" i="4"/>
  <c r="F212" i="2"/>
  <c r="T213" i="4" l="1"/>
  <c r="I213" i="2"/>
  <c r="S213" i="4"/>
  <c r="H213" i="2"/>
  <c r="R213" i="4"/>
  <c r="G213" i="2"/>
  <c r="Q213" i="4"/>
  <c r="F213" i="2"/>
  <c r="T214" i="4" l="1"/>
  <c r="I214" i="2"/>
  <c r="S214" i="4"/>
  <c r="H214" i="2"/>
  <c r="R214" i="4"/>
  <c r="G214" i="2"/>
  <c r="Q214" i="4"/>
  <c r="F214" i="2"/>
  <c r="T215" i="4" l="1"/>
  <c r="I215" i="2"/>
  <c r="S215" i="4"/>
  <c r="H215" i="2"/>
  <c r="R215" i="4"/>
  <c r="G215" i="2"/>
  <c r="Q215" i="4"/>
  <c r="F215" i="2"/>
  <c r="T216" i="4" l="1"/>
  <c r="I216" i="2"/>
  <c r="S216" i="4"/>
  <c r="H216" i="2"/>
  <c r="R216" i="4"/>
  <c r="G216" i="2"/>
  <c r="Q216" i="4"/>
  <c r="F216" i="2"/>
  <c r="T217" i="4" l="1"/>
  <c r="I217" i="2"/>
  <c r="S217" i="4"/>
  <c r="H217" i="2"/>
  <c r="R217" i="4"/>
  <c r="G217" i="2"/>
  <c r="Q217" i="4"/>
  <c r="F217" i="2"/>
  <c r="T218" i="4" l="1"/>
  <c r="I218" i="2"/>
  <c r="S218" i="4"/>
  <c r="H218" i="2"/>
  <c r="R218" i="4"/>
  <c r="G218" i="2"/>
  <c r="Q218" i="4"/>
  <c r="F218" i="2"/>
  <c r="T219" i="4" l="1"/>
  <c r="I219" i="2"/>
  <c r="S219" i="4"/>
  <c r="H219" i="2"/>
  <c r="R219" i="4"/>
  <c r="G219" i="2"/>
  <c r="Q219" i="4"/>
  <c r="F219" i="2"/>
  <c r="T220" i="4" l="1"/>
  <c r="I220" i="2"/>
  <c r="S220" i="4"/>
  <c r="H220" i="2"/>
  <c r="R220" i="4"/>
  <c r="G220" i="2"/>
  <c r="Q220" i="4"/>
  <c r="F220" i="2"/>
  <c r="T221" i="4" l="1"/>
  <c r="I221" i="2"/>
  <c r="S221" i="4"/>
  <c r="H221" i="2"/>
  <c r="R221" i="4"/>
  <c r="G221" i="2"/>
  <c r="Q221" i="4"/>
  <c r="F221" i="2"/>
  <c r="T222" i="4" l="1"/>
  <c r="I222" i="2"/>
  <c r="S222" i="4"/>
  <c r="H222" i="2"/>
  <c r="R222" i="4"/>
  <c r="G222" i="2"/>
  <c r="Q222" i="4"/>
  <c r="F222" i="2"/>
  <c r="T223" i="4" l="1"/>
  <c r="I223" i="2"/>
  <c r="S223" i="4"/>
  <c r="H223" i="2"/>
  <c r="R223" i="4"/>
  <c r="G223" i="2"/>
  <c r="Q223" i="4"/>
  <c r="F223" i="2"/>
  <c r="T224" i="4" l="1"/>
  <c r="I224" i="2"/>
  <c r="S224" i="4"/>
  <c r="H224" i="2"/>
  <c r="R224" i="4"/>
  <c r="G224" i="2"/>
  <c r="Q224" i="4"/>
  <c r="F224" i="2"/>
  <c r="T225" i="4" l="1"/>
  <c r="I225" i="2"/>
  <c r="S225" i="4"/>
  <c r="H225" i="2"/>
  <c r="R225" i="4"/>
  <c r="G225" i="2"/>
  <c r="Q225" i="4"/>
  <c r="F225" i="2"/>
  <c r="T226" i="4" l="1"/>
  <c r="I226" i="2"/>
  <c r="S226" i="4"/>
  <c r="H226" i="2"/>
  <c r="R226" i="4"/>
  <c r="G226" i="2"/>
  <c r="Q226" i="4"/>
  <c r="F226" i="2"/>
  <c r="T227" i="4" l="1"/>
  <c r="I227" i="2"/>
  <c r="S227" i="4"/>
  <c r="H227" i="2"/>
  <c r="R227" i="4"/>
  <c r="G227" i="2"/>
  <c r="Q227" i="4"/>
  <c r="F227" i="2"/>
  <c r="T228" i="4" l="1"/>
  <c r="I228" i="2"/>
  <c r="S228" i="4"/>
  <c r="H228" i="2"/>
  <c r="R228" i="4"/>
  <c r="G228" i="2"/>
  <c r="Q228" i="4"/>
  <c r="F228" i="2"/>
  <c r="T229" i="4" l="1"/>
  <c r="I229" i="2"/>
  <c r="S229" i="4"/>
  <c r="H229" i="2"/>
  <c r="R229" i="4"/>
  <c r="G229" i="2"/>
  <c r="Q229" i="4"/>
  <c r="F229" i="2"/>
  <c r="T230" i="4" l="1"/>
  <c r="I230" i="2"/>
  <c r="S230" i="4"/>
  <c r="H230" i="2"/>
  <c r="R230" i="4"/>
  <c r="G230" i="2"/>
  <c r="Q230" i="4"/>
  <c r="F230" i="2"/>
  <c r="T231" i="4" l="1"/>
  <c r="I231" i="2"/>
  <c r="S231" i="4"/>
  <c r="H231" i="2"/>
  <c r="R231" i="4"/>
  <c r="G231" i="2"/>
  <c r="Q231" i="4"/>
  <c r="F231" i="2"/>
  <c r="T232" i="4" l="1"/>
  <c r="I232" i="2"/>
  <c r="S232" i="4"/>
  <c r="H232" i="2"/>
  <c r="R232" i="4"/>
  <c r="G232" i="2"/>
  <c r="Q232" i="4"/>
  <c r="F232" i="2"/>
  <c r="T233" i="4" l="1"/>
  <c r="I233" i="2"/>
  <c r="S233" i="4"/>
  <c r="H233" i="2"/>
  <c r="R233" i="4"/>
  <c r="G233" i="2"/>
  <c r="Q233" i="4"/>
  <c r="F233" i="2"/>
  <c r="T234" i="4" l="1"/>
  <c r="I234" i="2"/>
  <c r="S234" i="4"/>
  <c r="H234" i="2"/>
  <c r="R234" i="4"/>
  <c r="G234" i="2"/>
  <c r="Q234" i="4"/>
  <c r="F234" i="2"/>
  <c r="T235" i="4" l="1"/>
  <c r="I235" i="2"/>
  <c r="S235" i="4"/>
  <c r="H235" i="2"/>
  <c r="R235" i="4"/>
  <c r="G235" i="2"/>
  <c r="Q235" i="4"/>
  <c r="F235" i="2"/>
  <c r="T236" i="4" l="1"/>
  <c r="I236" i="2"/>
  <c r="S236" i="4"/>
  <c r="H236" i="2"/>
  <c r="R236" i="4"/>
  <c r="G236" i="2"/>
  <c r="Q236" i="4"/>
  <c r="F236" i="2"/>
  <c r="T237" i="4" l="1"/>
  <c r="I237" i="2"/>
  <c r="S237" i="4"/>
  <c r="H237" i="2"/>
  <c r="R237" i="4"/>
  <c r="G237" i="2"/>
  <c r="Q237" i="4"/>
  <c r="F237" i="2"/>
  <c r="T238" i="4" l="1"/>
  <c r="I238" i="2"/>
  <c r="S238" i="4"/>
  <c r="H238" i="2"/>
  <c r="R238" i="4"/>
  <c r="G238" i="2"/>
  <c r="Q238" i="4"/>
  <c r="F238" i="2"/>
  <c r="T239" i="4" l="1"/>
  <c r="I239" i="2"/>
  <c r="S239" i="4"/>
  <c r="H239" i="2"/>
  <c r="R239" i="4"/>
  <c r="G239" i="2"/>
  <c r="Q239" i="4"/>
  <c r="F239" i="2"/>
  <c r="T240" i="4" l="1"/>
  <c r="I240" i="2"/>
  <c r="S240" i="4"/>
  <c r="H240" i="2"/>
  <c r="R240" i="4"/>
  <c r="G240" i="2"/>
  <c r="Q240" i="4"/>
  <c r="F240" i="2"/>
  <c r="T241" i="4" l="1"/>
  <c r="I241" i="2"/>
  <c r="S241" i="4"/>
  <c r="H241" i="2"/>
  <c r="R241" i="4"/>
  <c r="G241" i="2"/>
  <c r="Q241" i="4"/>
  <c r="F241" i="2"/>
  <c r="T242" i="4" l="1"/>
  <c r="I242" i="2"/>
  <c r="S242" i="4"/>
  <c r="H242" i="2"/>
  <c r="R242" i="4"/>
  <c r="G242" i="2"/>
  <c r="Q242" i="4"/>
  <c r="F242" i="2"/>
  <c r="T243" i="4" l="1"/>
  <c r="I243" i="2"/>
  <c r="S243" i="4"/>
  <c r="H243" i="2"/>
  <c r="R243" i="4"/>
  <c r="G243" i="2"/>
  <c r="Q243" i="4"/>
  <c r="F243" i="2"/>
  <c r="T244" i="4" l="1"/>
  <c r="I244" i="2"/>
  <c r="S244" i="4"/>
  <c r="H244" i="2"/>
  <c r="R244" i="4"/>
  <c r="G244" i="2"/>
  <c r="Q244" i="4"/>
  <c r="F244" i="2"/>
  <c r="T245" i="4" l="1"/>
  <c r="I245" i="2"/>
  <c r="S245" i="4"/>
  <c r="H245" i="2"/>
  <c r="R245" i="4"/>
  <c r="G245" i="2"/>
  <c r="Q245" i="4"/>
  <c r="F245" i="2"/>
  <c r="T246" i="4" l="1"/>
  <c r="I246" i="2"/>
  <c r="S246" i="4"/>
  <c r="H246" i="2"/>
  <c r="R246" i="4"/>
  <c r="G246" i="2"/>
  <c r="Q246" i="4"/>
  <c r="F246" i="2"/>
  <c r="T247" i="4" l="1"/>
  <c r="I247" i="2"/>
  <c r="S247" i="4"/>
  <c r="H247" i="2"/>
  <c r="R247" i="4"/>
  <c r="G247" i="2"/>
  <c r="Q247" i="4"/>
  <c r="F247" i="2"/>
  <c r="T248" i="4" l="1"/>
  <c r="I248" i="2"/>
  <c r="S248" i="4"/>
  <c r="H248" i="2"/>
  <c r="R248" i="4"/>
  <c r="G248" i="2"/>
  <c r="Q248" i="4"/>
  <c r="F248" i="2"/>
  <c r="T249" i="4" l="1"/>
  <c r="I249" i="2"/>
  <c r="S249" i="4"/>
  <c r="H249" i="2"/>
  <c r="R249" i="4"/>
  <c r="G249" i="2"/>
  <c r="Q249" i="4"/>
  <c r="F249" i="2"/>
  <c r="T250" i="4" l="1"/>
  <c r="I250" i="2"/>
  <c r="S250" i="4"/>
  <c r="H250" i="2"/>
  <c r="R250" i="4"/>
  <c r="G250" i="2"/>
  <c r="Q250" i="4"/>
  <c r="F250" i="2"/>
  <c r="T251" i="4" l="1"/>
  <c r="I251" i="2"/>
  <c r="S251" i="4"/>
  <c r="H251" i="2"/>
  <c r="R251" i="4"/>
  <c r="G251" i="2"/>
  <c r="Q251" i="4"/>
  <c r="F251" i="2"/>
  <c r="T252" i="4" l="1"/>
  <c r="I252" i="2"/>
  <c r="S252" i="4"/>
  <c r="H252" i="2"/>
  <c r="R252" i="4"/>
  <c r="G252" i="2"/>
  <c r="Q252" i="4"/>
  <c r="F252" i="2"/>
  <c r="T253" i="4" l="1"/>
  <c r="I253" i="2"/>
  <c r="S253" i="4"/>
  <c r="H253" i="2"/>
  <c r="R253" i="4"/>
  <c r="G253" i="2"/>
  <c r="Q253" i="4"/>
  <c r="F253" i="2"/>
  <c r="T254" i="4" l="1"/>
  <c r="I254" i="2"/>
  <c r="S254" i="4"/>
  <c r="H254" i="2"/>
  <c r="R254" i="4"/>
  <c r="G254" i="2"/>
  <c r="Q254" i="4"/>
  <c r="F254" i="2"/>
  <c r="T255" i="4" l="1"/>
  <c r="I255" i="2"/>
  <c r="S255" i="4"/>
  <c r="H255" i="2"/>
  <c r="R255" i="4"/>
  <c r="G255" i="2"/>
  <c r="Q255" i="4"/>
  <c r="F255" i="2"/>
  <c r="T256" i="4" l="1"/>
  <c r="I256" i="2"/>
  <c r="S256" i="4"/>
  <c r="H256" i="2"/>
  <c r="R256" i="4"/>
  <c r="G256" i="2"/>
  <c r="Q256" i="4"/>
  <c r="F256" i="2"/>
  <c r="T257" i="4" l="1"/>
  <c r="I257" i="2"/>
  <c r="S257" i="4"/>
  <c r="H257" i="2"/>
  <c r="R257" i="4"/>
  <c r="G257" i="2"/>
  <c r="Q257" i="4"/>
  <c r="F257" i="2"/>
  <c r="T258" i="4" l="1"/>
  <c r="I258" i="2"/>
  <c r="S258" i="4"/>
  <c r="H258" i="2"/>
  <c r="R258" i="4"/>
  <c r="G258" i="2"/>
  <c r="Q258" i="4"/>
  <c r="F258" i="2"/>
  <c r="T259" i="4" l="1"/>
  <c r="I259" i="2"/>
  <c r="S259" i="4"/>
  <c r="H259" i="2"/>
  <c r="R259" i="4"/>
  <c r="G259" i="2"/>
  <c r="Q259" i="4"/>
  <c r="F259" i="2"/>
  <c r="T260" i="4" l="1"/>
  <c r="I260" i="2"/>
  <c r="S260" i="4"/>
  <c r="H260" i="2"/>
  <c r="R260" i="4"/>
  <c r="G260" i="2"/>
  <c r="Q260" i="4"/>
  <c r="F260" i="2"/>
  <c r="T261" i="4" l="1"/>
  <c r="I261" i="2"/>
  <c r="S261" i="4"/>
  <c r="H261" i="2"/>
  <c r="R261" i="4"/>
  <c r="G261" i="2"/>
  <c r="Q261" i="4"/>
  <c r="F261" i="2"/>
  <c r="T262" i="4" l="1"/>
  <c r="I262" i="2"/>
  <c r="S262" i="4"/>
  <c r="H262" i="2"/>
  <c r="R262" i="4"/>
  <c r="G262" i="2"/>
  <c r="Q262" i="4"/>
  <c r="F262" i="2"/>
  <c r="T263" i="4" l="1"/>
  <c r="I263" i="2"/>
  <c r="S263" i="4"/>
  <c r="H263" i="2"/>
  <c r="R263" i="4"/>
  <c r="G263" i="2"/>
  <c r="Q263" i="4"/>
  <c r="F263" i="2"/>
  <c r="T264" i="4" l="1"/>
  <c r="I264" i="2"/>
  <c r="S264" i="4"/>
  <c r="H264" i="2"/>
  <c r="R264" i="4"/>
  <c r="G264" i="2"/>
  <c r="Q264" i="4"/>
  <c r="F264" i="2"/>
  <c r="T265" i="4" l="1"/>
  <c r="I265" i="2"/>
  <c r="S265" i="4"/>
  <c r="H265" i="2"/>
  <c r="R265" i="4"/>
  <c r="G265" i="2"/>
  <c r="Q265" i="4"/>
  <c r="F265" i="2"/>
  <c r="T266" i="4" l="1"/>
  <c r="I266" i="2"/>
  <c r="S266" i="4"/>
  <c r="H266" i="2"/>
  <c r="R266" i="4"/>
  <c r="G266" i="2"/>
  <c r="Q266" i="4"/>
  <c r="F266" i="2"/>
  <c r="T267" i="4" l="1"/>
  <c r="I267" i="2"/>
  <c r="S267" i="4"/>
  <c r="H267" i="2"/>
  <c r="R267" i="4"/>
  <c r="G267" i="2"/>
  <c r="Q267" i="4"/>
  <c r="F267" i="2"/>
  <c r="T268" i="4" l="1"/>
  <c r="I268" i="2"/>
  <c r="S268" i="4"/>
  <c r="H268" i="2"/>
  <c r="R268" i="4"/>
  <c r="G268" i="2"/>
  <c r="Q268" i="4"/>
  <c r="F268" i="2"/>
  <c r="T269" i="4" l="1"/>
  <c r="I269" i="2"/>
  <c r="S269" i="4"/>
  <c r="H269" i="2"/>
  <c r="R269" i="4"/>
  <c r="G269" i="2"/>
  <c r="Q269" i="4"/>
  <c r="F269" i="2"/>
  <c r="T270" i="4" l="1"/>
  <c r="I270" i="2"/>
  <c r="S270" i="4"/>
  <c r="H270" i="2"/>
  <c r="R270" i="4"/>
  <c r="G270" i="2"/>
  <c r="Q270" i="4"/>
  <c r="F270" i="2"/>
  <c r="T271" i="4" l="1"/>
  <c r="I271" i="2"/>
  <c r="S271" i="4"/>
  <c r="H271" i="2"/>
  <c r="R271" i="4"/>
  <c r="G271" i="2"/>
  <c r="Q271" i="4"/>
  <c r="F271" i="2"/>
  <c r="T272" i="4" l="1"/>
  <c r="I272" i="2"/>
  <c r="S272" i="4"/>
  <c r="H272" i="2"/>
  <c r="R272" i="4"/>
  <c r="G272" i="2"/>
  <c r="Q272" i="4"/>
  <c r="F272" i="2"/>
  <c r="T273" i="4" l="1"/>
  <c r="I273" i="2"/>
  <c r="S273" i="4"/>
  <c r="H273" i="2"/>
  <c r="R273" i="4"/>
  <c r="G273" i="2"/>
  <c r="Q273" i="4"/>
  <c r="F273" i="2"/>
  <c r="T274" i="4" l="1"/>
  <c r="I274" i="2"/>
  <c r="S274" i="4"/>
  <c r="H274" i="2"/>
  <c r="R274" i="4"/>
  <c r="G274" i="2"/>
  <c r="Q274" i="4"/>
  <c r="F274" i="2"/>
  <c r="T275" i="4" l="1"/>
  <c r="I275" i="2"/>
  <c r="S275" i="4"/>
  <c r="H275" i="2"/>
  <c r="R275" i="4"/>
  <c r="G275" i="2"/>
  <c r="Q275" i="4"/>
  <c r="F275" i="2"/>
  <c r="T276" i="4" l="1"/>
  <c r="I276" i="2"/>
  <c r="S276" i="4"/>
  <c r="H276" i="2"/>
  <c r="R276" i="4"/>
  <c r="G276" i="2"/>
  <c r="Q276" i="4"/>
  <c r="F276" i="2"/>
  <c r="T277" i="4" l="1"/>
  <c r="I277" i="2"/>
  <c r="S277" i="4"/>
  <c r="H277" i="2"/>
  <c r="R277" i="4"/>
  <c r="G277" i="2"/>
  <c r="Q277" i="4"/>
  <c r="F277" i="2"/>
  <c r="T278" i="4" l="1"/>
  <c r="I278" i="2"/>
  <c r="S278" i="4"/>
  <c r="H278" i="2"/>
  <c r="R278" i="4"/>
  <c r="G278" i="2"/>
  <c r="Q278" i="4"/>
  <c r="F278" i="2"/>
  <c r="T279" i="4" l="1"/>
  <c r="I279" i="2"/>
  <c r="S279" i="4"/>
  <c r="H279" i="2"/>
  <c r="R279" i="4"/>
  <c r="G279" i="2"/>
  <c r="Q279" i="4"/>
  <c r="F279" i="2"/>
  <c r="T280" i="4" l="1"/>
  <c r="I280" i="2"/>
  <c r="S280" i="4"/>
  <c r="H280" i="2"/>
  <c r="R280" i="4"/>
  <c r="G280" i="2"/>
  <c r="Q280" i="4"/>
  <c r="F280" i="2"/>
  <c r="T281" i="4" l="1"/>
  <c r="I281" i="2"/>
  <c r="S281" i="4"/>
  <c r="H281" i="2"/>
  <c r="R281" i="4"/>
  <c r="G281" i="2"/>
  <c r="Q281" i="4"/>
  <c r="F281" i="2"/>
  <c r="T282" i="4" l="1"/>
  <c r="I282" i="2"/>
  <c r="S282" i="4"/>
  <c r="H282" i="2"/>
  <c r="R282" i="4"/>
  <c r="G282" i="2"/>
  <c r="Q282" i="4"/>
  <c r="F282" i="2"/>
  <c r="T283" i="4" l="1"/>
  <c r="I283" i="2"/>
  <c r="S283" i="4"/>
  <c r="H283" i="2"/>
  <c r="R283" i="4"/>
  <c r="G283" i="2"/>
  <c r="Q283" i="4"/>
  <c r="F283" i="2"/>
  <c r="T284" i="4" l="1"/>
  <c r="I284" i="2"/>
  <c r="S284" i="4"/>
  <c r="H284" i="2"/>
  <c r="R284" i="4"/>
  <c r="G284" i="2"/>
  <c r="Q284" i="4"/>
  <c r="F284" i="2"/>
  <c r="T285" i="4" l="1"/>
  <c r="I285" i="2"/>
  <c r="S285" i="4"/>
  <c r="H285" i="2"/>
  <c r="R285" i="4"/>
  <c r="G285" i="2"/>
  <c r="Q285" i="4"/>
  <c r="F285" i="2"/>
  <c r="T286" i="4" l="1"/>
  <c r="I286" i="2"/>
  <c r="S286" i="4"/>
  <c r="H286" i="2"/>
  <c r="R286" i="4"/>
  <c r="G286" i="2"/>
  <c r="Q286" i="4"/>
  <c r="F286" i="2"/>
  <c r="T287" i="4" l="1"/>
  <c r="I287" i="2"/>
  <c r="S287" i="4"/>
  <c r="H287" i="2"/>
  <c r="R287" i="4"/>
  <c r="G287" i="2"/>
  <c r="Q287" i="4"/>
  <c r="F287" i="2"/>
  <c r="T288" i="4" l="1"/>
  <c r="I288" i="2"/>
  <c r="S288" i="4"/>
  <c r="H288" i="2"/>
  <c r="R288" i="4"/>
  <c r="G288" i="2"/>
  <c r="Q288" i="4"/>
  <c r="F288" i="2"/>
  <c r="T289" i="4" l="1"/>
  <c r="I289" i="2"/>
  <c r="S289" i="4"/>
  <c r="H289" i="2"/>
  <c r="R289" i="4"/>
  <c r="G289" i="2"/>
  <c r="Q289" i="4"/>
  <c r="F289" i="2"/>
  <c r="T290" i="4" l="1"/>
  <c r="I290" i="2"/>
  <c r="S290" i="4"/>
  <c r="H290" i="2"/>
  <c r="R290" i="4"/>
  <c r="G290" i="2"/>
  <c r="Q290" i="4"/>
  <c r="F290" i="2"/>
  <c r="T291" i="4" l="1"/>
  <c r="I291" i="2"/>
  <c r="S291" i="4"/>
  <c r="H291" i="2"/>
  <c r="R291" i="4"/>
  <c r="G291" i="2"/>
  <c r="Q291" i="4"/>
  <c r="F291" i="2"/>
  <c r="T292" i="4" l="1"/>
  <c r="I292" i="2"/>
  <c r="S292" i="4"/>
  <c r="H292" i="2"/>
  <c r="R292" i="4"/>
  <c r="G292" i="2"/>
  <c r="Q292" i="4"/>
  <c r="F292" i="2"/>
  <c r="T293" i="4" l="1"/>
  <c r="I293" i="2"/>
  <c r="S293" i="4"/>
  <c r="H293" i="2"/>
  <c r="R293" i="4"/>
  <c r="G293" i="2"/>
  <c r="Q293" i="4"/>
  <c r="F293" i="2"/>
  <c r="T294" i="4" l="1"/>
  <c r="I294" i="2"/>
  <c r="S294" i="4"/>
  <c r="H294" i="2"/>
  <c r="R294" i="4"/>
  <c r="G294" i="2"/>
  <c r="Q294" i="4"/>
  <c r="F294" i="2"/>
  <c r="T295" i="4" l="1"/>
  <c r="I295" i="2"/>
  <c r="S295" i="4"/>
  <c r="H295" i="2"/>
  <c r="R295" i="4"/>
  <c r="G295" i="2"/>
  <c r="Q295" i="4"/>
  <c r="F295" i="2"/>
  <c r="T296" i="4" l="1"/>
  <c r="I296" i="2"/>
  <c r="S296" i="4"/>
  <c r="H296" i="2"/>
  <c r="R296" i="4"/>
  <c r="G296" i="2"/>
  <c r="Q296" i="4"/>
  <c r="F296" i="2"/>
  <c r="T297" i="4" l="1"/>
  <c r="I297" i="2"/>
  <c r="S297" i="4"/>
  <c r="H297" i="2"/>
  <c r="R297" i="4"/>
  <c r="G297" i="2"/>
  <c r="Q297" i="4"/>
  <c r="F297" i="2"/>
  <c r="T298" i="4" l="1"/>
  <c r="I298" i="2"/>
  <c r="S298" i="4"/>
  <c r="H298" i="2"/>
  <c r="R298" i="4"/>
  <c r="G298" i="2"/>
  <c r="Q298" i="4"/>
  <c r="F298" i="2"/>
  <c r="T299" i="4" l="1"/>
  <c r="I299" i="2"/>
  <c r="S299" i="4"/>
  <c r="H299" i="2"/>
  <c r="R299" i="4"/>
  <c r="G299" i="2"/>
  <c r="Q299" i="4"/>
  <c r="F299" i="2"/>
  <c r="T300" i="4" l="1"/>
  <c r="I300" i="2"/>
  <c r="S300" i="4"/>
  <c r="H300" i="2"/>
  <c r="R300" i="4"/>
  <c r="G300" i="2"/>
  <c r="Q300" i="4"/>
  <c r="F300" i="2"/>
  <c r="T301" i="4" l="1"/>
  <c r="I301" i="2"/>
  <c r="S301" i="4"/>
  <c r="H301" i="2"/>
  <c r="R301" i="4"/>
  <c r="G301" i="2"/>
  <c r="Q301" i="4"/>
  <c r="F301" i="2"/>
  <c r="T302" i="4" l="1"/>
  <c r="I302" i="2"/>
  <c r="S302" i="4"/>
  <c r="H302" i="2"/>
  <c r="R302" i="4"/>
  <c r="G302" i="2"/>
  <c r="Q302" i="4"/>
  <c r="F302" i="2"/>
  <c r="T303" i="4" l="1"/>
  <c r="I303" i="2"/>
  <c r="S303" i="4"/>
  <c r="H303" i="2"/>
  <c r="R303" i="4"/>
  <c r="G303" i="2"/>
  <c r="Q303" i="4"/>
  <c r="F303" i="2"/>
  <c r="T304" i="4" l="1"/>
  <c r="I304" i="2"/>
  <c r="S304" i="4"/>
  <c r="H304" i="2"/>
  <c r="R304" i="4"/>
  <c r="G304" i="2"/>
  <c r="Q304" i="4"/>
  <c r="F304" i="2"/>
  <c r="T305" i="4" l="1"/>
  <c r="I305" i="2"/>
  <c r="S305" i="4"/>
  <c r="H305" i="2"/>
  <c r="R305" i="4"/>
  <c r="G305" i="2"/>
  <c r="Q305" i="4"/>
  <c r="F305" i="2"/>
  <c r="T306" i="4" l="1"/>
  <c r="I306" i="2"/>
  <c r="S306" i="4"/>
  <c r="H306" i="2"/>
  <c r="R306" i="4"/>
  <c r="G306" i="2"/>
  <c r="Q306" i="4"/>
  <c r="F306" i="2"/>
  <c r="T307" i="4" l="1"/>
  <c r="I307" i="2"/>
  <c r="S307" i="4"/>
  <c r="H307" i="2"/>
  <c r="R307" i="4"/>
  <c r="G307" i="2"/>
  <c r="Q307" i="4"/>
  <c r="F307" i="2"/>
  <c r="T308" i="4" l="1"/>
  <c r="I308" i="2"/>
  <c r="S308" i="4"/>
  <c r="H308" i="2"/>
  <c r="R308" i="4"/>
  <c r="G308" i="2"/>
  <c r="Q308" i="4"/>
  <c r="F308" i="2"/>
  <c r="T309" i="4" l="1"/>
  <c r="I309" i="2"/>
  <c r="S309" i="4"/>
  <c r="H309" i="2"/>
  <c r="R309" i="4"/>
  <c r="G309" i="2"/>
  <c r="Q309" i="4"/>
  <c r="F309" i="2"/>
  <c r="T310" i="4" l="1"/>
  <c r="I310" i="2"/>
  <c r="S310" i="4"/>
  <c r="H310" i="2"/>
  <c r="R310" i="4"/>
  <c r="G310" i="2"/>
  <c r="Q310" i="4"/>
  <c r="F310" i="2"/>
  <c r="T311" i="4" l="1"/>
  <c r="I311" i="2"/>
  <c r="S311" i="4"/>
  <c r="H311" i="2"/>
  <c r="R311" i="4"/>
  <c r="G311" i="2"/>
  <c r="Q311" i="4"/>
  <c r="F311" i="2"/>
  <c r="T312" i="4" l="1"/>
  <c r="I312" i="2"/>
  <c r="S312" i="4"/>
  <c r="H312" i="2"/>
  <c r="R312" i="4"/>
  <c r="G312" i="2"/>
  <c r="Q312" i="4"/>
  <c r="F312" i="2"/>
  <c r="T313" i="4" l="1"/>
  <c r="I313" i="2"/>
  <c r="S313" i="4"/>
  <c r="H313" i="2"/>
  <c r="R313" i="4"/>
  <c r="G313" i="2"/>
  <c r="Q313" i="4"/>
  <c r="F313" i="2"/>
  <c r="T314" i="4" l="1"/>
  <c r="I314" i="2"/>
  <c r="S314" i="4"/>
  <c r="H314" i="2"/>
  <c r="R314" i="4"/>
  <c r="G314" i="2"/>
  <c r="Q314" i="4"/>
  <c r="F314" i="2"/>
  <c r="T315" i="4" l="1"/>
  <c r="I315" i="2"/>
  <c r="S315" i="4"/>
  <c r="H315" i="2"/>
  <c r="R315" i="4"/>
  <c r="G315" i="2"/>
  <c r="Q315" i="4"/>
  <c r="F315" i="2"/>
  <c r="T316" i="4" l="1"/>
  <c r="I316" i="2"/>
  <c r="S316" i="4"/>
  <c r="H316" i="2"/>
  <c r="R316" i="4"/>
  <c r="G316" i="2"/>
  <c r="Q316" i="4"/>
  <c r="F316" i="2"/>
  <c r="T317" i="4" l="1"/>
  <c r="I317" i="2"/>
  <c r="S317" i="4"/>
  <c r="H317" i="2"/>
  <c r="R317" i="4"/>
  <c r="G317" i="2"/>
  <c r="Q317" i="4"/>
  <c r="F317" i="2"/>
  <c r="T318" i="4" l="1"/>
  <c r="I318" i="2"/>
  <c r="S318" i="4"/>
  <c r="H318" i="2"/>
  <c r="R318" i="4"/>
  <c r="G318" i="2"/>
  <c r="Q318" i="4"/>
  <c r="F318" i="2"/>
  <c r="T319" i="4" l="1"/>
  <c r="I319" i="2"/>
  <c r="S319" i="4"/>
  <c r="H319" i="2"/>
  <c r="R319" i="4"/>
  <c r="G319" i="2"/>
  <c r="Q319" i="4"/>
  <c r="F319" i="2"/>
  <c r="T320" i="4" l="1"/>
  <c r="I320" i="2"/>
  <c r="S320" i="4"/>
  <c r="H320" i="2"/>
  <c r="R320" i="4"/>
  <c r="G320" i="2"/>
  <c r="Q320" i="4"/>
  <c r="F320" i="2"/>
  <c r="T321" i="4" l="1"/>
  <c r="I321" i="2"/>
  <c r="S321" i="4"/>
  <c r="H321" i="2"/>
  <c r="R321" i="4"/>
  <c r="G321" i="2"/>
  <c r="Q321" i="4"/>
  <c r="F321" i="2"/>
  <c r="T322" i="4" l="1"/>
  <c r="I322" i="2"/>
  <c r="S322" i="4"/>
  <c r="H322" i="2"/>
  <c r="R322" i="4"/>
  <c r="G322" i="2"/>
  <c r="Q322" i="4"/>
  <c r="F322" i="2"/>
  <c r="T323" i="4" l="1"/>
  <c r="I323" i="2"/>
  <c r="S323" i="4"/>
  <c r="H323" i="2"/>
  <c r="R323" i="4"/>
  <c r="G323" i="2"/>
  <c r="Q323" i="4"/>
  <c r="F323" i="2"/>
  <c r="T324" i="4" l="1"/>
  <c r="I324" i="2"/>
  <c r="S324" i="4"/>
  <c r="H324" i="2"/>
  <c r="R324" i="4"/>
  <c r="G324" i="2"/>
  <c r="Q324" i="4"/>
  <c r="F324" i="2"/>
  <c r="T325" i="4" l="1"/>
  <c r="I325" i="2"/>
  <c r="S325" i="4"/>
  <c r="H325" i="2"/>
  <c r="R325" i="4"/>
  <c r="G325" i="2"/>
  <c r="Q325" i="4"/>
  <c r="F325" i="2"/>
  <c r="T326" i="4" l="1"/>
  <c r="I326" i="2"/>
  <c r="S326" i="4"/>
  <c r="H326" i="2"/>
  <c r="R326" i="4"/>
  <c r="G326" i="2"/>
  <c r="Q326" i="4"/>
  <c r="F326" i="2"/>
  <c r="T327" i="4" l="1"/>
  <c r="I327" i="2"/>
  <c r="S327" i="4"/>
  <c r="H327" i="2"/>
  <c r="R327" i="4"/>
  <c r="G327" i="2"/>
  <c r="Q327" i="4"/>
  <c r="F327" i="2"/>
  <c r="T328" i="4" l="1"/>
  <c r="I328" i="2"/>
  <c r="S328" i="4"/>
  <c r="H328" i="2"/>
  <c r="R328" i="4"/>
  <c r="G328" i="2"/>
  <c r="Q328" i="4"/>
  <c r="F328" i="2"/>
  <c r="T329" i="4" l="1"/>
  <c r="I329" i="2"/>
  <c r="S329" i="4"/>
  <c r="H329" i="2"/>
  <c r="R329" i="4"/>
  <c r="G329" i="2"/>
  <c r="Q329" i="4"/>
  <c r="F329" i="2"/>
  <c r="T330" i="4" l="1"/>
  <c r="I330" i="2"/>
  <c r="S330" i="4"/>
  <c r="H330" i="2"/>
  <c r="R330" i="4"/>
  <c r="G330" i="2"/>
  <c r="Q330" i="4"/>
  <c r="F330" i="2"/>
  <c r="T331" i="4" l="1"/>
  <c r="I331" i="2"/>
  <c r="S331" i="4"/>
  <c r="H331" i="2"/>
  <c r="R331" i="4"/>
  <c r="G331" i="2"/>
  <c r="Q331" i="4"/>
  <c r="F331" i="2"/>
  <c r="T332" i="4" l="1"/>
  <c r="I332" i="2"/>
  <c r="S332" i="4"/>
  <c r="H332" i="2"/>
  <c r="R332" i="4"/>
  <c r="G332" i="2"/>
  <c r="Q332" i="4"/>
  <c r="F332" i="2"/>
  <c r="T333" i="4" l="1"/>
  <c r="I333" i="2"/>
  <c r="S333" i="4"/>
  <c r="H333" i="2"/>
  <c r="R333" i="4"/>
  <c r="G333" i="2"/>
  <c r="Q333" i="4"/>
  <c r="F333" i="2"/>
  <c r="T334" i="4" l="1"/>
  <c r="I334" i="2"/>
  <c r="S334" i="4"/>
  <c r="H334" i="2"/>
  <c r="R334" i="4"/>
  <c r="G334" i="2"/>
  <c r="Q334" i="4"/>
  <c r="F334" i="2"/>
  <c r="T335" i="4" l="1"/>
  <c r="I335" i="2"/>
  <c r="S335" i="4"/>
  <c r="H335" i="2"/>
  <c r="R335" i="4"/>
  <c r="G335" i="2"/>
  <c r="Q335" i="4"/>
  <c r="F335" i="2"/>
  <c r="T336" i="4" l="1"/>
  <c r="I336" i="2"/>
  <c r="S336" i="4"/>
  <c r="H336" i="2"/>
  <c r="R336" i="4"/>
  <c r="G336" i="2"/>
  <c r="Q336" i="4"/>
  <c r="F336" i="2"/>
  <c r="T337" i="4" l="1"/>
  <c r="I337" i="2"/>
  <c r="S337" i="4"/>
  <c r="H337" i="2"/>
  <c r="R337" i="4"/>
  <c r="G337" i="2"/>
  <c r="Q337" i="4"/>
  <c r="F337" i="2"/>
  <c r="T338" i="4" l="1"/>
  <c r="I338" i="2"/>
  <c r="S338" i="4"/>
  <c r="H338" i="2"/>
  <c r="R338" i="4"/>
  <c r="G338" i="2"/>
  <c r="Q338" i="4"/>
  <c r="F338" i="2"/>
  <c r="T339" i="4" l="1"/>
  <c r="I339" i="2"/>
  <c r="S339" i="4"/>
  <c r="H339" i="2"/>
  <c r="R339" i="4"/>
  <c r="G339" i="2"/>
  <c r="Q339" i="4"/>
  <c r="F339" i="2"/>
  <c r="T340" i="4" l="1"/>
  <c r="I340" i="2"/>
  <c r="S340" i="4"/>
  <c r="H340" i="2"/>
  <c r="R340" i="4"/>
  <c r="G340" i="2"/>
  <c r="Q340" i="4"/>
  <c r="F340" i="2"/>
  <c r="T341" i="4" l="1"/>
  <c r="I341" i="2"/>
  <c r="S341" i="4"/>
  <c r="H341" i="2"/>
  <c r="R341" i="4"/>
  <c r="G341" i="2"/>
  <c r="Q341" i="4"/>
  <c r="F341" i="2"/>
  <c r="T342" i="4" l="1"/>
  <c r="I342" i="2"/>
  <c r="S342" i="4"/>
  <c r="H342" i="2"/>
  <c r="R342" i="4"/>
  <c r="G342" i="2"/>
  <c r="Q342" i="4"/>
  <c r="F342" i="2"/>
  <c r="T343" i="4" l="1"/>
  <c r="I343" i="2"/>
  <c r="S343" i="4"/>
  <c r="H343" i="2"/>
  <c r="R343" i="4"/>
  <c r="G343" i="2"/>
  <c r="Q343" i="4"/>
  <c r="F343" i="2"/>
  <c r="T344" i="4" l="1"/>
  <c r="I344" i="2"/>
  <c r="S344" i="4"/>
  <c r="H344" i="2"/>
  <c r="R344" i="4"/>
  <c r="G344" i="2"/>
  <c r="Q344" i="4"/>
  <c r="F344" i="2"/>
  <c r="T345" i="4" l="1"/>
  <c r="I345" i="2"/>
  <c r="S345" i="4"/>
  <c r="H345" i="2"/>
  <c r="R345" i="4"/>
  <c r="G345" i="2"/>
  <c r="Q345" i="4"/>
  <c r="F345" i="2"/>
  <c r="T346" i="4" l="1"/>
  <c r="I346" i="2"/>
  <c r="S346" i="4"/>
  <c r="H346" i="2"/>
  <c r="R346" i="4"/>
  <c r="G346" i="2"/>
  <c r="Q346" i="4"/>
  <c r="F346" i="2"/>
  <c r="T347" i="4" l="1"/>
  <c r="I347" i="2"/>
  <c r="S347" i="4"/>
  <c r="H347" i="2"/>
  <c r="R347" i="4"/>
  <c r="G347" i="2"/>
  <c r="Q347" i="4"/>
  <c r="F347" i="2"/>
  <c r="T348" i="4" l="1"/>
  <c r="I348" i="2"/>
  <c r="S348" i="4"/>
  <c r="H348" i="2"/>
  <c r="R348" i="4"/>
  <c r="G348" i="2"/>
  <c r="Q348" i="4"/>
  <c r="F348" i="2"/>
  <c r="T349" i="4" l="1"/>
  <c r="I349" i="2"/>
  <c r="S349" i="4"/>
  <c r="H349" i="2"/>
  <c r="R349" i="4"/>
  <c r="G349" i="2"/>
  <c r="Q349" i="4"/>
  <c r="F349" i="2"/>
  <c r="T350" i="4" l="1"/>
  <c r="I350" i="2"/>
  <c r="S350" i="4"/>
  <c r="H350" i="2"/>
  <c r="R350" i="4"/>
  <c r="G350" i="2"/>
  <c r="Q350" i="4"/>
  <c r="F350" i="2"/>
  <c r="T351" i="4" l="1"/>
  <c r="I351" i="2"/>
  <c r="S351" i="4"/>
  <c r="H351" i="2"/>
  <c r="R351" i="4"/>
  <c r="G351" i="2"/>
  <c r="Q351" i="4"/>
  <c r="F351" i="2"/>
  <c r="T352" i="4" l="1"/>
  <c r="I352" i="2"/>
  <c r="S352" i="4"/>
  <c r="H352" i="2"/>
  <c r="R352" i="4"/>
  <c r="G352" i="2"/>
  <c r="Q352" i="4"/>
  <c r="F352" i="2"/>
  <c r="T353" i="4" l="1"/>
  <c r="I353" i="2"/>
  <c r="S353" i="4"/>
  <c r="H353" i="2"/>
  <c r="R353" i="4"/>
  <c r="G353" i="2"/>
  <c r="Q353" i="4"/>
  <c r="F353" i="2"/>
  <c r="T354" i="4" l="1"/>
  <c r="I354" i="2"/>
  <c r="S354" i="4"/>
  <c r="H354" i="2"/>
  <c r="R354" i="4"/>
  <c r="G354" i="2"/>
  <c r="Q354" i="4"/>
  <c r="F354" i="2"/>
  <c r="T355" i="4" l="1"/>
  <c r="I355" i="2"/>
  <c r="S355" i="4"/>
  <c r="H355" i="2"/>
  <c r="R355" i="4"/>
  <c r="G355" i="2"/>
  <c r="Q355" i="4"/>
  <c r="F355" i="2"/>
  <c r="T356" i="4" l="1"/>
  <c r="I356" i="2"/>
  <c r="S356" i="4"/>
  <c r="H356" i="2"/>
  <c r="R356" i="4"/>
  <c r="G356" i="2"/>
  <c r="Q356" i="4"/>
  <c r="F356" i="2"/>
  <c r="T357" i="4" l="1"/>
  <c r="I357" i="2"/>
  <c r="S357" i="4"/>
  <c r="H357" i="2"/>
  <c r="R357" i="4"/>
  <c r="G357" i="2"/>
  <c r="Q357" i="4"/>
  <c r="F357" i="2"/>
  <c r="T358" i="4" l="1"/>
  <c r="I358" i="2"/>
  <c r="S358" i="4"/>
  <c r="H358" i="2"/>
  <c r="R358" i="4"/>
  <c r="G358" i="2"/>
  <c r="Q358" i="4"/>
  <c r="F358" i="2"/>
  <c r="T359" i="4" l="1"/>
  <c r="I359" i="2"/>
  <c r="S359" i="4"/>
  <c r="H359" i="2"/>
  <c r="R359" i="4"/>
  <c r="G359" i="2"/>
  <c r="Q359" i="4"/>
  <c r="F359" i="2"/>
  <c r="T360" i="4" l="1"/>
  <c r="I360" i="2"/>
  <c r="S360" i="4"/>
  <c r="H360" i="2"/>
  <c r="R360" i="4"/>
  <c r="G360" i="2"/>
  <c r="Q360" i="4"/>
  <c r="F360" i="2"/>
  <c r="T361" i="4" l="1"/>
  <c r="I361" i="2"/>
  <c r="S361" i="4"/>
  <c r="H361" i="2"/>
  <c r="R361" i="4"/>
  <c r="G361" i="2"/>
  <c r="Q361" i="4"/>
  <c r="F361" i="2"/>
  <c r="T362" i="4" l="1"/>
  <c r="I362" i="2"/>
  <c r="S362" i="4"/>
  <c r="H362" i="2"/>
  <c r="R362" i="4"/>
  <c r="G362" i="2"/>
  <c r="Q362" i="4"/>
  <c r="F362" i="2"/>
  <c r="T363" i="4" l="1"/>
  <c r="I363" i="2"/>
  <c r="S363" i="4"/>
  <c r="H363" i="2"/>
  <c r="R363" i="4"/>
  <c r="G363" i="2"/>
  <c r="Q363" i="4"/>
  <c r="F363" i="2"/>
  <c r="T364" i="4" l="1"/>
  <c r="I364" i="2"/>
  <c r="S364" i="4"/>
  <c r="H364" i="2"/>
  <c r="R364" i="4"/>
  <c r="G364" i="2"/>
  <c r="Q364" i="4"/>
  <c r="F364" i="2"/>
  <c r="T365" i="4" l="1"/>
  <c r="I365" i="2"/>
  <c r="S365" i="4"/>
  <c r="H365" i="2"/>
  <c r="R365" i="4"/>
  <c r="G365" i="2"/>
  <c r="Q365" i="4"/>
  <c r="F365" i="2"/>
  <c r="T366" i="4" l="1"/>
  <c r="I366" i="2"/>
  <c r="S366" i="4"/>
  <c r="H366" i="2"/>
  <c r="R366" i="4"/>
  <c r="G366" i="2"/>
  <c r="Q366" i="4"/>
  <c r="F366" i="2"/>
  <c r="T367" i="4" l="1"/>
  <c r="I367" i="2"/>
  <c r="S367" i="4"/>
  <c r="H367" i="2"/>
  <c r="R367" i="4"/>
  <c r="G367" i="2"/>
  <c r="Q367" i="4"/>
  <c r="F367" i="2"/>
  <c r="T368" i="4" l="1"/>
  <c r="I368" i="2"/>
  <c r="S368" i="4"/>
  <c r="H368" i="2"/>
  <c r="R368" i="4"/>
  <c r="G368" i="2"/>
  <c r="Q368" i="4"/>
  <c r="F368" i="2"/>
  <c r="T369" i="4" l="1"/>
  <c r="I369" i="2"/>
  <c r="S369" i="4"/>
  <c r="H369" i="2"/>
  <c r="R369" i="4"/>
  <c r="G369" i="2"/>
  <c r="Q369" i="4"/>
  <c r="F369" i="2"/>
  <c r="T370" i="4" l="1"/>
  <c r="I370" i="2"/>
  <c r="S370" i="4"/>
  <c r="H370" i="2"/>
  <c r="R370" i="4"/>
  <c r="G370" i="2"/>
  <c r="Q370" i="4"/>
  <c r="F370" i="2"/>
  <c r="T371" i="4" l="1"/>
  <c r="I371" i="2"/>
  <c r="S371" i="4"/>
  <c r="H371" i="2"/>
  <c r="R371" i="4"/>
  <c r="G371" i="2"/>
  <c r="Q371" i="4"/>
  <c r="F371" i="2"/>
  <c r="T372" i="4" l="1"/>
  <c r="I372" i="2"/>
  <c r="S372" i="4"/>
  <c r="H372" i="2"/>
  <c r="R372" i="4"/>
  <c r="G372" i="2"/>
  <c r="Q372" i="4"/>
  <c r="F372" i="2"/>
  <c r="T373" i="4" l="1"/>
  <c r="I373" i="2"/>
  <c r="S373" i="4"/>
  <c r="H373" i="2"/>
  <c r="R373" i="4"/>
  <c r="G373" i="2"/>
  <c r="Q373" i="4"/>
  <c r="F373" i="2"/>
  <c r="T374" i="4" l="1"/>
  <c r="I374" i="2"/>
  <c r="S374" i="4"/>
  <c r="H374" i="2"/>
  <c r="R374" i="4"/>
  <c r="G374" i="2"/>
  <c r="Q374" i="4"/>
  <c r="F374" i="2"/>
  <c r="T375" i="4" l="1"/>
  <c r="I375" i="2"/>
  <c r="S375" i="4"/>
  <c r="H375" i="2"/>
  <c r="R375" i="4"/>
  <c r="G375" i="2"/>
  <c r="Q375" i="4"/>
  <c r="F375" i="2"/>
  <c r="T376" i="4" l="1"/>
  <c r="I376" i="2"/>
  <c r="S376" i="4"/>
  <c r="H376" i="2"/>
  <c r="R376" i="4"/>
  <c r="G376" i="2"/>
  <c r="Q376" i="4"/>
  <c r="F376" i="2"/>
  <c r="T377" i="4" l="1"/>
  <c r="I377" i="2"/>
  <c r="S377" i="4"/>
  <c r="H377" i="2"/>
  <c r="R377" i="4"/>
  <c r="G377" i="2"/>
  <c r="Q377" i="4"/>
  <c r="F377" i="2"/>
  <c r="T378" i="4" l="1"/>
  <c r="I378" i="2"/>
  <c r="S378" i="4"/>
  <c r="H378" i="2"/>
  <c r="R378" i="4"/>
  <c r="G378" i="2"/>
  <c r="Q378" i="4"/>
  <c r="F378" i="2"/>
  <c r="T379" i="4" l="1"/>
  <c r="I379" i="2"/>
  <c r="S379" i="4"/>
  <c r="H379" i="2"/>
  <c r="R379" i="4"/>
  <c r="G379" i="2"/>
  <c r="Q379" i="4"/>
  <c r="F379" i="2"/>
  <c r="T380" i="4" l="1"/>
  <c r="I380" i="2"/>
  <c r="S380" i="4"/>
  <c r="H380" i="2"/>
  <c r="R380" i="4"/>
  <c r="G380" i="2"/>
  <c r="Q380" i="4"/>
  <c r="F380" i="2"/>
  <c r="T381" i="4" l="1"/>
  <c r="I381" i="2"/>
  <c r="S381" i="4"/>
  <c r="H381" i="2"/>
  <c r="R381" i="4"/>
  <c r="G381" i="2"/>
  <c r="Q381" i="4"/>
  <c r="F381" i="2"/>
  <c r="T382" i="4" l="1"/>
  <c r="I382" i="2"/>
  <c r="S382" i="4"/>
  <c r="H382" i="2"/>
  <c r="R382" i="4"/>
  <c r="G382" i="2"/>
  <c r="Q382" i="4"/>
  <c r="F382" i="2"/>
  <c r="T383" i="4" l="1"/>
  <c r="I383" i="2"/>
  <c r="S383" i="4"/>
  <c r="H383" i="2"/>
  <c r="R383" i="4"/>
  <c r="G383" i="2"/>
  <c r="Q383" i="4"/>
  <c r="F383" i="2"/>
  <c r="T384" i="4" l="1"/>
  <c r="I384" i="2"/>
  <c r="S384" i="4"/>
  <c r="H384" i="2"/>
  <c r="R384" i="4"/>
  <c r="G384" i="2"/>
  <c r="Q384" i="4"/>
  <c r="F384" i="2"/>
  <c r="T385" i="4" l="1"/>
  <c r="I385" i="2"/>
  <c r="S385" i="4"/>
  <c r="H385" i="2"/>
  <c r="R385" i="4"/>
  <c r="G385" i="2"/>
  <c r="Q385" i="4"/>
  <c r="F385" i="2"/>
  <c r="T386" i="4" l="1"/>
  <c r="I386" i="2"/>
  <c r="S386" i="4"/>
  <c r="H386" i="2"/>
  <c r="R386" i="4"/>
  <c r="G386" i="2"/>
  <c r="Q386" i="4"/>
  <c r="F386" i="2"/>
  <c r="T387" i="4" l="1"/>
  <c r="I387" i="2"/>
  <c r="S387" i="4"/>
  <c r="H387" i="2"/>
  <c r="R387" i="4"/>
  <c r="G387" i="2"/>
  <c r="Q387" i="4"/>
  <c r="F387" i="2"/>
  <c r="T388" i="4" l="1"/>
  <c r="I388" i="2"/>
  <c r="S388" i="4"/>
  <c r="H388" i="2"/>
  <c r="R388" i="4"/>
  <c r="G388" i="2"/>
  <c r="Q388" i="4"/>
  <c r="F388" i="2"/>
  <c r="T389" i="4" l="1"/>
  <c r="I389" i="2"/>
  <c r="S389" i="4"/>
  <c r="H389" i="2"/>
  <c r="R389" i="4"/>
  <c r="G389" i="2"/>
  <c r="Q389" i="4"/>
  <c r="F389" i="2"/>
  <c r="T390" i="4" l="1"/>
  <c r="I390" i="2"/>
  <c r="S390" i="4"/>
  <c r="H390" i="2"/>
  <c r="R390" i="4"/>
  <c r="G390" i="2"/>
  <c r="Q390" i="4"/>
  <c r="F390" i="2"/>
  <c r="T391" i="4" l="1"/>
  <c r="I391" i="2"/>
  <c r="S391" i="4"/>
  <c r="H391" i="2"/>
  <c r="R391" i="4"/>
  <c r="G391" i="2"/>
  <c r="Q391" i="4"/>
  <c r="F391" i="2"/>
  <c r="T392" i="4" l="1"/>
  <c r="I392" i="2"/>
  <c r="S392" i="4"/>
  <c r="H392" i="2"/>
  <c r="R392" i="4"/>
  <c r="G392" i="2"/>
  <c r="Q392" i="4"/>
  <c r="F392" i="2"/>
  <c r="T393" i="4" l="1"/>
  <c r="I393" i="2"/>
  <c r="S393" i="4"/>
  <c r="H393" i="2"/>
  <c r="R393" i="4"/>
  <c r="G393" i="2"/>
  <c r="Q393" i="4"/>
  <c r="F393" i="2"/>
  <c r="T394" i="4" l="1"/>
  <c r="I394" i="2"/>
  <c r="S394" i="4"/>
  <c r="H394" i="2"/>
  <c r="R394" i="4"/>
  <c r="G394" i="2"/>
  <c r="Q394" i="4"/>
  <c r="F394" i="2"/>
  <c r="T395" i="4" l="1"/>
  <c r="I395" i="2"/>
  <c r="S395" i="4"/>
  <c r="H395" i="2"/>
  <c r="R395" i="4"/>
  <c r="G395" i="2"/>
  <c r="Q395" i="4"/>
  <c r="F395" i="2"/>
  <c r="T396" i="4" l="1"/>
  <c r="I396" i="2"/>
  <c r="S396" i="4"/>
  <c r="H396" i="2"/>
  <c r="R396" i="4"/>
  <c r="G396" i="2"/>
  <c r="Q396" i="4"/>
  <c r="F396" i="2"/>
  <c r="T397" i="4" l="1"/>
  <c r="I397" i="2"/>
  <c r="S397" i="4"/>
  <c r="H397" i="2"/>
  <c r="R397" i="4"/>
  <c r="G397" i="2"/>
  <c r="Q397" i="4"/>
  <c r="F397" i="2"/>
  <c r="T398" i="4" l="1"/>
  <c r="I398" i="2"/>
  <c r="S398" i="4"/>
  <c r="H398" i="2"/>
  <c r="R398" i="4"/>
  <c r="G398" i="2"/>
  <c r="Q398" i="4"/>
  <c r="F398" i="2"/>
  <c r="T399" i="4" l="1"/>
  <c r="I399" i="2"/>
  <c r="S399" i="4"/>
  <c r="H399" i="2"/>
  <c r="R399" i="4"/>
  <c r="G399" i="2"/>
  <c r="Q399" i="4"/>
  <c r="F399" i="2"/>
  <c r="T400" i="4" l="1"/>
  <c r="I400" i="2"/>
  <c r="S400" i="4"/>
  <c r="H400" i="2"/>
  <c r="R400" i="4"/>
  <c r="G400" i="2"/>
  <c r="Q400" i="4"/>
  <c r="F400" i="2"/>
  <c r="T401" i="4" l="1"/>
  <c r="I401" i="2"/>
  <c r="S401" i="4"/>
  <c r="H401" i="2"/>
  <c r="R401" i="4"/>
  <c r="G401" i="2"/>
  <c r="Q401" i="4"/>
  <c r="F401" i="2"/>
  <c r="T402" i="4" l="1"/>
  <c r="I402" i="2"/>
  <c r="S402" i="4"/>
  <c r="H402" i="2"/>
  <c r="R402" i="4"/>
  <c r="G402" i="2"/>
  <c r="Q402" i="4"/>
  <c r="F402" i="2"/>
  <c r="T403" i="4" l="1"/>
  <c r="I403" i="2"/>
  <c r="S403" i="4"/>
  <c r="H403" i="2"/>
  <c r="R403" i="4"/>
  <c r="G403" i="2"/>
  <c r="Q403" i="4"/>
  <c r="F403" i="2"/>
  <c r="T404" i="4" l="1"/>
  <c r="I404" i="2"/>
  <c r="S404" i="4"/>
  <c r="H404" i="2"/>
  <c r="R404" i="4"/>
  <c r="G404" i="2"/>
  <c r="Q404" i="4"/>
  <c r="F404" i="2"/>
  <c r="T405" i="4" l="1"/>
  <c r="I405" i="2"/>
  <c r="S405" i="4"/>
  <c r="H405" i="2"/>
  <c r="R405" i="4"/>
  <c r="G405" i="2"/>
  <c r="Q405" i="4"/>
  <c r="F405" i="2"/>
  <c r="T406" i="4" l="1"/>
  <c r="I406" i="2"/>
  <c r="S406" i="4"/>
  <c r="H406" i="2"/>
  <c r="R406" i="4"/>
  <c r="G406" i="2"/>
  <c r="Q406" i="4"/>
  <c r="F406" i="2"/>
  <c r="T407" i="4" l="1"/>
  <c r="I407" i="2"/>
  <c r="S407" i="4"/>
  <c r="H407" i="2"/>
  <c r="R407" i="4"/>
  <c r="G407" i="2"/>
  <c r="Q407" i="4"/>
  <c r="F407" i="2"/>
  <c r="T408" i="4" l="1"/>
  <c r="I408" i="2"/>
  <c r="S408" i="4"/>
  <c r="H408" i="2"/>
  <c r="R408" i="4"/>
  <c r="G408" i="2"/>
  <c r="Q408" i="4"/>
  <c r="F408" i="2"/>
  <c r="T409" i="4" l="1"/>
  <c r="I409" i="2"/>
  <c r="S409" i="4"/>
  <c r="H409" i="2"/>
  <c r="R409" i="4"/>
  <c r="G409" i="2"/>
  <c r="Q409" i="4"/>
  <c r="F409" i="2"/>
  <c r="T410" i="4" l="1"/>
  <c r="I410" i="2"/>
  <c r="S410" i="4"/>
  <c r="H410" i="2"/>
  <c r="R410" i="4"/>
  <c r="G410" i="2"/>
  <c r="Q410" i="4"/>
  <c r="F410" i="2"/>
  <c r="T411" i="4" l="1"/>
  <c r="I411" i="2"/>
  <c r="S411" i="4"/>
  <c r="H411" i="2"/>
  <c r="R411" i="4"/>
  <c r="G411" i="2"/>
  <c r="Q411" i="4"/>
  <c r="F411" i="2"/>
  <c r="T412" i="4" l="1"/>
  <c r="I412" i="2"/>
  <c r="S412" i="4"/>
  <c r="H412" i="2"/>
  <c r="R412" i="4"/>
  <c r="G412" i="2"/>
  <c r="Q412" i="4"/>
  <c r="F412" i="2"/>
  <c r="T413" i="4" l="1"/>
  <c r="I413" i="2"/>
  <c r="S413" i="4"/>
  <c r="H413" i="2"/>
  <c r="R413" i="4"/>
  <c r="G413" i="2"/>
  <c r="Q413" i="4"/>
  <c r="F413" i="2"/>
  <c r="T414" i="4" l="1"/>
  <c r="I414" i="2"/>
  <c r="S414" i="4"/>
  <c r="H414" i="2"/>
  <c r="R414" i="4"/>
  <c r="G414" i="2"/>
  <c r="Q414" i="4"/>
  <c r="F414" i="2"/>
  <c r="T415" i="4" l="1"/>
  <c r="I415" i="2"/>
  <c r="S415" i="4"/>
  <c r="H415" i="2"/>
  <c r="R415" i="4"/>
  <c r="G415" i="2"/>
  <c r="Q415" i="4"/>
  <c r="F415" i="2"/>
  <c r="T416" i="4" l="1"/>
  <c r="I416" i="2"/>
  <c r="S416" i="4"/>
  <c r="H416" i="2"/>
  <c r="R416" i="4"/>
  <c r="G416" i="2"/>
  <c r="Q416" i="4"/>
  <c r="F416" i="2"/>
  <c r="T417" i="4" l="1"/>
  <c r="I417" i="2"/>
  <c r="S417" i="4"/>
  <c r="H417" i="2"/>
  <c r="R417" i="4"/>
  <c r="G417" i="2"/>
  <c r="Q417" i="4"/>
  <c r="F417" i="2"/>
  <c r="T418" i="4" l="1"/>
  <c r="I418" i="2"/>
  <c r="S418" i="4"/>
  <c r="H418" i="2"/>
  <c r="R418" i="4"/>
  <c r="G418" i="2"/>
  <c r="Q418" i="4"/>
  <c r="F418" i="2"/>
  <c r="T419" i="4" l="1"/>
  <c r="I419" i="2"/>
  <c r="S419" i="4"/>
  <c r="H419" i="2"/>
  <c r="R419" i="4"/>
  <c r="G419" i="2"/>
  <c r="Q419" i="4"/>
  <c r="F419" i="2"/>
  <c r="T420" i="4" l="1"/>
  <c r="I420" i="2"/>
  <c r="S420" i="4"/>
  <c r="H420" i="2"/>
  <c r="R420" i="4"/>
  <c r="G420" i="2"/>
  <c r="Q420" i="4"/>
  <c r="F420" i="2"/>
  <c r="T421" i="4" l="1"/>
  <c r="I421" i="2"/>
  <c r="S421" i="4"/>
  <c r="H421" i="2"/>
  <c r="R421" i="4"/>
  <c r="G421" i="2"/>
  <c r="Q421" i="4"/>
  <c r="F421" i="2"/>
  <c r="T422" i="4" l="1"/>
  <c r="I422" i="2"/>
  <c r="S422" i="4"/>
  <c r="H422" i="2"/>
  <c r="R422" i="4"/>
  <c r="G422" i="2"/>
  <c r="Q422" i="4"/>
  <c r="F422" i="2"/>
  <c r="T423" i="4" l="1"/>
  <c r="I423" i="2"/>
  <c r="S423" i="4"/>
  <c r="H423" i="2"/>
  <c r="R423" i="4"/>
  <c r="G423" i="2"/>
  <c r="Q423" i="4"/>
  <c r="F423" i="2"/>
  <c r="T424" i="4" l="1"/>
  <c r="I424" i="2"/>
  <c r="S424" i="4"/>
  <c r="H424" i="2"/>
  <c r="R424" i="4"/>
  <c r="G424" i="2"/>
  <c r="Q424" i="4"/>
  <c r="F424" i="2"/>
  <c r="T425" i="4" l="1"/>
  <c r="I425" i="2"/>
  <c r="S425" i="4"/>
  <c r="H425" i="2"/>
  <c r="R425" i="4"/>
  <c r="G425" i="2"/>
  <c r="Q425" i="4"/>
  <c r="F425" i="2"/>
  <c r="T426" i="4" l="1"/>
  <c r="I426" i="2"/>
  <c r="S426" i="4"/>
  <c r="H426" i="2"/>
  <c r="R426" i="4"/>
  <c r="G426" i="2"/>
  <c r="Q426" i="4"/>
  <c r="F426" i="2"/>
  <c r="T427" i="4" l="1"/>
  <c r="I427" i="2"/>
  <c r="S427" i="4"/>
  <c r="H427" i="2"/>
  <c r="R427" i="4"/>
  <c r="G427" i="2"/>
  <c r="Q427" i="4"/>
  <c r="F427" i="2"/>
  <c r="T428" i="4" l="1"/>
  <c r="I428" i="2"/>
  <c r="S428" i="4"/>
  <c r="H428" i="2"/>
  <c r="R428" i="4"/>
  <c r="G428" i="2"/>
  <c r="Q428" i="4"/>
  <c r="F428" i="2"/>
  <c r="T429" i="4" l="1"/>
  <c r="I429" i="2"/>
  <c r="S429" i="4"/>
  <c r="H429" i="2"/>
  <c r="R429" i="4"/>
  <c r="G429" i="2"/>
  <c r="Q429" i="4"/>
  <c r="F429" i="2"/>
  <c r="T430" i="4" l="1"/>
  <c r="I430" i="2"/>
  <c r="S430" i="4"/>
  <c r="H430" i="2"/>
  <c r="R430" i="4"/>
  <c r="G430" i="2"/>
  <c r="Q430" i="4"/>
  <c r="F430" i="2"/>
  <c r="T431" i="4" l="1"/>
  <c r="I431" i="2"/>
  <c r="S431" i="4"/>
  <c r="H431" i="2"/>
  <c r="R431" i="4"/>
  <c r="G431" i="2"/>
  <c r="Q431" i="4"/>
  <c r="F431" i="2"/>
  <c r="T432" i="4" l="1"/>
  <c r="I432" i="2"/>
  <c r="S432" i="4"/>
  <c r="H432" i="2"/>
  <c r="R432" i="4"/>
  <c r="G432" i="2"/>
  <c r="Q432" i="4"/>
  <c r="F432" i="2"/>
  <c r="T433" i="4" l="1"/>
  <c r="I433" i="2"/>
  <c r="S433" i="4"/>
  <c r="H433" i="2"/>
  <c r="R433" i="4"/>
  <c r="G433" i="2"/>
  <c r="Q433" i="4"/>
  <c r="F433" i="2"/>
  <c r="T434" i="4" l="1"/>
  <c r="I434" i="2"/>
  <c r="S434" i="4"/>
  <c r="H434" i="2"/>
  <c r="R434" i="4"/>
  <c r="G434" i="2"/>
  <c r="Q434" i="4"/>
  <c r="F434" i="2"/>
  <c r="T435" i="4" l="1"/>
  <c r="I435" i="2"/>
  <c r="S435" i="4"/>
  <c r="H435" i="2"/>
  <c r="R435" i="4"/>
  <c r="G435" i="2"/>
  <c r="Q435" i="4"/>
  <c r="F435" i="2"/>
  <c r="T436" i="4" l="1"/>
  <c r="I436" i="2"/>
  <c r="S436" i="4"/>
  <c r="H436" i="2"/>
  <c r="R436" i="4"/>
  <c r="G436" i="2"/>
  <c r="Q436" i="4"/>
  <c r="F436" i="2"/>
  <c r="T437" i="4" l="1"/>
  <c r="I437" i="2"/>
  <c r="S437" i="4"/>
  <c r="H437" i="2"/>
  <c r="R437" i="4"/>
  <c r="G437" i="2"/>
  <c r="Q437" i="4"/>
  <c r="F437" i="2"/>
  <c r="T438" i="4" l="1"/>
  <c r="I438" i="2"/>
  <c r="S438" i="4"/>
  <c r="H438" i="2"/>
  <c r="R438" i="4"/>
  <c r="G438" i="2"/>
  <c r="Q438" i="4"/>
  <c r="F438" i="2"/>
  <c r="T439" i="4" l="1"/>
  <c r="I439" i="2"/>
  <c r="S439" i="4"/>
  <c r="H439" i="2"/>
  <c r="R439" i="4"/>
  <c r="G439" i="2"/>
  <c r="Q439" i="4"/>
  <c r="F439" i="2"/>
  <c r="T440" i="4" l="1"/>
  <c r="I440" i="2"/>
  <c r="S440" i="4"/>
  <c r="H440" i="2"/>
  <c r="R440" i="4"/>
  <c r="G440" i="2"/>
  <c r="Q440" i="4"/>
  <c r="F440" i="2"/>
  <c r="T441" i="4" l="1"/>
  <c r="I441" i="2"/>
  <c r="S441" i="4"/>
  <c r="H441" i="2"/>
  <c r="R441" i="4"/>
  <c r="G441" i="2"/>
  <c r="Q441" i="4"/>
  <c r="F441" i="2"/>
  <c r="T442" i="4" l="1"/>
  <c r="I442" i="2"/>
  <c r="S442" i="4"/>
  <c r="H442" i="2"/>
  <c r="R442" i="4"/>
  <c r="G442" i="2"/>
  <c r="Q442" i="4"/>
  <c r="F442" i="2"/>
  <c r="T443" i="4" l="1"/>
  <c r="I443" i="2"/>
  <c r="S443" i="4"/>
  <c r="H443" i="2"/>
  <c r="R443" i="4"/>
  <c r="G443" i="2"/>
  <c r="Q443" i="4"/>
  <c r="F443" i="2"/>
  <c r="T444" i="4" l="1"/>
  <c r="I444" i="2"/>
  <c r="S444" i="4"/>
  <c r="H444" i="2"/>
  <c r="R444" i="4"/>
  <c r="G444" i="2"/>
  <c r="Q444" i="4"/>
  <c r="F444" i="2"/>
  <c r="T445" i="4" l="1"/>
  <c r="I445" i="2"/>
  <c r="S445" i="4"/>
  <c r="H445" i="2"/>
  <c r="R445" i="4"/>
  <c r="G445" i="2"/>
  <c r="Q445" i="4"/>
  <c r="F445" i="2"/>
  <c r="T446" i="4" l="1"/>
  <c r="I446" i="2"/>
  <c r="S446" i="4"/>
  <c r="H446" i="2"/>
  <c r="R446" i="4"/>
  <c r="G446" i="2"/>
  <c r="Q446" i="4"/>
  <c r="F446" i="2"/>
  <c r="T447" i="4" l="1"/>
  <c r="I447" i="2"/>
  <c r="S447" i="4"/>
  <c r="H447" i="2"/>
  <c r="R447" i="4"/>
  <c r="G447" i="2"/>
  <c r="Q447" i="4"/>
  <c r="F447" i="2"/>
  <c r="T448" i="4" l="1"/>
  <c r="I448" i="2"/>
  <c r="S448" i="4"/>
  <c r="H448" i="2"/>
  <c r="R448" i="4"/>
  <c r="G448" i="2"/>
  <c r="Q448" i="4"/>
  <c r="F448" i="2"/>
  <c r="T449" i="4" l="1"/>
  <c r="I449" i="2"/>
  <c r="S449" i="4"/>
  <c r="H449" i="2"/>
  <c r="R449" i="4"/>
  <c r="G449" i="2"/>
  <c r="Q449" i="4"/>
  <c r="F449" i="2"/>
  <c r="T450" i="4" l="1"/>
  <c r="I450" i="2"/>
  <c r="S450" i="4"/>
  <c r="H450" i="2"/>
  <c r="R450" i="4"/>
  <c r="G450" i="2"/>
  <c r="Q450" i="4"/>
  <c r="F450" i="2"/>
  <c r="T451" i="4" l="1"/>
  <c r="I451" i="2"/>
  <c r="S451" i="4"/>
  <c r="H451" i="2"/>
  <c r="R451" i="4"/>
  <c r="G451" i="2"/>
  <c r="Q451" i="4"/>
  <c r="F451" i="2"/>
  <c r="T452" i="4" l="1"/>
  <c r="I452" i="2"/>
  <c r="S452" i="4"/>
  <c r="H452" i="2"/>
  <c r="R452" i="4"/>
  <c r="G452" i="2"/>
  <c r="Q452" i="4"/>
  <c r="F452" i="2"/>
  <c r="T453" i="4" l="1"/>
  <c r="I453" i="2"/>
  <c r="S453" i="4"/>
  <c r="H453" i="2"/>
  <c r="R453" i="4"/>
  <c r="G453" i="2"/>
  <c r="Q453" i="4"/>
  <c r="F453" i="2"/>
  <c r="T454" i="4" l="1"/>
  <c r="I454" i="2"/>
  <c r="S454" i="4"/>
  <c r="H454" i="2"/>
  <c r="R454" i="4"/>
  <c r="G454" i="2"/>
  <c r="Q454" i="4"/>
  <c r="F454" i="2"/>
  <c r="T455" i="4" l="1"/>
  <c r="I455" i="2"/>
  <c r="S455" i="4"/>
  <c r="H455" i="2"/>
  <c r="R455" i="4"/>
  <c r="G455" i="2"/>
  <c r="Q455" i="4"/>
  <c r="F455" i="2"/>
  <c r="T456" i="4" l="1"/>
  <c r="I456" i="2"/>
  <c r="S456" i="4"/>
  <c r="H456" i="2"/>
  <c r="R456" i="4"/>
  <c r="G456" i="2"/>
  <c r="Q456" i="4"/>
  <c r="F456" i="2"/>
  <c r="T457" i="4" l="1"/>
  <c r="I457" i="2"/>
  <c r="S457" i="4"/>
  <c r="H457" i="2"/>
  <c r="R457" i="4"/>
  <c r="G457" i="2"/>
  <c r="Q457" i="4"/>
  <c r="F457" i="2"/>
  <c r="T458" i="4" l="1"/>
  <c r="I458" i="2"/>
  <c r="S458" i="4"/>
  <c r="H458" i="2"/>
  <c r="R458" i="4"/>
  <c r="G458" i="2"/>
  <c r="Q458" i="4"/>
  <c r="F458" i="2"/>
  <c r="T459" i="4" l="1"/>
  <c r="I459" i="2"/>
  <c r="S459" i="4"/>
  <c r="H459" i="2"/>
  <c r="R459" i="4"/>
  <c r="G459" i="2"/>
  <c r="Q459" i="4"/>
  <c r="F459" i="2"/>
  <c r="T460" i="4" l="1"/>
  <c r="I460" i="2"/>
  <c r="S460" i="4"/>
  <c r="H460" i="2"/>
  <c r="R460" i="4"/>
  <c r="G460" i="2"/>
  <c r="Q460" i="4"/>
  <c r="F460" i="2"/>
  <c r="T461" i="4" l="1"/>
  <c r="I461" i="2"/>
  <c r="S461" i="4"/>
  <c r="H461" i="2"/>
  <c r="R461" i="4"/>
  <c r="G461" i="2"/>
  <c r="Q461" i="4"/>
  <c r="F461" i="2"/>
  <c r="T462" i="4" l="1"/>
  <c r="I462" i="2"/>
  <c r="S462" i="4"/>
  <c r="H462" i="2"/>
  <c r="R462" i="4"/>
  <c r="G462" i="2"/>
  <c r="Q462" i="4"/>
  <c r="F462" i="2"/>
  <c r="T463" i="4" l="1"/>
  <c r="I463" i="2"/>
  <c r="S463" i="4"/>
  <c r="H463" i="2"/>
  <c r="R463" i="4"/>
  <c r="G463" i="2"/>
  <c r="Q463" i="4"/>
  <c r="F463" i="2"/>
  <c r="T464" i="4" l="1"/>
  <c r="I464" i="2"/>
  <c r="S464" i="4"/>
  <c r="H464" i="2"/>
  <c r="R464" i="4"/>
  <c r="G464" i="2"/>
  <c r="Q464" i="4"/>
  <c r="F464" i="2"/>
  <c r="T465" i="4" l="1"/>
  <c r="I465" i="2"/>
  <c r="S465" i="4"/>
  <c r="H465" i="2"/>
  <c r="R465" i="4"/>
  <c r="G465" i="2"/>
  <c r="Q465" i="4"/>
  <c r="F465" i="2"/>
  <c r="T466" i="4" l="1"/>
  <c r="I466" i="2"/>
  <c r="S466" i="4"/>
  <c r="H466" i="2"/>
  <c r="R466" i="4"/>
  <c r="G466" i="2"/>
  <c r="Q466" i="4"/>
  <c r="F466" i="2"/>
  <c r="T467" i="4" l="1"/>
  <c r="I467" i="2"/>
  <c r="S467" i="4"/>
  <c r="H467" i="2"/>
  <c r="R467" i="4"/>
  <c r="G467" i="2"/>
  <c r="Q467" i="4"/>
  <c r="F467" i="2"/>
  <c r="T468" i="4" l="1"/>
  <c r="I468" i="2"/>
  <c r="S468" i="4"/>
  <c r="H468" i="2"/>
  <c r="R468" i="4"/>
  <c r="G468" i="2"/>
  <c r="Q468" i="4"/>
  <c r="F468" i="2"/>
  <c r="T469" i="4" l="1"/>
  <c r="I469" i="2"/>
  <c r="S469" i="4"/>
  <c r="H469" i="2"/>
  <c r="R469" i="4"/>
  <c r="G469" i="2"/>
  <c r="Q469" i="4"/>
  <c r="F469" i="2"/>
  <c r="T470" i="4" l="1"/>
  <c r="I470" i="2"/>
  <c r="S470" i="4"/>
  <c r="H470" i="2"/>
  <c r="R470" i="4"/>
  <c r="G470" i="2"/>
  <c r="Q470" i="4"/>
  <c r="F470" i="2"/>
  <c r="T471" i="4" l="1"/>
  <c r="I471" i="2"/>
  <c r="S471" i="4"/>
  <c r="H471" i="2"/>
  <c r="R471" i="4"/>
  <c r="G471" i="2"/>
  <c r="Q471" i="4"/>
  <c r="F471" i="2"/>
  <c r="T472" i="4" l="1"/>
  <c r="I472" i="2"/>
  <c r="S472" i="4"/>
  <c r="H472" i="2"/>
  <c r="R472" i="4"/>
  <c r="G472" i="2"/>
  <c r="Q472" i="4"/>
  <c r="F472" i="2"/>
  <c r="T473" i="4" l="1"/>
  <c r="I473" i="2"/>
  <c r="S473" i="4"/>
  <c r="H473" i="2"/>
  <c r="R473" i="4"/>
  <c r="G473" i="2"/>
  <c r="Q473" i="4"/>
  <c r="F473" i="2"/>
  <c r="T474" i="4" l="1"/>
  <c r="I474" i="2"/>
  <c r="S474" i="4"/>
  <c r="H474" i="2"/>
  <c r="R474" i="4"/>
  <c r="G474" i="2"/>
  <c r="Q474" i="4"/>
  <c r="F474" i="2"/>
  <c r="T475" i="4" l="1"/>
  <c r="I475" i="2"/>
  <c r="S475" i="4"/>
  <c r="H475" i="2"/>
  <c r="R475" i="4"/>
  <c r="G475" i="2"/>
  <c r="Q475" i="4"/>
  <c r="F475" i="2"/>
  <c r="T476" i="4" l="1"/>
  <c r="I476" i="2"/>
  <c r="S476" i="4"/>
  <c r="H476" i="2"/>
  <c r="R476" i="4"/>
  <c r="G476" i="2"/>
  <c r="Q476" i="4"/>
  <c r="F476" i="2"/>
  <c r="T477" i="4" l="1"/>
  <c r="I477" i="2"/>
  <c r="S477" i="4"/>
  <c r="H477" i="2"/>
  <c r="R477" i="4"/>
  <c r="G477" i="2"/>
  <c r="Q477" i="4"/>
  <c r="F477" i="2"/>
  <c r="T478" i="4" l="1"/>
  <c r="I478" i="2"/>
  <c r="S478" i="4"/>
  <c r="H478" i="2"/>
  <c r="R478" i="4"/>
  <c r="G478" i="2"/>
  <c r="Q478" i="4"/>
  <c r="F478" i="2"/>
  <c r="T479" i="4" l="1"/>
  <c r="I479" i="2"/>
  <c r="S479" i="4"/>
  <c r="H479" i="2"/>
  <c r="R479" i="4"/>
  <c r="G479" i="2"/>
  <c r="Q479" i="4"/>
  <c r="F479" i="2"/>
  <c r="T480" i="4" l="1"/>
  <c r="I480" i="2"/>
  <c r="S480" i="4"/>
  <c r="H480" i="2"/>
  <c r="R480" i="4"/>
  <c r="G480" i="2"/>
  <c r="Q480" i="4"/>
  <c r="F480" i="2"/>
  <c r="T481" i="4" l="1"/>
  <c r="I481" i="2"/>
  <c r="S481" i="4"/>
  <c r="H481" i="2"/>
  <c r="R481" i="4"/>
  <c r="G481" i="2"/>
  <c r="Q481" i="4"/>
  <c r="F481" i="2"/>
  <c r="T482" i="4" l="1"/>
  <c r="I482" i="2"/>
  <c r="S482" i="4"/>
  <c r="H482" i="2"/>
  <c r="R482" i="4"/>
  <c r="G482" i="2"/>
  <c r="Q482" i="4"/>
  <c r="F482" i="2"/>
  <c r="T483" i="4" l="1"/>
  <c r="I483" i="2"/>
  <c r="S483" i="4"/>
  <c r="H483" i="2"/>
  <c r="R483" i="4"/>
  <c r="G483" i="2"/>
  <c r="Q483" i="4"/>
  <c r="F483" i="2"/>
  <c r="T484" i="4" l="1"/>
  <c r="I484" i="2"/>
  <c r="S484" i="4"/>
  <c r="H484" i="2"/>
  <c r="R484" i="4"/>
  <c r="G484" i="2"/>
  <c r="Q484" i="4"/>
  <c r="F484" i="2"/>
  <c r="T485" i="4" l="1"/>
  <c r="I485" i="2"/>
  <c r="S485" i="4"/>
  <c r="H485" i="2"/>
  <c r="R485" i="4"/>
  <c r="G485" i="2"/>
  <c r="Q485" i="4"/>
  <c r="F485" i="2"/>
  <c r="T486" i="4" l="1"/>
  <c r="I486" i="2"/>
  <c r="S486" i="4"/>
  <c r="H486" i="2"/>
  <c r="R486" i="4"/>
  <c r="G486" i="2"/>
  <c r="Q486" i="4"/>
  <c r="F486" i="2"/>
  <c r="T487" i="4" l="1"/>
  <c r="I487" i="2"/>
  <c r="S487" i="4"/>
  <c r="H487" i="2"/>
  <c r="R487" i="4"/>
  <c r="G487" i="2"/>
  <c r="Q487" i="4"/>
  <c r="F487" i="2"/>
  <c r="T488" i="4" l="1"/>
  <c r="I488" i="2"/>
  <c r="S488" i="4"/>
  <c r="H488" i="2"/>
  <c r="R488" i="4"/>
  <c r="G488" i="2"/>
  <c r="Q488" i="4"/>
  <c r="F488" i="2"/>
  <c r="T489" i="4" l="1"/>
  <c r="I489" i="2"/>
  <c r="S489" i="4"/>
  <c r="H489" i="2"/>
  <c r="R489" i="4"/>
  <c r="G489" i="2"/>
  <c r="Q489" i="4"/>
  <c r="F489" i="2"/>
  <c r="T490" i="4" l="1"/>
  <c r="I490" i="2"/>
  <c r="S490" i="4"/>
  <c r="H490" i="2"/>
  <c r="R490" i="4"/>
  <c r="G490" i="2"/>
  <c r="Q490" i="4"/>
  <c r="F490" i="2"/>
  <c r="T491" i="4" l="1"/>
  <c r="I491" i="2"/>
  <c r="S491" i="4"/>
  <c r="H491" i="2"/>
  <c r="R491" i="4"/>
  <c r="G491" i="2"/>
  <c r="Q491" i="4"/>
  <c r="F491" i="2"/>
  <c r="T492" i="4" l="1"/>
  <c r="I492" i="2"/>
  <c r="S492" i="4"/>
  <c r="H492" i="2"/>
  <c r="R492" i="4"/>
  <c r="G492" i="2"/>
  <c r="Q492" i="4"/>
  <c r="F492" i="2"/>
  <c r="T493" i="4" l="1"/>
  <c r="I493" i="2"/>
  <c r="S493" i="4"/>
  <c r="H493" i="2"/>
  <c r="R493" i="4"/>
  <c r="G493" i="2"/>
  <c r="Q493" i="4"/>
  <c r="F493" i="2"/>
  <c r="T494" i="4" l="1"/>
  <c r="I494" i="2"/>
  <c r="S494" i="4"/>
  <c r="H494" i="2"/>
  <c r="R494" i="4"/>
  <c r="G494" i="2"/>
  <c r="Q494" i="4"/>
  <c r="F494" i="2"/>
  <c r="T495" i="4" l="1"/>
  <c r="I495" i="2"/>
  <c r="S495" i="4"/>
  <c r="H495" i="2"/>
  <c r="R495" i="4"/>
  <c r="G495" i="2"/>
  <c r="Q495" i="4"/>
  <c r="F495" i="2"/>
  <c r="T496" i="4" l="1"/>
  <c r="I496" i="2"/>
  <c r="S496" i="4"/>
  <c r="H496" i="2"/>
  <c r="R496" i="4"/>
  <c r="G496" i="2"/>
  <c r="Q496" i="4"/>
  <c r="F496" i="2"/>
  <c r="T497" i="4" l="1"/>
  <c r="I497" i="2"/>
  <c r="S497" i="4"/>
  <c r="H497" i="2"/>
  <c r="R497" i="4"/>
  <c r="G497" i="2"/>
  <c r="Q497" i="4"/>
  <c r="F497" i="2"/>
  <c r="T498" i="4" l="1"/>
  <c r="I498" i="2"/>
  <c r="S498" i="4"/>
  <c r="H498" i="2"/>
  <c r="R498" i="4"/>
  <c r="G498" i="2"/>
  <c r="Q498" i="4"/>
  <c r="F498" i="2"/>
  <c r="T499" i="4" l="1"/>
  <c r="I499" i="2"/>
  <c r="S499" i="4"/>
  <c r="H499" i="2"/>
  <c r="R499" i="4"/>
  <c r="G499" i="2"/>
  <c r="Q499" i="4"/>
  <c r="F499" i="2"/>
  <c r="T500" i="4" l="1"/>
  <c r="I500" i="2"/>
  <c r="S500" i="4"/>
  <c r="H500" i="2"/>
  <c r="R500" i="4"/>
  <c r="G500" i="2"/>
  <c r="Q500" i="4"/>
  <c r="F500" i="2"/>
  <c r="T501" i="4" l="1"/>
  <c r="I501" i="2"/>
  <c r="S501" i="4"/>
  <c r="H501" i="2"/>
  <c r="R501" i="4"/>
  <c r="G501" i="2"/>
  <c r="Q501" i="4"/>
  <c r="F501" i="2"/>
  <c r="T502" i="4" l="1"/>
  <c r="I502" i="2"/>
  <c r="S502" i="4"/>
  <c r="H502" i="2"/>
  <c r="R502" i="4"/>
  <c r="G502" i="2"/>
  <c r="Q502" i="4"/>
  <c r="F502" i="2"/>
  <c r="T503" i="4" l="1"/>
  <c r="I503" i="2"/>
  <c r="S503" i="4"/>
  <c r="H503" i="2"/>
  <c r="R503" i="4"/>
  <c r="G503" i="2"/>
  <c r="Q503" i="4"/>
  <c r="F503" i="2"/>
  <c r="T504" i="4" l="1"/>
  <c r="I504" i="2"/>
  <c r="S504" i="4"/>
  <c r="H504" i="2"/>
  <c r="R504" i="4"/>
  <c r="G504" i="2"/>
  <c r="Q504" i="4"/>
  <c r="F504" i="2"/>
  <c r="T505" i="4" l="1"/>
  <c r="I505" i="2"/>
  <c r="S505" i="4"/>
  <c r="H505" i="2"/>
  <c r="R505" i="4"/>
  <c r="G505" i="2"/>
  <c r="Q505" i="4"/>
  <c r="F505" i="2"/>
  <c r="T506" i="4" l="1"/>
  <c r="I506" i="2"/>
  <c r="S506" i="4"/>
  <c r="H506" i="2"/>
  <c r="R506" i="4"/>
  <c r="G506" i="2"/>
  <c r="Q506" i="4"/>
  <c r="F506" i="2"/>
  <c r="T507" i="4" l="1"/>
  <c r="I507" i="2"/>
  <c r="S507" i="4"/>
  <c r="H507" i="2"/>
  <c r="R507" i="4"/>
  <c r="G507" i="2"/>
  <c r="Q507" i="4"/>
  <c r="F507" i="2"/>
  <c r="T508" i="4" l="1"/>
  <c r="I508" i="2"/>
  <c r="S508" i="4"/>
  <c r="H508" i="2"/>
  <c r="R508" i="4"/>
  <c r="G508" i="2"/>
  <c r="Q508" i="4"/>
  <c r="F508" i="2"/>
  <c r="T509" i="4" l="1"/>
  <c r="I509" i="2"/>
  <c r="S509" i="4"/>
  <c r="H509" i="2"/>
  <c r="R509" i="4"/>
  <c r="G509" i="2"/>
  <c r="Q509" i="4"/>
  <c r="F509" i="2"/>
  <c r="T510" i="4" l="1"/>
  <c r="I510" i="2"/>
  <c r="S510" i="4"/>
  <c r="H510" i="2"/>
  <c r="R510" i="4"/>
  <c r="G510" i="2"/>
  <c r="Q510" i="4"/>
  <c r="F510" i="2"/>
  <c r="T511" i="4" l="1"/>
  <c r="I511" i="2"/>
  <c r="S511" i="4"/>
  <c r="H511" i="2"/>
  <c r="R511" i="4"/>
  <c r="G511" i="2"/>
  <c r="Q511" i="4"/>
  <c r="F511" i="2"/>
  <c r="T512" i="4" l="1"/>
  <c r="I512" i="2"/>
  <c r="S512" i="4"/>
  <c r="H512" i="2"/>
  <c r="R512" i="4"/>
  <c r="G512" i="2"/>
  <c r="Q512" i="4"/>
  <c r="F512" i="2"/>
  <c r="T513" i="4" l="1"/>
  <c r="I513" i="2"/>
  <c r="S513" i="4"/>
  <c r="H513" i="2"/>
  <c r="R513" i="4"/>
  <c r="G513" i="2"/>
  <c r="Q513" i="4"/>
  <c r="F513" i="2"/>
  <c r="T514" i="4" l="1"/>
  <c r="I514" i="2"/>
  <c r="S514" i="4"/>
  <c r="H514" i="2"/>
  <c r="R514" i="4"/>
  <c r="G514" i="2"/>
  <c r="Q514" i="4"/>
  <c r="F514" i="2"/>
  <c r="T515" i="4" l="1"/>
  <c r="I515" i="2"/>
  <c r="S515" i="4"/>
  <c r="H515" i="2"/>
  <c r="R515" i="4"/>
  <c r="G515" i="2"/>
  <c r="Q515" i="4"/>
  <c r="F515" i="2"/>
  <c r="T516" i="4" l="1"/>
  <c r="I516" i="2"/>
  <c r="S516" i="4"/>
  <c r="H516" i="2"/>
  <c r="R516" i="4"/>
  <c r="G516" i="2"/>
  <c r="Q516" i="4"/>
  <c r="F516" i="2"/>
  <c r="T517" i="4" l="1"/>
  <c r="I517" i="2"/>
  <c r="S517" i="4"/>
  <c r="H517" i="2"/>
  <c r="R517" i="4"/>
  <c r="G517" i="2"/>
  <c r="Q517" i="4"/>
  <c r="F517" i="2"/>
  <c r="T518" i="4" l="1"/>
  <c r="I518" i="2"/>
  <c r="S518" i="4"/>
  <c r="H518" i="2"/>
  <c r="R518" i="4"/>
  <c r="G518" i="2"/>
  <c r="Q518" i="4"/>
  <c r="F518" i="2"/>
  <c r="T519" i="4" l="1"/>
  <c r="I519" i="2"/>
  <c r="S519" i="4"/>
  <c r="H519" i="2"/>
  <c r="R519" i="4"/>
  <c r="G519" i="2"/>
  <c r="Q519" i="4"/>
  <c r="F519" i="2"/>
  <c r="T520" i="4" l="1"/>
  <c r="I520" i="2"/>
  <c r="S520" i="4"/>
  <c r="H520" i="2"/>
  <c r="R520" i="4"/>
  <c r="G520" i="2"/>
  <c r="Q520" i="4"/>
  <c r="F520" i="2"/>
  <c r="T521" i="4" l="1"/>
  <c r="I521" i="2"/>
  <c r="S521" i="4"/>
  <c r="H521" i="2"/>
  <c r="R521" i="4"/>
  <c r="G521" i="2"/>
  <c r="Q521" i="4"/>
  <c r="F521" i="2"/>
  <c r="T522" i="4" l="1"/>
  <c r="I522" i="2"/>
  <c r="S522" i="4"/>
  <c r="H522" i="2"/>
  <c r="R522" i="4"/>
  <c r="G522" i="2"/>
  <c r="Q522" i="4"/>
  <c r="F522" i="2"/>
  <c r="T523" i="4" l="1"/>
  <c r="I523" i="2"/>
  <c r="S523" i="4"/>
  <c r="H523" i="2"/>
  <c r="R523" i="4"/>
  <c r="G523" i="2"/>
  <c r="Q523" i="4"/>
  <c r="F523" i="2"/>
  <c r="T524" i="4" l="1"/>
  <c r="I524" i="2"/>
  <c r="S524" i="4"/>
  <c r="H524" i="2"/>
  <c r="R524" i="4"/>
  <c r="G524" i="2"/>
  <c r="Q524" i="4"/>
  <c r="F524" i="2"/>
  <c r="T525" i="4" l="1"/>
  <c r="I525" i="2"/>
  <c r="S525" i="4"/>
  <c r="H525" i="2"/>
  <c r="R525" i="4"/>
  <c r="G525" i="2"/>
  <c r="Q525" i="4"/>
  <c r="F525" i="2"/>
  <c r="T526" i="4" l="1"/>
  <c r="I526" i="2"/>
  <c r="S526" i="4"/>
  <c r="H526" i="2"/>
  <c r="R526" i="4"/>
  <c r="G526" i="2"/>
  <c r="Q526" i="4"/>
  <c r="F526" i="2"/>
  <c r="T527" i="4" l="1"/>
  <c r="I527" i="2"/>
  <c r="S527" i="4"/>
  <c r="H527" i="2"/>
  <c r="R527" i="4"/>
  <c r="G527" i="2"/>
  <c r="Q527" i="4"/>
  <c r="F527" i="2"/>
  <c r="T528" i="4" l="1"/>
  <c r="I528" i="2"/>
  <c r="S528" i="4"/>
  <c r="H528" i="2"/>
  <c r="R528" i="4"/>
  <c r="G528" i="2"/>
  <c r="Q528" i="4"/>
  <c r="F528" i="2"/>
  <c r="T529" i="4" l="1"/>
  <c r="I529" i="2"/>
  <c r="S529" i="4"/>
  <c r="H529" i="2"/>
  <c r="R529" i="4"/>
  <c r="G529" i="2"/>
  <c r="Q529" i="4"/>
  <c r="F529" i="2"/>
  <c r="T530" i="4" l="1"/>
  <c r="I530" i="2"/>
  <c r="S530" i="4"/>
  <c r="H530" i="2"/>
  <c r="R530" i="4"/>
  <c r="G530" i="2"/>
  <c r="Q530" i="4"/>
  <c r="F530" i="2"/>
  <c r="T531" i="4" l="1"/>
  <c r="I531" i="2"/>
  <c r="S531" i="4"/>
  <c r="H531" i="2"/>
  <c r="R531" i="4"/>
  <c r="G531" i="2"/>
  <c r="Q531" i="4"/>
  <c r="F531" i="2"/>
  <c r="T532" i="4" l="1"/>
  <c r="I532" i="2"/>
  <c r="S532" i="4"/>
  <c r="H532" i="2"/>
  <c r="R532" i="4"/>
  <c r="G532" i="2"/>
  <c r="Q532" i="4"/>
  <c r="F532" i="2"/>
  <c r="T533" i="4" l="1"/>
  <c r="I533" i="2"/>
  <c r="S533" i="4"/>
  <c r="H533" i="2"/>
  <c r="R533" i="4"/>
  <c r="G533" i="2"/>
  <c r="Q533" i="4"/>
  <c r="F533" i="2"/>
  <c r="T534" i="4" l="1"/>
  <c r="I534" i="2"/>
  <c r="S534" i="4"/>
  <c r="H534" i="2"/>
  <c r="R534" i="4"/>
  <c r="G534" i="2"/>
  <c r="Q534" i="4"/>
  <c r="F534" i="2"/>
  <c r="T535" i="4" l="1"/>
  <c r="I535" i="2"/>
  <c r="S535" i="4"/>
  <c r="H535" i="2"/>
  <c r="R535" i="4"/>
  <c r="G535" i="2"/>
  <c r="Q535" i="4"/>
  <c r="F535" i="2"/>
  <c r="T536" i="4" l="1"/>
  <c r="I536" i="2"/>
  <c r="S536" i="4"/>
  <c r="H536" i="2"/>
  <c r="R536" i="4"/>
  <c r="G536" i="2"/>
  <c r="Q536" i="4"/>
  <c r="F536" i="2"/>
  <c r="T537" i="4" l="1"/>
  <c r="I537" i="2"/>
  <c r="S537" i="4"/>
  <c r="H537" i="2"/>
  <c r="R537" i="4"/>
  <c r="G537" i="2"/>
  <c r="Q537" i="4"/>
  <c r="F537" i="2"/>
  <c r="T538" i="4" l="1"/>
  <c r="I538" i="2"/>
  <c r="S538" i="4"/>
  <c r="H538" i="2"/>
  <c r="R538" i="4"/>
  <c r="G538" i="2"/>
  <c r="Q538" i="4"/>
  <c r="F538" i="2"/>
  <c r="T539" i="4" l="1"/>
  <c r="I539" i="2"/>
  <c r="S539" i="4"/>
  <c r="H539" i="2"/>
  <c r="R539" i="4"/>
  <c r="G539" i="2"/>
  <c r="Q539" i="4"/>
  <c r="F539" i="2"/>
  <c r="T540" i="4" l="1"/>
  <c r="I540" i="2"/>
  <c r="S540" i="4"/>
  <c r="H540" i="2"/>
  <c r="R540" i="4"/>
  <c r="G540" i="2"/>
  <c r="Q540" i="4"/>
  <c r="F540" i="2"/>
  <c r="T541" i="4" l="1"/>
  <c r="I541" i="2"/>
  <c r="S541" i="4"/>
  <c r="H541" i="2"/>
  <c r="R541" i="4"/>
  <c r="G541" i="2"/>
  <c r="Q541" i="4"/>
  <c r="F541" i="2"/>
  <c r="T542" i="4" l="1"/>
  <c r="I542" i="2"/>
  <c r="S542" i="4"/>
  <c r="H542" i="2"/>
  <c r="R542" i="4"/>
  <c r="G542" i="2"/>
  <c r="Q542" i="4"/>
  <c r="F542" i="2"/>
  <c r="T543" i="4" l="1"/>
  <c r="I543" i="2"/>
  <c r="S543" i="4"/>
  <c r="H543" i="2"/>
  <c r="R543" i="4"/>
  <c r="G543" i="2"/>
  <c r="Q543" i="4"/>
  <c r="F543" i="2"/>
  <c r="T544" i="4" l="1"/>
  <c r="I544" i="2"/>
  <c r="S544" i="4"/>
  <c r="H544" i="2"/>
  <c r="R544" i="4"/>
  <c r="G544" i="2"/>
  <c r="Q544" i="4"/>
  <c r="F544" i="2"/>
  <c r="T545" i="4" l="1"/>
  <c r="I545" i="2"/>
  <c r="S545" i="4"/>
  <c r="H545" i="2"/>
  <c r="R545" i="4"/>
  <c r="G545" i="2"/>
  <c r="Q545" i="4"/>
  <c r="F545" i="2"/>
  <c r="T546" i="4" l="1"/>
  <c r="I546" i="2"/>
  <c r="S546" i="4"/>
  <c r="H546" i="2"/>
  <c r="R546" i="4"/>
  <c r="G546" i="2"/>
  <c r="Q546" i="4"/>
  <c r="F546" i="2"/>
  <c r="T547" i="4" l="1"/>
  <c r="I547" i="2"/>
  <c r="S547" i="4"/>
  <c r="H547" i="2"/>
  <c r="R547" i="4"/>
  <c r="G547" i="2"/>
  <c r="Q547" i="4"/>
  <c r="F547" i="2"/>
  <c r="T548" i="4" l="1"/>
  <c r="I548" i="2"/>
  <c r="S548" i="4"/>
  <c r="H548" i="2"/>
  <c r="R548" i="4"/>
  <c r="G548" i="2"/>
  <c r="Q548" i="4"/>
  <c r="F548" i="2"/>
  <c r="T549" i="4" l="1"/>
  <c r="I549" i="2"/>
  <c r="S549" i="4"/>
  <c r="H549" i="2"/>
  <c r="R549" i="4"/>
  <c r="G549" i="2"/>
  <c r="Q549" i="4"/>
  <c r="F549" i="2"/>
  <c r="T550" i="4" l="1"/>
  <c r="I550" i="2"/>
  <c r="S550" i="4"/>
  <c r="H550" i="2"/>
  <c r="R550" i="4"/>
  <c r="G550" i="2"/>
  <c r="Q550" i="4"/>
  <c r="F550" i="2"/>
  <c r="T551" i="4" l="1"/>
  <c r="I551" i="2"/>
  <c r="S551" i="4"/>
  <c r="H551" i="2"/>
  <c r="R551" i="4"/>
  <c r="G551" i="2"/>
  <c r="Q551" i="4"/>
  <c r="F551" i="2"/>
  <c r="T552" i="4" l="1"/>
  <c r="I552" i="2"/>
  <c r="S552" i="4"/>
  <c r="H552" i="2"/>
  <c r="R552" i="4"/>
  <c r="G552" i="2"/>
  <c r="Q552" i="4"/>
  <c r="F552" i="2"/>
  <c r="T553" i="4" l="1"/>
  <c r="I553" i="2"/>
  <c r="S553" i="4"/>
  <c r="H553" i="2"/>
  <c r="R553" i="4"/>
  <c r="G553" i="2"/>
  <c r="Q553" i="4"/>
  <c r="F553" i="2"/>
  <c r="T554" i="4" l="1"/>
  <c r="I554" i="2"/>
  <c r="S554" i="4"/>
  <c r="H554" i="2"/>
  <c r="R554" i="4"/>
  <c r="G554" i="2"/>
  <c r="Q554" i="4"/>
  <c r="F554" i="2"/>
  <c r="T555" i="4" l="1"/>
  <c r="I555" i="2"/>
  <c r="S555" i="4"/>
  <c r="H555" i="2"/>
  <c r="R555" i="4"/>
  <c r="G555" i="2"/>
  <c r="Q555" i="4"/>
  <c r="F555" i="2"/>
  <c r="T556" i="4" l="1"/>
  <c r="I556" i="2"/>
  <c r="S556" i="4"/>
  <c r="H556" i="2"/>
  <c r="R556" i="4"/>
  <c r="G556" i="2"/>
  <c r="Q556" i="4"/>
  <c r="F556" i="2"/>
  <c r="T557" i="4" l="1"/>
  <c r="I557" i="2"/>
  <c r="S557" i="4"/>
  <c r="H557" i="2"/>
  <c r="R557" i="4"/>
  <c r="G557" i="2"/>
  <c r="Q557" i="4"/>
  <c r="F557" i="2"/>
  <c r="T558" i="4" l="1"/>
  <c r="I558" i="2"/>
  <c r="S558" i="4"/>
  <c r="H558" i="2"/>
  <c r="R558" i="4"/>
  <c r="G558" i="2"/>
  <c r="Q558" i="4"/>
  <c r="F558" i="2"/>
  <c r="T559" i="4" l="1"/>
  <c r="I559" i="2"/>
  <c r="S559" i="4"/>
  <c r="H559" i="2"/>
  <c r="R559" i="4"/>
  <c r="G559" i="2"/>
  <c r="Q559" i="4"/>
  <c r="F559" i="2"/>
  <c r="T560" i="4" l="1"/>
  <c r="I560" i="2"/>
  <c r="S560" i="4"/>
  <c r="H560" i="2"/>
  <c r="R560" i="4"/>
  <c r="G560" i="2"/>
  <c r="Q560" i="4"/>
  <c r="F560" i="2"/>
  <c r="T561" i="4" l="1"/>
  <c r="I561" i="2"/>
  <c r="S561" i="4"/>
  <c r="H561" i="2"/>
  <c r="R561" i="4"/>
  <c r="G561" i="2"/>
  <c r="Q561" i="4"/>
  <c r="F561" i="2"/>
  <c r="T562" i="4" l="1"/>
  <c r="I562" i="2"/>
  <c r="S562" i="4"/>
  <c r="H562" i="2"/>
  <c r="R562" i="4"/>
  <c r="G562" i="2"/>
  <c r="Q562" i="4"/>
  <c r="F562" i="2"/>
  <c r="T563" i="4" l="1"/>
  <c r="I563" i="2"/>
  <c r="S563" i="4"/>
  <c r="H563" i="2"/>
  <c r="R563" i="4"/>
  <c r="G563" i="2"/>
  <c r="Q563" i="4"/>
  <c r="F563" i="2"/>
  <c r="T564" i="4" l="1"/>
  <c r="I564" i="2"/>
  <c r="S564" i="4"/>
  <c r="H564" i="2"/>
  <c r="R564" i="4"/>
  <c r="G564" i="2"/>
  <c r="Q564" i="4"/>
  <c r="F564" i="2"/>
  <c r="T565" i="4" l="1"/>
  <c r="I565" i="2"/>
  <c r="S565" i="4"/>
  <c r="H565" i="2"/>
  <c r="R565" i="4"/>
  <c r="G565" i="2"/>
  <c r="Q565" i="4"/>
  <c r="F565" i="2"/>
  <c r="T566" i="4" l="1"/>
  <c r="I566" i="2"/>
  <c r="S566" i="4"/>
  <c r="H566" i="2"/>
  <c r="R566" i="4"/>
  <c r="G566" i="2"/>
  <c r="Q566" i="4"/>
  <c r="F566" i="2"/>
  <c r="T567" i="4" l="1"/>
  <c r="I567" i="2"/>
  <c r="S567" i="4"/>
  <c r="H567" i="2"/>
  <c r="R567" i="4"/>
  <c r="G567" i="2"/>
  <c r="Q567" i="4"/>
  <c r="F567" i="2"/>
  <c r="T568" i="4" l="1"/>
  <c r="I568" i="2"/>
  <c r="S568" i="4"/>
  <c r="H568" i="2"/>
  <c r="R568" i="4"/>
  <c r="G568" i="2"/>
  <c r="Q568" i="4"/>
  <c r="F568" i="2"/>
  <c r="T569" i="4" l="1"/>
  <c r="I569" i="2"/>
  <c r="S569" i="4"/>
  <c r="H569" i="2"/>
  <c r="R569" i="4"/>
  <c r="G569" i="2"/>
  <c r="Q569" i="4"/>
  <c r="F569" i="2"/>
  <c r="T570" i="4" l="1"/>
  <c r="I570" i="2"/>
  <c r="S570" i="4"/>
  <c r="H570" i="2"/>
  <c r="R570" i="4"/>
  <c r="G570" i="2"/>
  <c r="Q570" i="4"/>
  <c r="F570" i="2"/>
  <c r="T571" i="4" l="1"/>
  <c r="I571" i="2"/>
  <c r="S571" i="4"/>
  <c r="H571" i="2"/>
  <c r="R571" i="4"/>
  <c r="G571" i="2"/>
  <c r="Q571" i="4"/>
  <c r="F571" i="2"/>
  <c r="T572" i="4" l="1"/>
  <c r="I572" i="2"/>
  <c r="S572" i="4"/>
  <c r="H572" i="2"/>
  <c r="R572" i="4"/>
  <c r="G572" i="2"/>
  <c r="Q572" i="4"/>
  <c r="F572" i="2"/>
  <c r="T573" i="4" l="1"/>
  <c r="I573" i="2"/>
  <c r="S573" i="4"/>
  <c r="H573" i="2"/>
  <c r="R573" i="4"/>
  <c r="G573" i="2"/>
  <c r="Q573" i="4"/>
  <c r="F573" i="2"/>
  <c r="T574" i="4" l="1"/>
  <c r="I574" i="2"/>
  <c r="S574" i="4"/>
  <c r="H574" i="2"/>
  <c r="R574" i="4"/>
  <c r="G574" i="2"/>
  <c r="Q574" i="4"/>
  <c r="F574" i="2"/>
  <c r="T575" i="4" l="1"/>
  <c r="I575" i="2"/>
  <c r="S575" i="4"/>
  <c r="H575" i="2"/>
  <c r="R575" i="4"/>
  <c r="G575" i="2"/>
  <c r="Q575" i="4"/>
  <c r="F575" i="2"/>
  <c r="T576" i="4" l="1"/>
  <c r="I576" i="2"/>
  <c r="S576" i="4"/>
  <c r="H576" i="2"/>
  <c r="R576" i="4"/>
  <c r="G576" i="2"/>
  <c r="Q576" i="4"/>
  <c r="F576" i="2"/>
  <c r="T577" i="4" l="1"/>
  <c r="I577" i="2"/>
  <c r="S577" i="4"/>
  <c r="H577" i="2"/>
  <c r="R577" i="4"/>
  <c r="G577" i="2"/>
  <c r="Q577" i="4"/>
  <c r="F577" i="2"/>
  <c r="T578" i="4" l="1"/>
  <c r="I578" i="2"/>
  <c r="S578" i="4"/>
  <c r="H578" i="2"/>
  <c r="R578" i="4"/>
  <c r="G578" i="2"/>
  <c r="Q578" i="4"/>
  <c r="F578" i="2"/>
  <c r="T579" i="4" l="1"/>
  <c r="I579" i="2"/>
  <c r="S579" i="4"/>
  <c r="H579" i="2"/>
  <c r="R579" i="4"/>
  <c r="G579" i="2"/>
  <c r="Q579" i="4"/>
  <c r="F579" i="2"/>
  <c r="T580" i="4" l="1"/>
  <c r="I580" i="2"/>
  <c r="S580" i="4"/>
  <c r="H580" i="2"/>
  <c r="R580" i="4"/>
  <c r="G580" i="2"/>
  <c r="Q580" i="4"/>
  <c r="F580" i="2"/>
  <c r="T581" i="4" l="1"/>
  <c r="I581" i="2"/>
  <c r="S581" i="4"/>
  <c r="H581" i="2"/>
  <c r="R581" i="4"/>
  <c r="G581" i="2"/>
  <c r="Q581" i="4"/>
  <c r="F581" i="2"/>
  <c r="T582" i="4" l="1"/>
  <c r="I582" i="2"/>
  <c r="S582" i="4"/>
  <c r="H582" i="2"/>
  <c r="R582" i="4"/>
  <c r="G582" i="2"/>
  <c r="Q582" i="4"/>
  <c r="F582" i="2"/>
  <c r="T583" i="4" l="1"/>
  <c r="I583" i="2"/>
  <c r="S583" i="4"/>
  <c r="H583" i="2"/>
  <c r="R583" i="4"/>
  <c r="G583" i="2"/>
  <c r="Q583" i="4"/>
  <c r="F583" i="2"/>
  <c r="T584" i="4" l="1"/>
  <c r="I584" i="2"/>
  <c r="S584" i="4"/>
  <c r="H584" i="2"/>
  <c r="R584" i="4"/>
  <c r="G584" i="2"/>
  <c r="Q584" i="4"/>
  <c r="F584" i="2"/>
  <c r="T585" i="4" l="1"/>
  <c r="I585" i="2"/>
  <c r="S585" i="4"/>
  <c r="H585" i="2"/>
  <c r="R585" i="4"/>
  <c r="G585" i="2"/>
  <c r="Q585" i="4"/>
  <c r="F585" i="2"/>
  <c r="T586" i="4" l="1"/>
  <c r="I586" i="2"/>
  <c r="S586" i="4"/>
  <c r="H586" i="2"/>
  <c r="R586" i="4"/>
  <c r="G586" i="2"/>
  <c r="Q586" i="4"/>
  <c r="F586" i="2"/>
  <c r="T587" i="4" l="1"/>
  <c r="I587" i="2"/>
  <c r="S587" i="4"/>
  <c r="H587" i="2"/>
  <c r="R587" i="4"/>
  <c r="G587" i="2"/>
  <c r="Q587" i="4"/>
  <c r="F587" i="2"/>
  <c r="T588" i="4" l="1"/>
  <c r="I588" i="2"/>
  <c r="S588" i="4"/>
  <c r="H588" i="2"/>
  <c r="R588" i="4"/>
  <c r="G588" i="2"/>
  <c r="Q588" i="4"/>
  <c r="F588" i="2"/>
  <c r="T589" i="4" l="1"/>
  <c r="I589" i="2"/>
  <c r="S589" i="4"/>
  <c r="H589" i="2"/>
  <c r="R589" i="4"/>
  <c r="G589" i="2"/>
  <c r="Q589" i="4"/>
  <c r="F589" i="2"/>
  <c r="T590" i="4" l="1"/>
  <c r="I590" i="2"/>
  <c r="S590" i="4"/>
  <c r="H590" i="2"/>
  <c r="R590" i="4"/>
  <c r="G590" i="2"/>
  <c r="Q590" i="4"/>
  <c r="F590" i="2"/>
  <c r="T591" i="4" l="1"/>
  <c r="I591" i="2"/>
  <c r="S591" i="4"/>
  <c r="H591" i="2"/>
  <c r="R591" i="4"/>
  <c r="G591" i="2"/>
  <c r="Q591" i="4"/>
  <c r="F591" i="2"/>
  <c r="T592" i="4" l="1"/>
  <c r="I592" i="2"/>
  <c r="S592" i="4"/>
  <c r="H592" i="2"/>
  <c r="R592" i="4"/>
  <c r="G592" i="2"/>
  <c r="Q592" i="4"/>
  <c r="F592" i="2"/>
  <c r="T593" i="4" l="1"/>
  <c r="I593" i="2"/>
  <c r="S593" i="4"/>
  <c r="H593" i="2"/>
  <c r="R593" i="4"/>
  <c r="G593" i="2"/>
  <c r="Q593" i="4"/>
  <c r="F593" i="2"/>
  <c r="T594" i="4" l="1"/>
  <c r="I594" i="2"/>
  <c r="S594" i="4"/>
  <c r="H594" i="2"/>
  <c r="R594" i="4"/>
  <c r="G594" i="2"/>
  <c r="Q594" i="4"/>
  <c r="F594" i="2"/>
  <c r="T595" i="4" l="1"/>
  <c r="I595" i="2"/>
  <c r="S595" i="4"/>
  <c r="H595" i="2"/>
  <c r="R595" i="4"/>
  <c r="G595" i="2"/>
  <c r="Q595" i="4"/>
  <c r="F595" i="2"/>
  <c r="T596" i="4" l="1"/>
  <c r="I596" i="2"/>
  <c r="S596" i="4"/>
  <c r="H596" i="2"/>
  <c r="R596" i="4"/>
  <c r="G596" i="2"/>
  <c r="Q596" i="4"/>
  <c r="F596" i="2"/>
  <c r="T597" i="4" l="1"/>
  <c r="I597" i="2"/>
  <c r="S597" i="4"/>
  <c r="H597" i="2"/>
  <c r="R597" i="4"/>
  <c r="G597" i="2"/>
  <c r="Q597" i="4"/>
  <c r="F597" i="2"/>
  <c r="T598" i="4" l="1"/>
  <c r="I598" i="2"/>
  <c r="S598" i="4"/>
  <c r="H598" i="2"/>
  <c r="R598" i="4"/>
  <c r="G598" i="2"/>
  <c r="Q598" i="4"/>
  <c r="F598" i="2"/>
  <c r="T599" i="4" l="1"/>
  <c r="I599" i="2"/>
  <c r="S599" i="4"/>
  <c r="H599" i="2"/>
  <c r="R599" i="4"/>
  <c r="G599" i="2"/>
  <c r="Q599" i="4"/>
  <c r="F599" i="2"/>
  <c r="T600" i="4" l="1"/>
  <c r="I600" i="2"/>
  <c r="S600" i="4"/>
  <c r="H600" i="2"/>
  <c r="R600" i="4"/>
  <c r="G600" i="2"/>
  <c r="Q600" i="4"/>
  <c r="F600" i="2"/>
  <c r="T601" i="4" l="1"/>
  <c r="I601" i="2"/>
  <c r="S601" i="4"/>
  <c r="H601" i="2"/>
  <c r="R601" i="4"/>
  <c r="G601" i="2"/>
  <c r="Q601" i="4"/>
  <c r="F601" i="2"/>
  <c r="T602" i="4" l="1"/>
  <c r="I602" i="2"/>
  <c r="S602" i="4"/>
  <c r="H602" i="2"/>
  <c r="R602" i="4"/>
  <c r="G602" i="2"/>
  <c r="Q602" i="4"/>
  <c r="F602" i="2"/>
  <c r="T603" i="4" l="1"/>
  <c r="I603" i="2"/>
  <c r="S603" i="4"/>
  <c r="H603" i="2"/>
  <c r="R603" i="4"/>
  <c r="G603" i="2"/>
  <c r="Q603" i="4"/>
  <c r="F603" i="2"/>
  <c r="T604" i="4" l="1"/>
  <c r="I604" i="2"/>
  <c r="S604" i="4"/>
  <c r="H604" i="2"/>
  <c r="R604" i="4"/>
  <c r="G604" i="2"/>
  <c r="Q604" i="4"/>
  <c r="F604" i="2"/>
  <c r="T605" i="4" l="1"/>
  <c r="I605" i="2"/>
  <c r="S605" i="4"/>
  <c r="H605" i="2"/>
  <c r="R605" i="4"/>
  <c r="G605" i="2"/>
  <c r="Q605" i="4"/>
  <c r="F605" i="2"/>
  <c r="T606" i="4" l="1"/>
  <c r="I606" i="2"/>
  <c r="S606" i="4"/>
  <c r="H606" i="2"/>
  <c r="R606" i="4"/>
  <c r="G606" i="2"/>
  <c r="Q606" i="4"/>
  <c r="F606" i="2"/>
  <c r="T607" i="4" l="1"/>
  <c r="I607" i="2"/>
  <c r="S607" i="4"/>
  <c r="H607" i="2"/>
  <c r="R607" i="4"/>
  <c r="G607" i="2"/>
  <c r="Q607" i="4"/>
  <c r="F607" i="2"/>
  <c r="T608" i="4" l="1"/>
  <c r="I608" i="2"/>
  <c r="S608" i="4"/>
  <c r="H608" i="2"/>
  <c r="R608" i="4"/>
  <c r="G608" i="2"/>
  <c r="Q608" i="4"/>
  <c r="F608" i="2"/>
  <c r="T609" i="4" l="1"/>
  <c r="I609" i="2"/>
  <c r="S609" i="4"/>
  <c r="H609" i="2"/>
  <c r="R609" i="4"/>
  <c r="G609" i="2"/>
  <c r="Q609" i="4"/>
  <c r="F609" i="2"/>
  <c r="T610" i="4" l="1"/>
  <c r="I610" i="2"/>
  <c r="S610" i="4"/>
  <c r="H610" i="2"/>
  <c r="R610" i="4"/>
  <c r="G610" i="2"/>
  <c r="Q610" i="4"/>
  <c r="F610" i="2"/>
  <c r="T611" i="4" l="1"/>
  <c r="I611" i="2"/>
  <c r="S611" i="4"/>
  <c r="H611" i="2"/>
  <c r="R611" i="4"/>
  <c r="G611" i="2"/>
  <c r="Q611" i="4"/>
  <c r="F611" i="2"/>
  <c r="T612" i="4" l="1"/>
  <c r="I612" i="2"/>
  <c r="S612" i="4"/>
  <c r="H612" i="2"/>
  <c r="R612" i="4"/>
  <c r="G612" i="2"/>
  <c r="Q612" i="4"/>
  <c r="F612" i="2"/>
  <c r="T613" i="4" l="1"/>
  <c r="I613" i="2"/>
  <c r="S613" i="4"/>
  <c r="H613" i="2"/>
  <c r="R613" i="4"/>
  <c r="G613" i="2"/>
  <c r="Q613" i="4"/>
  <c r="F613" i="2"/>
  <c r="T614" i="4" l="1"/>
  <c r="I614" i="2"/>
  <c r="S614" i="4"/>
  <c r="H614" i="2"/>
  <c r="R614" i="4"/>
  <c r="G614" i="2"/>
  <c r="Q614" i="4"/>
  <c r="F614" i="2"/>
  <c r="T615" i="4" l="1"/>
  <c r="I615" i="2"/>
  <c r="S615" i="4"/>
  <c r="H615" i="2"/>
  <c r="R615" i="4"/>
  <c r="G615" i="2"/>
  <c r="Q615" i="4"/>
  <c r="F615" i="2"/>
  <c r="T616" i="4" l="1"/>
  <c r="I616" i="2"/>
  <c r="S616" i="4"/>
  <c r="H616" i="2"/>
  <c r="R616" i="4"/>
  <c r="G616" i="2"/>
  <c r="Q616" i="4"/>
  <c r="F616" i="2"/>
  <c r="T617" i="4" l="1"/>
  <c r="I617" i="2"/>
  <c r="S617" i="4"/>
  <c r="H617" i="2"/>
  <c r="R617" i="4"/>
  <c r="G617" i="2"/>
  <c r="Q617" i="4"/>
  <c r="F617" i="2"/>
  <c r="T618" i="4" l="1"/>
  <c r="I618" i="2"/>
  <c r="S618" i="4"/>
  <c r="H618" i="2"/>
  <c r="R618" i="4"/>
  <c r="G618" i="2"/>
  <c r="Q618" i="4"/>
  <c r="F618" i="2"/>
  <c r="T619" i="4" l="1"/>
  <c r="I619" i="2"/>
  <c r="S619" i="4"/>
  <c r="H619" i="2"/>
  <c r="R619" i="4"/>
  <c r="G619" i="2"/>
  <c r="Q619" i="4"/>
  <c r="F619" i="2"/>
  <c r="T620" i="4" l="1"/>
  <c r="I620" i="2"/>
  <c r="S620" i="4"/>
  <c r="H620" i="2"/>
  <c r="R620" i="4"/>
  <c r="G620" i="2"/>
  <c r="Q620" i="4"/>
  <c r="F620" i="2"/>
  <c r="T621" i="4" l="1"/>
  <c r="I621" i="2"/>
  <c r="S621" i="4"/>
  <c r="H621" i="2"/>
  <c r="R621" i="4"/>
  <c r="G621" i="2"/>
  <c r="Q621" i="4"/>
  <c r="F621" i="2"/>
  <c r="T622" i="4" l="1"/>
  <c r="I622" i="2"/>
  <c r="S622" i="4"/>
  <c r="H622" i="2"/>
  <c r="R622" i="4"/>
  <c r="G622" i="2"/>
  <c r="Q622" i="4"/>
  <c r="F622" i="2"/>
  <c r="T623" i="4" l="1"/>
  <c r="I623" i="2"/>
  <c r="S623" i="4"/>
  <c r="H623" i="2"/>
  <c r="R623" i="4"/>
  <c r="G623" i="2"/>
  <c r="Q623" i="4"/>
  <c r="F623" i="2"/>
  <c r="T624" i="4" l="1"/>
  <c r="I624" i="2"/>
  <c r="S624" i="4"/>
  <c r="H624" i="2"/>
  <c r="R624" i="4"/>
  <c r="G624" i="2"/>
  <c r="Q624" i="4"/>
  <c r="F624" i="2"/>
  <c r="T625" i="4" l="1"/>
  <c r="I625" i="2"/>
  <c r="S625" i="4"/>
  <c r="H625" i="2"/>
  <c r="R625" i="4"/>
  <c r="G625" i="2"/>
  <c r="Q625" i="4"/>
  <c r="F625" i="2"/>
  <c r="T626" i="4" l="1"/>
  <c r="I626" i="2"/>
  <c r="S626" i="4"/>
  <c r="H626" i="2"/>
  <c r="R626" i="4"/>
  <c r="G626" i="2"/>
  <c r="Q626" i="4"/>
  <c r="F626" i="2"/>
  <c r="T627" i="4" l="1"/>
  <c r="I627" i="2"/>
  <c r="S627" i="4"/>
  <c r="H627" i="2"/>
  <c r="R627" i="4"/>
  <c r="G627" i="2"/>
  <c r="Q627" i="4"/>
  <c r="F627" i="2"/>
  <c r="T628" i="4" l="1"/>
  <c r="I628" i="2"/>
  <c r="S628" i="4"/>
  <c r="H628" i="2"/>
  <c r="R628" i="4"/>
  <c r="G628" i="2"/>
  <c r="Q628" i="4"/>
  <c r="F628" i="2"/>
  <c r="T629" i="4" l="1"/>
  <c r="I629" i="2"/>
  <c r="S629" i="4"/>
  <c r="H629" i="2"/>
  <c r="R629" i="4"/>
  <c r="G629" i="2"/>
  <c r="Q629" i="4"/>
  <c r="F629" i="2"/>
  <c r="T630" i="4" l="1"/>
  <c r="I630" i="2"/>
  <c r="S630" i="4"/>
  <c r="H630" i="2"/>
  <c r="R630" i="4"/>
  <c r="G630" i="2"/>
  <c r="Q630" i="4"/>
  <c r="F630" i="2"/>
  <c r="T631" i="4" l="1"/>
  <c r="I631" i="2"/>
  <c r="S631" i="4"/>
  <c r="H631" i="2"/>
  <c r="R631" i="4"/>
  <c r="G631" i="2"/>
  <c r="Q631" i="4"/>
  <c r="F631" i="2"/>
  <c r="T632" i="4" l="1"/>
  <c r="I632" i="2"/>
  <c r="S632" i="4"/>
  <c r="H632" i="2"/>
  <c r="R632" i="4"/>
  <c r="G632" i="2"/>
  <c r="Q632" i="4"/>
  <c r="F632" i="2"/>
  <c r="T633" i="4" l="1"/>
  <c r="I633" i="2"/>
  <c r="S633" i="4"/>
  <c r="H633" i="2"/>
  <c r="R633" i="4"/>
  <c r="G633" i="2"/>
  <c r="Q633" i="4"/>
  <c r="F633" i="2"/>
  <c r="T634" i="4" l="1"/>
  <c r="I634" i="2"/>
  <c r="S634" i="4"/>
  <c r="H634" i="2"/>
  <c r="R634" i="4"/>
  <c r="G634" i="2"/>
  <c r="Q634" i="4"/>
  <c r="F634" i="2"/>
  <c r="T635" i="4" l="1"/>
  <c r="I635" i="2"/>
  <c r="S635" i="4"/>
  <c r="H635" i="2"/>
  <c r="R635" i="4"/>
  <c r="G635" i="2"/>
  <c r="Q635" i="4"/>
  <c r="F635" i="2"/>
  <c r="T636" i="4" l="1"/>
  <c r="I636" i="2"/>
  <c r="S636" i="4"/>
  <c r="H636" i="2"/>
  <c r="R636" i="4"/>
  <c r="G636" i="2"/>
  <c r="Q636" i="4"/>
  <c r="F636" i="2"/>
  <c r="T637" i="4" l="1"/>
  <c r="I637" i="2"/>
  <c r="S637" i="4"/>
  <c r="H637" i="2"/>
  <c r="R637" i="4"/>
  <c r="G637" i="2"/>
  <c r="Q637" i="4"/>
  <c r="F637" i="2"/>
  <c r="T638" i="4" l="1"/>
  <c r="I638" i="2"/>
  <c r="S638" i="4"/>
  <c r="H638" i="2"/>
  <c r="R638" i="4"/>
  <c r="G638" i="2"/>
  <c r="Q638" i="4"/>
  <c r="F638" i="2"/>
  <c r="T639" i="4" l="1"/>
  <c r="I639" i="2"/>
  <c r="S639" i="4"/>
  <c r="H639" i="2"/>
  <c r="R639" i="4"/>
  <c r="G639" i="2"/>
  <c r="Q639" i="4"/>
  <c r="F639" i="2"/>
  <c r="T640" i="4" l="1"/>
  <c r="I640" i="2"/>
  <c r="S640" i="4"/>
  <c r="H640" i="2"/>
  <c r="R640" i="4"/>
  <c r="G640" i="2"/>
  <c r="Q640" i="4"/>
  <c r="F640" i="2"/>
  <c r="T641" i="4" l="1"/>
  <c r="I641" i="2"/>
  <c r="S641" i="4"/>
  <c r="H641" i="2"/>
  <c r="R641" i="4"/>
  <c r="G641" i="2"/>
  <c r="Q641" i="4"/>
  <c r="F641" i="2"/>
  <c r="T642" i="4" l="1"/>
  <c r="I642" i="2"/>
  <c r="S642" i="4"/>
  <c r="H642" i="2"/>
  <c r="R642" i="4"/>
  <c r="G642" i="2"/>
  <c r="Q642" i="4"/>
  <c r="F642" i="2"/>
  <c r="T643" i="4" l="1"/>
  <c r="I643" i="2"/>
  <c r="S643" i="4"/>
  <c r="H643" i="2"/>
  <c r="R643" i="4"/>
  <c r="G643" i="2"/>
  <c r="Q643" i="4"/>
  <c r="F643" i="2"/>
  <c r="T644" i="4" l="1"/>
  <c r="I644" i="2"/>
  <c r="S644" i="4"/>
  <c r="H644" i="2"/>
  <c r="R644" i="4"/>
  <c r="G644" i="2"/>
  <c r="Q644" i="4"/>
  <c r="F644" i="2"/>
  <c r="T645" i="4" l="1"/>
  <c r="I645" i="2"/>
  <c r="S645" i="4"/>
  <c r="H645" i="2"/>
  <c r="R645" i="4"/>
  <c r="G645" i="2"/>
  <c r="Q645" i="4"/>
  <c r="F645" i="2"/>
  <c r="T646" i="4" l="1"/>
  <c r="I646" i="2"/>
  <c r="S646" i="4"/>
  <c r="H646" i="2"/>
  <c r="R646" i="4"/>
  <c r="G646" i="2"/>
  <c r="Q646" i="4"/>
  <c r="F646" i="2"/>
  <c r="T647" i="4" l="1"/>
  <c r="I647" i="2"/>
  <c r="S647" i="4"/>
  <c r="H647" i="2"/>
  <c r="R647" i="4"/>
  <c r="G647" i="2"/>
  <c r="Q647" i="4"/>
  <c r="F647" i="2"/>
  <c r="T648" i="4" l="1"/>
  <c r="I648" i="2"/>
  <c r="S648" i="4"/>
  <c r="H648" i="2"/>
  <c r="R648" i="4"/>
  <c r="G648" i="2"/>
  <c r="Q648" i="4"/>
  <c r="F648" i="2"/>
  <c r="T649" i="4" l="1"/>
  <c r="I649" i="2"/>
  <c r="S649" i="4"/>
  <c r="H649" i="2"/>
  <c r="R649" i="4"/>
  <c r="G649" i="2"/>
  <c r="Q649" i="4"/>
  <c r="F649" i="2"/>
  <c r="T650" i="4" l="1"/>
  <c r="I650" i="2"/>
  <c r="S650" i="4"/>
  <c r="H650" i="2"/>
  <c r="R650" i="4"/>
  <c r="G650" i="2"/>
  <c r="Q650" i="4"/>
  <c r="F650" i="2"/>
  <c r="T651" i="4" l="1"/>
  <c r="I651" i="2"/>
  <c r="S651" i="4"/>
  <c r="H651" i="2"/>
  <c r="R651" i="4"/>
  <c r="G651" i="2"/>
  <c r="Q651" i="4"/>
  <c r="F651" i="2"/>
  <c r="T652" i="4" l="1"/>
  <c r="I652" i="2"/>
  <c r="S652" i="4"/>
  <c r="H652" i="2"/>
  <c r="R652" i="4"/>
  <c r="G652" i="2"/>
  <c r="Q652" i="4"/>
  <c r="F652" i="2"/>
  <c r="T653" i="4" l="1"/>
  <c r="I653" i="2"/>
  <c r="S653" i="4"/>
  <c r="H653" i="2"/>
  <c r="R653" i="4"/>
  <c r="G653" i="2"/>
  <c r="Q653" i="4"/>
  <c r="F653" i="2"/>
  <c r="T654" i="4" l="1"/>
  <c r="I654" i="2"/>
  <c r="S654" i="4"/>
  <c r="H654" i="2"/>
  <c r="R654" i="4"/>
  <c r="G654" i="2"/>
  <c r="Q654" i="4"/>
  <c r="F654" i="2"/>
  <c r="T655" i="4" l="1"/>
  <c r="I655" i="2"/>
  <c r="S655" i="4"/>
  <c r="H655" i="2"/>
  <c r="R655" i="4"/>
  <c r="G655" i="2"/>
  <c r="Q655" i="4"/>
  <c r="F655" i="2"/>
  <c r="T656" i="4" l="1"/>
  <c r="I656" i="2"/>
  <c r="S656" i="4"/>
  <c r="H656" i="2"/>
  <c r="R656" i="4"/>
  <c r="G656" i="2"/>
  <c r="Q656" i="4"/>
  <c r="F656" i="2"/>
  <c r="T657" i="4" l="1"/>
  <c r="I657" i="2"/>
  <c r="S657" i="4"/>
  <c r="H657" i="2"/>
  <c r="R657" i="4"/>
  <c r="G657" i="2"/>
  <c r="Q657" i="4"/>
  <c r="F657" i="2"/>
  <c r="T658" i="4" l="1"/>
  <c r="I658" i="2"/>
  <c r="S658" i="4"/>
  <c r="H658" i="2"/>
  <c r="R658" i="4"/>
  <c r="G658" i="2"/>
  <c r="Q658" i="4"/>
  <c r="F658" i="2"/>
  <c r="T659" i="4" l="1"/>
  <c r="I659" i="2"/>
  <c r="S659" i="4"/>
  <c r="H659" i="2"/>
  <c r="R659" i="4"/>
  <c r="G659" i="2"/>
  <c r="Q659" i="4"/>
  <c r="F659" i="2"/>
  <c r="T660" i="4" l="1"/>
  <c r="I660" i="2"/>
  <c r="S660" i="4"/>
  <c r="H660" i="2"/>
  <c r="R660" i="4"/>
  <c r="G660" i="2"/>
  <c r="Q660" i="4"/>
  <c r="F660" i="2"/>
  <c r="T661" i="4" l="1"/>
  <c r="I661" i="2"/>
  <c r="S661" i="4"/>
  <c r="H661" i="2"/>
  <c r="R661" i="4"/>
  <c r="G661" i="2"/>
  <c r="Q661" i="4"/>
  <c r="F661" i="2"/>
  <c r="T662" i="4" l="1"/>
  <c r="I662" i="2"/>
  <c r="S662" i="4"/>
  <c r="H662" i="2"/>
  <c r="R662" i="4"/>
  <c r="G662" i="2"/>
  <c r="Q662" i="4"/>
  <c r="F662" i="2"/>
  <c r="T663" i="4" l="1"/>
  <c r="I663" i="2"/>
  <c r="S663" i="4"/>
  <c r="H663" i="2"/>
  <c r="R663" i="4"/>
  <c r="G663" i="2"/>
  <c r="Q663" i="4"/>
  <c r="F663" i="2"/>
  <c r="T664" i="4" l="1"/>
  <c r="I664" i="2"/>
  <c r="S664" i="4"/>
  <c r="H664" i="2"/>
  <c r="R664" i="4"/>
  <c r="G664" i="2"/>
  <c r="Q664" i="4"/>
  <c r="F664" i="2"/>
  <c r="T665" i="4" l="1"/>
  <c r="I665" i="2"/>
  <c r="S665" i="4"/>
  <c r="H665" i="2"/>
  <c r="R665" i="4"/>
  <c r="G665" i="2"/>
  <c r="Q665" i="4"/>
  <c r="F665" i="2"/>
  <c r="T666" i="4" l="1"/>
  <c r="I666" i="2"/>
  <c r="S666" i="4"/>
  <c r="H666" i="2"/>
  <c r="R666" i="4"/>
  <c r="G666" i="2"/>
  <c r="Q666" i="4"/>
  <c r="F666" i="2"/>
  <c r="T667" i="4" l="1"/>
  <c r="I667" i="2"/>
  <c r="S667" i="4"/>
  <c r="H667" i="2"/>
  <c r="R667" i="4"/>
  <c r="G667" i="2"/>
  <c r="Q667" i="4"/>
  <c r="F667" i="2"/>
  <c r="T668" i="4" l="1"/>
  <c r="I668" i="2"/>
  <c r="S668" i="4"/>
  <c r="H668" i="2"/>
  <c r="R668" i="4"/>
  <c r="G668" i="2"/>
  <c r="Q668" i="4"/>
  <c r="F668" i="2"/>
  <c r="T669" i="4" l="1"/>
  <c r="I669" i="2"/>
  <c r="S669" i="4"/>
  <c r="H669" i="2"/>
  <c r="R669" i="4"/>
  <c r="G669" i="2"/>
  <c r="Q669" i="4"/>
  <c r="F669" i="2"/>
  <c r="T670" i="4" l="1"/>
  <c r="I670" i="2"/>
  <c r="S670" i="4"/>
  <c r="H670" i="2"/>
  <c r="R670" i="4"/>
  <c r="G670" i="2"/>
  <c r="Q670" i="4"/>
  <c r="F670" i="2"/>
  <c r="T671" i="4" l="1"/>
  <c r="I671" i="2"/>
  <c r="S671" i="4"/>
  <c r="H671" i="2"/>
  <c r="R671" i="4"/>
  <c r="G671" i="2"/>
  <c r="Q671" i="4"/>
  <c r="F671" i="2"/>
  <c r="T672" i="4" l="1"/>
  <c r="I672" i="2"/>
  <c r="S672" i="4"/>
  <c r="H672" i="2"/>
  <c r="R672" i="4"/>
  <c r="G672" i="2"/>
  <c r="Q672" i="4"/>
  <c r="F672" i="2"/>
  <c r="T673" i="4" l="1"/>
  <c r="I673" i="2"/>
  <c r="S673" i="4"/>
  <c r="H673" i="2"/>
  <c r="R673" i="4"/>
  <c r="G673" i="2"/>
  <c r="Q673" i="4"/>
  <c r="F673" i="2"/>
  <c r="T674" i="4" l="1"/>
  <c r="I674" i="2"/>
  <c r="S674" i="4"/>
  <c r="H674" i="2"/>
  <c r="R674" i="4"/>
  <c r="G674" i="2"/>
  <c r="Q674" i="4"/>
  <c r="F674" i="2"/>
  <c r="T675" i="4" l="1"/>
  <c r="I675" i="2"/>
  <c r="S675" i="4"/>
  <c r="H675" i="2"/>
  <c r="R675" i="4"/>
  <c r="G675" i="2"/>
  <c r="Q675" i="4"/>
  <c r="F675" i="2"/>
  <c r="T676" i="4" l="1"/>
  <c r="I676" i="2"/>
  <c r="S676" i="4"/>
  <c r="H676" i="2"/>
  <c r="R676" i="4"/>
  <c r="G676" i="2"/>
  <c r="Q676" i="4"/>
  <c r="F676" i="2"/>
  <c r="T677" i="4" l="1"/>
  <c r="I677" i="2"/>
  <c r="S677" i="4"/>
  <c r="H677" i="2"/>
  <c r="R677" i="4"/>
  <c r="G677" i="2"/>
  <c r="Q677" i="4"/>
  <c r="F677" i="2"/>
  <c r="T678" i="4" l="1"/>
  <c r="I678" i="2"/>
  <c r="S678" i="4"/>
  <c r="H678" i="2"/>
  <c r="R678" i="4"/>
  <c r="G678" i="2"/>
  <c r="Q678" i="4"/>
  <c r="F678" i="2"/>
  <c r="T679" i="4" l="1"/>
  <c r="I679" i="2"/>
  <c r="S679" i="4"/>
  <c r="H679" i="2"/>
  <c r="R679" i="4"/>
  <c r="G679" i="2"/>
  <c r="Q679" i="4"/>
  <c r="F679" i="2"/>
  <c r="T680" i="4" l="1"/>
  <c r="I680" i="2"/>
  <c r="S680" i="4"/>
  <c r="H680" i="2"/>
  <c r="R680" i="4"/>
  <c r="G680" i="2"/>
  <c r="Q680" i="4"/>
  <c r="F680" i="2"/>
  <c r="T681" i="4" l="1"/>
  <c r="I681" i="2"/>
  <c r="S681" i="4"/>
  <c r="H681" i="2"/>
  <c r="R681" i="4"/>
  <c r="G681" i="2"/>
  <c r="Q681" i="4"/>
  <c r="F681" i="2"/>
  <c r="T682" i="4" l="1"/>
  <c r="I682" i="2"/>
  <c r="S682" i="4"/>
  <c r="H682" i="2"/>
  <c r="R682" i="4"/>
  <c r="G682" i="2"/>
  <c r="Q682" i="4"/>
  <c r="F682" i="2"/>
  <c r="T683" i="4" l="1"/>
  <c r="I683" i="2"/>
  <c r="S683" i="4"/>
  <c r="H683" i="2"/>
  <c r="R683" i="4"/>
  <c r="G683" i="2"/>
  <c r="Q683" i="4"/>
  <c r="F683" i="2"/>
  <c r="T684" i="4" l="1"/>
  <c r="I684" i="2"/>
  <c r="S684" i="4"/>
  <c r="H684" i="2"/>
  <c r="R684" i="4"/>
  <c r="G684" i="2"/>
  <c r="Q684" i="4"/>
  <c r="F684" i="2"/>
  <c r="T685" i="4" l="1"/>
  <c r="I685" i="2"/>
  <c r="S685" i="4"/>
  <c r="H685" i="2"/>
  <c r="R685" i="4"/>
  <c r="G685" i="2"/>
  <c r="Q685" i="4"/>
  <c r="F685" i="2"/>
  <c r="T686" i="4" l="1"/>
  <c r="I686" i="2"/>
  <c r="S686" i="4"/>
  <c r="H686" i="2"/>
  <c r="R686" i="4"/>
  <c r="G686" i="2"/>
  <c r="Q686" i="4"/>
  <c r="F686" i="2"/>
  <c r="T687" i="4" l="1"/>
  <c r="I687" i="2"/>
  <c r="S687" i="4"/>
  <c r="H687" i="2"/>
  <c r="R687" i="4"/>
  <c r="G687" i="2"/>
  <c r="Q687" i="4"/>
  <c r="F687" i="2"/>
  <c r="T688" i="4" l="1"/>
  <c r="I688" i="2"/>
  <c r="S688" i="4"/>
  <c r="H688" i="2"/>
  <c r="R688" i="4"/>
  <c r="G688" i="2"/>
  <c r="Q688" i="4"/>
  <c r="F688" i="2"/>
  <c r="T689" i="4" l="1"/>
  <c r="I689" i="2"/>
  <c r="S689" i="4"/>
  <c r="H689" i="2"/>
  <c r="R689" i="4"/>
  <c r="G689" i="2"/>
  <c r="Q689" i="4"/>
  <c r="F689" i="2"/>
  <c r="T690" i="4" l="1"/>
  <c r="I690" i="2"/>
  <c r="S690" i="4"/>
  <c r="H690" i="2"/>
  <c r="R690" i="4"/>
  <c r="G690" i="2"/>
  <c r="Q690" i="4"/>
  <c r="F690" i="2"/>
  <c r="T691" i="4" l="1"/>
  <c r="I691" i="2"/>
  <c r="S691" i="4"/>
  <c r="H691" i="2"/>
  <c r="R691" i="4"/>
  <c r="G691" i="2"/>
  <c r="Q691" i="4"/>
  <c r="F691" i="2"/>
  <c r="T692" i="4" l="1"/>
  <c r="I692" i="2"/>
  <c r="S692" i="4"/>
  <c r="H692" i="2"/>
  <c r="R692" i="4"/>
  <c r="G692" i="2"/>
  <c r="Q692" i="4"/>
  <c r="F692" i="2"/>
  <c r="T693" i="4" l="1"/>
  <c r="I693" i="2"/>
  <c r="S693" i="4"/>
  <c r="H693" i="2"/>
  <c r="R693" i="4"/>
  <c r="G693" i="2"/>
  <c r="Q693" i="4"/>
  <c r="F693" i="2"/>
  <c r="T694" i="4" l="1"/>
  <c r="I694" i="2"/>
  <c r="S694" i="4"/>
  <c r="H694" i="2"/>
  <c r="R694" i="4"/>
  <c r="G694" i="2"/>
  <c r="Q694" i="4"/>
  <c r="F694" i="2"/>
  <c r="T695" i="4" l="1"/>
  <c r="I695" i="2"/>
  <c r="S695" i="4"/>
  <c r="H695" i="2"/>
  <c r="R695" i="4"/>
  <c r="G695" i="2"/>
  <c r="Q695" i="4"/>
  <c r="F695" i="2"/>
  <c r="T696" i="4" l="1"/>
  <c r="I696" i="2"/>
  <c r="S696" i="4"/>
  <c r="H696" i="2"/>
  <c r="R696" i="4"/>
  <c r="G696" i="2"/>
  <c r="Q696" i="4"/>
  <c r="F696" i="2"/>
  <c r="T697" i="4" l="1"/>
  <c r="I697" i="2"/>
  <c r="S697" i="4"/>
  <c r="H697" i="2"/>
  <c r="R697" i="4"/>
  <c r="G697" i="2"/>
  <c r="Q697" i="4"/>
  <c r="F697" i="2"/>
  <c r="T698" i="4" l="1"/>
  <c r="I698" i="2"/>
  <c r="S698" i="4"/>
  <c r="H698" i="2"/>
  <c r="R698" i="4"/>
  <c r="G698" i="2"/>
  <c r="Q698" i="4"/>
  <c r="F698" i="2"/>
  <c r="T699" i="4" l="1"/>
  <c r="I699" i="2"/>
  <c r="S699" i="4"/>
  <c r="H699" i="2"/>
  <c r="R699" i="4"/>
  <c r="G699" i="2"/>
  <c r="Q699" i="4"/>
  <c r="F699" i="2"/>
  <c r="T700" i="4" l="1"/>
  <c r="I700" i="2"/>
  <c r="S700" i="4"/>
  <c r="H700" i="2"/>
  <c r="R700" i="4"/>
  <c r="G700" i="2"/>
  <c r="Q700" i="4"/>
  <c r="F700" i="2"/>
  <c r="T701" i="4" l="1"/>
  <c r="I701" i="2"/>
  <c r="S701" i="4"/>
  <c r="H701" i="2"/>
  <c r="R701" i="4"/>
  <c r="G701" i="2"/>
  <c r="Q701" i="4"/>
  <c r="F701" i="2"/>
  <c r="T702" i="4" l="1"/>
  <c r="I702" i="2"/>
  <c r="S702" i="4"/>
  <c r="H702" i="2"/>
  <c r="R702" i="4"/>
  <c r="G702" i="2"/>
  <c r="Q702" i="4"/>
  <c r="F702" i="2"/>
  <c r="T703" i="4" l="1"/>
  <c r="I703" i="2"/>
  <c r="S703" i="4"/>
  <c r="H703" i="2"/>
  <c r="R703" i="4"/>
  <c r="G703" i="2"/>
  <c r="Q703" i="4"/>
  <c r="F703" i="2"/>
  <c r="T704" i="4" l="1"/>
  <c r="I704" i="2"/>
  <c r="S704" i="4"/>
  <c r="H704" i="2"/>
  <c r="R704" i="4"/>
  <c r="G704" i="2"/>
  <c r="Q704" i="4"/>
  <c r="F704" i="2"/>
  <c r="T705" i="4" l="1"/>
  <c r="I705" i="2"/>
  <c r="S705" i="4"/>
  <c r="H705" i="2"/>
  <c r="R705" i="4"/>
  <c r="G705" i="2"/>
  <c r="Q705" i="4"/>
  <c r="F705" i="2"/>
  <c r="T706" i="4" l="1"/>
  <c r="I706" i="2"/>
  <c r="S706" i="4"/>
  <c r="H706" i="2"/>
  <c r="R706" i="4"/>
  <c r="G706" i="2"/>
  <c r="Q706" i="4"/>
  <c r="F706" i="2"/>
  <c r="T707" i="4" l="1"/>
  <c r="I707" i="2"/>
  <c r="S707" i="4"/>
  <c r="H707" i="2"/>
  <c r="R707" i="4"/>
  <c r="G707" i="2"/>
  <c r="Q707" i="4"/>
  <c r="F707" i="2"/>
  <c r="T708" i="4" l="1"/>
  <c r="I708" i="2"/>
  <c r="S708" i="4"/>
  <c r="H708" i="2"/>
  <c r="R708" i="4"/>
  <c r="G708" i="2"/>
  <c r="Q708" i="4"/>
  <c r="F708" i="2"/>
  <c r="T709" i="4" l="1"/>
  <c r="I709" i="2"/>
  <c r="S709" i="4"/>
  <c r="H709" i="2"/>
  <c r="R709" i="4"/>
  <c r="G709" i="2"/>
  <c r="Q709" i="4"/>
  <c r="F709" i="2"/>
  <c r="T710" i="4" l="1"/>
  <c r="I710" i="2"/>
  <c r="S710" i="4"/>
  <c r="H710" i="2"/>
  <c r="R710" i="4"/>
  <c r="G710" i="2"/>
  <c r="Q710" i="4"/>
  <c r="F710" i="2"/>
  <c r="T711" i="4" l="1"/>
  <c r="I711" i="2"/>
  <c r="S711" i="4"/>
  <c r="H711" i="2"/>
  <c r="R711" i="4"/>
  <c r="G711" i="2"/>
  <c r="Q711" i="4"/>
  <c r="F711" i="2"/>
  <c r="T712" i="4" l="1"/>
  <c r="I712" i="2"/>
  <c r="S712" i="4"/>
  <c r="H712" i="2"/>
  <c r="R712" i="4"/>
  <c r="G712" i="2"/>
  <c r="Q712" i="4"/>
  <c r="F712" i="2"/>
  <c r="T713" i="4" l="1"/>
  <c r="I713" i="2"/>
  <c r="S713" i="4"/>
  <c r="H713" i="2"/>
  <c r="R713" i="4"/>
  <c r="G713" i="2"/>
  <c r="Q713" i="4"/>
  <c r="F713" i="2"/>
  <c r="T714" i="4" l="1"/>
  <c r="I714" i="2"/>
  <c r="S714" i="4"/>
  <c r="H714" i="2"/>
  <c r="R714" i="4"/>
  <c r="G714" i="2"/>
  <c r="Q714" i="4"/>
  <c r="F714" i="2"/>
  <c r="T715" i="4" l="1"/>
  <c r="I715" i="2"/>
  <c r="S715" i="4"/>
  <c r="H715" i="2"/>
  <c r="R715" i="4"/>
  <c r="G715" i="2"/>
  <c r="Q715" i="4"/>
  <c r="F715" i="2"/>
  <c r="T716" i="4" l="1"/>
  <c r="I716" i="2"/>
  <c r="S716" i="4"/>
  <c r="H716" i="2"/>
  <c r="R716" i="4"/>
  <c r="G716" i="2"/>
  <c r="Q716" i="4"/>
  <c r="F716" i="2"/>
  <c r="T717" i="4" l="1"/>
  <c r="I717" i="2"/>
  <c r="S717" i="4"/>
  <c r="H717" i="2"/>
  <c r="R717" i="4"/>
  <c r="G717" i="2"/>
  <c r="Q717" i="4"/>
  <c r="F717" i="2"/>
  <c r="T718" i="4" l="1"/>
  <c r="I718" i="2"/>
  <c r="S718" i="4"/>
  <c r="H718" i="2"/>
  <c r="R718" i="4"/>
  <c r="G718" i="2"/>
  <c r="Q718" i="4"/>
  <c r="F718" i="2"/>
  <c r="T719" i="4" l="1"/>
  <c r="I719" i="2"/>
  <c r="S719" i="4"/>
  <c r="H719" i="2"/>
  <c r="R719" i="4"/>
  <c r="G719" i="2"/>
  <c r="Q719" i="4"/>
  <c r="F719" i="2"/>
  <c r="T720" i="4" l="1"/>
  <c r="I720" i="2"/>
  <c r="S720" i="4"/>
  <c r="H720" i="2"/>
  <c r="R720" i="4"/>
  <c r="G720" i="2"/>
  <c r="Q720" i="4"/>
  <c r="F720" i="2"/>
  <c r="T721" i="4" l="1"/>
  <c r="I721" i="2"/>
  <c r="S721" i="4"/>
  <c r="H721" i="2"/>
  <c r="R721" i="4"/>
  <c r="G721" i="2"/>
  <c r="Q721" i="4"/>
  <c r="F721" i="2"/>
  <c r="T722" i="4" l="1"/>
  <c r="I722" i="2"/>
  <c r="S722" i="4"/>
  <c r="H722" i="2"/>
  <c r="R722" i="4"/>
  <c r="G722" i="2"/>
  <c r="Q722" i="4"/>
  <c r="F722" i="2"/>
  <c r="T723" i="4" l="1"/>
  <c r="I723" i="2"/>
  <c r="S723" i="4"/>
  <c r="H723" i="2"/>
  <c r="R723" i="4"/>
  <c r="G723" i="2"/>
  <c r="Q723" i="4"/>
  <c r="F723" i="2"/>
  <c r="T724" i="4" l="1"/>
  <c r="I724" i="2"/>
  <c r="S724" i="4"/>
  <c r="H724" i="2"/>
  <c r="R724" i="4"/>
  <c r="G724" i="2"/>
  <c r="Q724" i="4"/>
  <c r="F724" i="2"/>
  <c r="T725" i="4" l="1"/>
  <c r="I725" i="2"/>
  <c r="S725" i="4"/>
  <c r="H725" i="2"/>
  <c r="R725" i="4"/>
  <c r="G725" i="2"/>
  <c r="Q725" i="4"/>
  <c r="F725" i="2"/>
  <c r="T726" i="4" l="1"/>
  <c r="I726" i="2"/>
  <c r="S726" i="4"/>
  <c r="H726" i="2"/>
  <c r="R726" i="4"/>
  <c r="G726" i="2"/>
  <c r="Q726" i="4"/>
  <c r="F726" i="2"/>
  <c r="T727" i="4" l="1"/>
  <c r="I727" i="2"/>
  <c r="S727" i="4"/>
  <c r="H727" i="2"/>
  <c r="R727" i="4"/>
  <c r="G727" i="2"/>
  <c r="Q727" i="4"/>
  <c r="F727" i="2"/>
  <c r="T728" i="4" l="1"/>
  <c r="I728" i="2"/>
  <c r="S728" i="4"/>
  <c r="H728" i="2"/>
  <c r="R728" i="4"/>
  <c r="G728" i="2"/>
  <c r="Q728" i="4"/>
  <c r="F728" i="2"/>
  <c r="T729" i="4" l="1"/>
  <c r="I729" i="2"/>
  <c r="S729" i="4"/>
  <c r="H729" i="2"/>
  <c r="R729" i="4"/>
  <c r="G729" i="2"/>
  <c r="Q729" i="4"/>
  <c r="F729" i="2"/>
  <c r="T730" i="4" l="1"/>
  <c r="I730" i="2"/>
  <c r="S730" i="4"/>
  <c r="H730" i="2"/>
  <c r="R730" i="4"/>
  <c r="G730" i="2"/>
  <c r="Q730" i="4"/>
  <c r="F730" i="2"/>
  <c r="T731" i="4" l="1"/>
  <c r="I731" i="2"/>
  <c r="S731" i="4"/>
  <c r="H731" i="2"/>
  <c r="R731" i="4"/>
  <c r="G731" i="2"/>
  <c r="Q731" i="4"/>
  <c r="F731" i="2"/>
  <c r="T732" i="4" l="1"/>
  <c r="I732" i="2"/>
  <c r="S732" i="4"/>
  <c r="H732" i="2"/>
  <c r="R732" i="4"/>
  <c r="G732" i="2"/>
  <c r="Q732" i="4"/>
  <c r="F732" i="2"/>
  <c r="T733" i="4" l="1"/>
  <c r="I733" i="2"/>
  <c r="S733" i="4"/>
  <c r="H733" i="2"/>
  <c r="R733" i="4"/>
  <c r="G733" i="2"/>
  <c r="Q733" i="4"/>
  <c r="F733" i="2"/>
  <c r="T734" i="4" l="1"/>
  <c r="I734" i="2"/>
  <c r="S734" i="4"/>
  <c r="H734" i="2"/>
  <c r="R734" i="4"/>
  <c r="G734" i="2"/>
  <c r="Q734" i="4"/>
  <c r="F734" i="2"/>
  <c r="T735" i="4" l="1"/>
  <c r="I735" i="2"/>
  <c r="S735" i="4"/>
  <c r="H735" i="2"/>
  <c r="R735" i="4"/>
  <c r="G735" i="2"/>
  <c r="Q735" i="4"/>
  <c r="F735" i="2"/>
  <c r="T736" i="4" l="1"/>
  <c r="I736" i="2"/>
  <c r="S736" i="4"/>
  <c r="H736" i="2"/>
  <c r="R736" i="4"/>
  <c r="G736" i="2"/>
  <c r="Q736" i="4"/>
  <c r="F736" i="2"/>
  <c r="T737" i="4" l="1"/>
  <c r="I737" i="2"/>
  <c r="S737" i="4"/>
  <c r="H737" i="2"/>
  <c r="R737" i="4"/>
  <c r="G737" i="2"/>
  <c r="Q737" i="4"/>
  <c r="F737" i="2"/>
  <c r="T738" i="4" l="1"/>
  <c r="I738" i="2"/>
  <c r="S738" i="4"/>
  <c r="H738" i="2"/>
  <c r="R738" i="4"/>
  <c r="G738" i="2"/>
  <c r="Q738" i="4"/>
  <c r="F738" i="2"/>
  <c r="T739" i="4" l="1"/>
  <c r="I739" i="2"/>
  <c r="S739" i="4"/>
  <c r="H739" i="2"/>
  <c r="R739" i="4"/>
  <c r="G739" i="2"/>
  <c r="Q739" i="4"/>
  <c r="F739" i="2"/>
  <c r="T740" i="4" l="1"/>
  <c r="I740" i="2"/>
  <c r="S740" i="4"/>
  <c r="H740" i="2"/>
  <c r="R740" i="4"/>
  <c r="G740" i="2"/>
  <c r="Q740" i="4"/>
  <c r="F740" i="2"/>
  <c r="T741" i="4" l="1"/>
  <c r="I741" i="2"/>
  <c r="S741" i="4"/>
  <c r="H741" i="2"/>
  <c r="R741" i="4"/>
  <c r="G741" i="2"/>
  <c r="Q741" i="4"/>
  <c r="F741" i="2"/>
  <c r="T742" i="4" l="1"/>
  <c r="I742" i="2"/>
  <c r="S742" i="4"/>
  <c r="H742" i="2"/>
  <c r="R742" i="4"/>
  <c r="G742" i="2"/>
  <c r="Q742" i="4"/>
  <c r="F742" i="2"/>
  <c r="T743" i="4" l="1"/>
  <c r="I743" i="2"/>
  <c r="S743" i="4"/>
  <c r="H743" i="2"/>
  <c r="R743" i="4"/>
  <c r="G743" i="2"/>
  <c r="Q743" i="4"/>
  <c r="F743" i="2"/>
  <c r="T744" i="4" l="1"/>
  <c r="I744" i="2"/>
  <c r="S744" i="4"/>
  <c r="H744" i="2"/>
  <c r="R744" i="4"/>
  <c r="G744" i="2"/>
  <c r="Q744" i="4"/>
  <c r="F744" i="2"/>
  <c r="T745" i="4" l="1"/>
  <c r="I745" i="2"/>
  <c r="S745" i="4"/>
  <c r="H745" i="2"/>
  <c r="R745" i="4"/>
  <c r="G745" i="2"/>
  <c r="Q745" i="4"/>
  <c r="F745" i="2"/>
  <c r="T746" i="4" l="1"/>
  <c r="I746" i="2"/>
  <c r="S746" i="4"/>
  <c r="H746" i="2"/>
  <c r="R746" i="4"/>
  <c r="G746" i="2"/>
  <c r="Q746" i="4"/>
  <c r="F746" i="2"/>
  <c r="T747" i="4" l="1"/>
  <c r="I747" i="2"/>
  <c r="S747" i="4"/>
  <c r="H747" i="2"/>
  <c r="R747" i="4"/>
  <c r="G747" i="2"/>
  <c r="Q747" i="4"/>
  <c r="F747" i="2"/>
  <c r="T748" i="4" l="1"/>
  <c r="I748" i="2"/>
  <c r="S748" i="4"/>
  <c r="H748" i="2"/>
  <c r="G748" i="2"/>
  <c r="R748" i="4"/>
  <c r="Q748" i="4"/>
  <c r="F748" i="2"/>
  <c r="I749" i="2" l="1"/>
  <c r="T749" i="4"/>
  <c r="H749" i="2"/>
  <c r="S749" i="4"/>
  <c r="R749" i="4"/>
  <c r="G749" i="2"/>
  <c r="F749" i="2"/>
  <c r="Q749" i="4"/>
  <c r="I750" i="2" l="1"/>
  <c r="T750" i="4"/>
  <c r="S750" i="4"/>
  <c r="H750" i="2"/>
  <c r="R750" i="4"/>
  <c r="G750" i="2"/>
  <c r="Q750" i="4"/>
  <c r="F750" i="2"/>
  <c r="T751" i="4" l="1"/>
  <c r="I751" i="2"/>
  <c r="S751" i="4"/>
  <c r="H751" i="2"/>
  <c r="R751" i="4"/>
  <c r="G751" i="2"/>
  <c r="F751" i="2"/>
  <c r="Q751" i="4"/>
  <c r="T752" i="4" l="1"/>
  <c r="I752" i="2"/>
  <c r="H752" i="2"/>
  <c r="S752" i="4"/>
  <c r="G752" i="2"/>
  <c r="R752" i="4"/>
  <c r="F752" i="2"/>
  <c r="Q752" i="4"/>
  <c r="T753" i="4" l="1"/>
  <c r="I753" i="2"/>
  <c r="H753" i="2"/>
  <c r="S753" i="4"/>
  <c r="R753" i="4"/>
  <c r="G753" i="2"/>
  <c r="Q753" i="4"/>
  <c r="F753" i="2"/>
  <c r="I754" i="2" l="1"/>
  <c r="T754" i="4"/>
  <c r="S754" i="4"/>
  <c r="H754" i="2"/>
  <c r="G754" i="2"/>
  <c r="R754" i="4"/>
  <c r="F754" i="2"/>
  <c r="Q754" i="4"/>
  <c r="I755" i="2" l="1"/>
  <c r="T755" i="4"/>
  <c r="H755" i="2"/>
  <c r="S755" i="4"/>
  <c r="R755" i="4"/>
  <c r="G755" i="2"/>
  <c r="F755" i="2"/>
  <c r="Q755" i="4"/>
  <c r="T756" i="4" l="1"/>
  <c r="I756" i="2"/>
  <c r="S756" i="4"/>
  <c r="H756" i="2"/>
  <c r="G756" i="2"/>
  <c r="R756" i="4"/>
  <c r="Q756" i="4"/>
  <c r="F756" i="2"/>
  <c r="I757" i="2" l="1"/>
  <c r="T757" i="4"/>
  <c r="H757" i="2"/>
  <c r="S757" i="4"/>
  <c r="R757" i="4"/>
  <c r="G757" i="2"/>
  <c r="F757" i="2"/>
  <c r="Q757" i="4"/>
  <c r="T758" i="4" l="1"/>
  <c r="I758" i="2"/>
  <c r="S758" i="4"/>
  <c r="H758" i="2"/>
  <c r="G758" i="2"/>
  <c r="R758" i="4"/>
  <c r="Q758" i="4"/>
  <c r="F758" i="2"/>
  <c r="T759" i="4" l="1"/>
  <c r="I759" i="2"/>
  <c r="S759" i="4"/>
  <c r="H759" i="2"/>
  <c r="R759" i="4"/>
  <c r="G759" i="2"/>
  <c r="F759" i="2"/>
  <c r="Q759" i="4"/>
  <c r="T760" i="4" l="1"/>
  <c r="I760" i="2"/>
  <c r="S760" i="4"/>
  <c r="H760" i="2"/>
  <c r="R760" i="4"/>
  <c r="G760" i="2"/>
  <c r="Q760" i="4"/>
  <c r="F760" i="2"/>
  <c r="T761" i="4" l="1"/>
  <c r="I761" i="2"/>
  <c r="S761" i="4"/>
  <c r="H761" i="2"/>
  <c r="R761" i="4"/>
  <c r="G761" i="2"/>
  <c r="F761" i="2"/>
  <c r="Q761" i="4"/>
  <c r="T762" i="4" l="1"/>
  <c r="I762" i="2"/>
  <c r="S762" i="4"/>
  <c r="H762" i="2"/>
  <c r="G762" i="2"/>
  <c r="R762" i="4"/>
  <c r="Q762" i="4"/>
  <c r="F762" i="2"/>
  <c r="T763" i="4" l="1"/>
  <c r="I763" i="2"/>
  <c r="S763" i="4"/>
  <c r="H763" i="2"/>
  <c r="R763" i="4"/>
  <c r="G763" i="2"/>
  <c r="Q763" i="4"/>
  <c r="F763" i="2"/>
  <c r="T764" i="4" l="1"/>
  <c r="I764" i="2"/>
  <c r="H764" i="2"/>
  <c r="S764" i="4"/>
  <c r="R764" i="4"/>
  <c r="G764" i="2"/>
  <c r="F764" i="2"/>
  <c r="Q764" i="4"/>
  <c r="I765" i="2" l="1"/>
  <c r="T765" i="4"/>
  <c r="S765" i="4"/>
  <c r="H765" i="2"/>
  <c r="G765" i="2"/>
  <c r="R765" i="4"/>
  <c r="Q765" i="4"/>
  <c r="F765" i="2"/>
  <c r="T766" i="4" l="1"/>
  <c r="I766" i="2"/>
  <c r="S766" i="4"/>
  <c r="H766" i="2"/>
  <c r="R766" i="4"/>
  <c r="G766" i="2"/>
  <c r="F766" i="2"/>
  <c r="Q766" i="4"/>
  <c r="T767" i="4" l="1"/>
  <c r="I767" i="2"/>
  <c r="S767" i="4"/>
  <c r="H767" i="2"/>
  <c r="G767" i="2"/>
  <c r="R767" i="4"/>
  <c r="F767" i="2"/>
  <c r="Q767" i="4"/>
  <c r="T768" i="4" l="1"/>
  <c r="I768" i="2"/>
  <c r="S768" i="4"/>
  <c r="H768" i="2"/>
  <c r="G768" i="2"/>
  <c r="R768" i="4"/>
  <c r="Q768" i="4"/>
  <c r="F768" i="2"/>
  <c r="T769" i="4" l="1"/>
  <c r="I769" i="2"/>
  <c r="S769" i="4"/>
  <c r="H769" i="2"/>
  <c r="R769" i="4"/>
  <c r="G769" i="2"/>
  <c r="Q769" i="4"/>
  <c r="F769" i="2"/>
  <c r="I770" i="2" l="1"/>
  <c r="T770" i="4"/>
  <c r="S770" i="4"/>
  <c r="H770" i="2"/>
  <c r="R770" i="4"/>
  <c r="G770" i="2"/>
  <c r="F770" i="2"/>
  <c r="Q770" i="4"/>
  <c r="T771" i="4" l="1"/>
  <c r="I771" i="2"/>
  <c r="S771" i="4"/>
  <c r="H771" i="2"/>
  <c r="G771" i="2"/>
  <c r="R771" i="4"/>
  <c r="Q771" i="4"/>
  <c r="F771" i="2"/>
  <c r="T772" i="4" l="1"/>
  <c r="I772" i="2"/>
  <c r="H772" i="2"/>
  <c r="S772" i="4"/>
  <c r="R772" i="4"/>
  <c r="G772" i="2"/>
  <c r="F772" i="2"/>
  <c r="Q772" i="4"/>
  <c r="T773" i="4" l="1"/>
  <c r="I773" i="2"/>
  <c r="S773" i="4"/>
  <c r="H773" i="2"/>
  <c r="R773" i="4"/>
  <c r="G773" i="2"/>
  <c r="Q773" i="4"/>
  <c r="F773" i="2"/>
  <c r="T774" i="4" l="1"/>
  <c r="I774" i="2"/>
  <c r="S774" i="4"/>
  <c r="H774" i="2"/>
  <c r="R774" i="4"/>
  <c r="G774" i="2"/>
  <c r="Q774" i="4"/>
  <c r="F774" i="2"/>
  <c r="T775" i="4" l="1"/>
  <c r="I775" i="2"/>
  <c r="S775" i="4"/>
  <c r="H775" i="2"/>
  <c r="R775" i="4"/>
  <c r="G775" i="2"/>
  <c r="F775" i="2"/>
  <c r="Q775" i="4"/>
  <c r="T776" i="4" l="1"/>
  <c r="I776" i="2"/>
  <c r="S776" i="4"/>
  <c r="H776" i="2"/>
  <c r="G776" i="2"/>
  <c r="R776" i="4"/>
  <c r="Q776" i="4"/>
  <c r="F776" i="2"/>
  <c r="T777" i="4" l="1"/>
  <c r="I777" i="2"/>
  <c r="H777" i="2"/>
  <c r="S777" i="4"/>
  <c r="R777" i="4"/>
  <c r="G777" i="2"/>
  <c r="F777" i="2"/>
  <c r="Q777" i="4"/>
  <c r="I778" i="2" l="1"/>
  <c r="T778" i="4"/>
  <c r="S778" i="4"/>
  <c r="H778" i="2"/>
  <c r="R778" i="4"/>
  <c r="G778" i="2"/>
  <c r="Q778" i="4"/>
  <c r="F778" i="2"/>
  <c r="T779" i="4" l="1"/>
  <c r="I779" i="2"/>
  <c r="S779" i="4"/>
  <c r="H779" i="2"/>
  <c r="R779" i="4"/>
  <c r="G779" i="2"/>
  <c r="F779" i="2"/>
  <c r="Q779" i="4"/>
  <c r="T780" i="4" l="1"/>
  <c r="I780" i="2"/>
  <c r="S780" i="4"/>
  <c r="H780" i="2"/>
  <c r="G780" i="2"/>
  <c r="R780" i="4"/>
  <c r="F780" i="2"/>
  <c r="Q780" i="4"/>
  <c r="T781" i="4" l="1"/>
  <c r="I781" i="2"/>
  <c r="S781" i="4"/>
  <c r="H781" i="2"/>
  <c r="G781" i="2"/>
  <c r="R781" i="4"/>
  <c r="F781" i="2"/>
  <c r="Q781" i="4"/>
  <c r="T782" i="4" l="1"/>
  <c r="I782" i="2"/>
  <c r="S782" i="4"/>
  <c r="H782" i="2"/>
  <c r="G782" i="2"/>
  <c r="R782" i="4"/>
  <c r="Q782" i="4"/>
  <c r="F782" i="2"/>
  <c r="T783" i="4" l="1"/>
  <c r="I783" i="2"/>
  <c r="H783" i="2"/>
  <c r="S783" i="4"/>
  <c r="R783" i="4"/>
  <c r="G783" i="2"/>
  <c r="Q783" i="4"/>
  <c r="F783" i="2"/>
  <c r="T784" i="4" l="1"/>
  <c r="I784" i="2"/>
  <c r="S784" i="4"/>
  <c r="H784" i="2"/>
  <c r="R784" i="4"/>
  <c r="G784" i="2"/>
  <c r="F784" i="2"/>
  <c r="Q784" i="4"/>
  <c r="T785" i="4" l="1"/>
  <c r="I785" i="2"/>
  <c r="S785" i="4"/>
  <c r="H785" i="2"/>
  <c r="R785" i="4"/>
  <c r="G785" i="2"/>
  <c r="F785" i="2"/>
  <c r="Q785" i="4"/>
  <c r="T786" i="4" l="1"/>
  <c r="I786" i="2"/>
  <c r="S786" i="4"/>
  <c r="H786" i="2"/>
  <c r="R786" i="4"/>
  <c r="G786" i="2"/>
  <c r="Q786" i="4"/>
  <c r="F786" i="2"/>
  <c r="T787" i="4" l="1"/>
  <c r="I787" i="2"/>
  <c r="S787" i="4"/>
  <c r="H787" i="2"/>
  <c r="R787" i="4"/>
  <c r="G787" i="2"/>
  <c r="F787" i="2"/>
  <c r="Q787" i="4"/>
  <c r="T788" i="4" l="1"/>
  <c r="I788" i="2"/>
  <c r="S788" i="4"/>
  <c r="H788" i="2"/>
  <c r="R788" i="4"/>
  <c r="G788" i="2"/>
  <c r="Q788" i="4"/>
  <c r="F788" i="2"/>
  <c r="T789" i="4" l="1"/>
  <c r="I789" i="2"/>
  <c r="H789" i="2"/>
  <c r="S789" i="4"/>
  <c r="G789" i="2"/>
  <c r="R789" i="4"/>
  <c r="F789" i="2"/>
  <c r="Q789" i="4"/>
  <c r="T790" i="4" l="1"/>
  <c r="I790" i="2"/>
  <c r="S790" i="4"/>
  <c r="H790" i="2"/>
  <c r="G790" i="2"/>
  <c r="R790" i="4"/>
  <c r="Q790" i="4"/>
  <c r="F790" i="2"/>
  <c r="I791" i="2" l="1"/>
  <c r="T791" i="4"/>
  <c r="S791" i="4"/>
  <c r="H791" i="2"/>
  <c r="R791" i="4"/>
  <c r="G791" i="2"/>
  <c r="Q791" i="4"/>
  <c r="F791" i="2"/>
  <c r="T792" i="4" l="1"/>
  <c r="I792" i="2"/>
  <c r="S792" i="4"/>
  <c r="H792" i="2"/>
  <c r="R792" i="4"/>
  <c r="G792" i="2"/>
  <c r="F792" i="2"/>
  <c r="Q792" i="4"/>
  <c r="T793" i="4" l="1"/>
  <c r="I793" i="2"/>
  <c r="S793" i="4"/>
  <c r="H793" i="2"/>
  <c r="G793" i="2"/>
  <c r="R793" i="4"/>
  <c r="Q793" i="4"/>
  <c r="F793" i="2"/>
  <c r="T794" i="4" l="1"/>
  <c r="I794" i="2"/>
  <c r="S794" i="4"/>
  <c r="H794" i="2"/>
  <c r="R794" i="4"/>
  <c r="G794" i="2"/>
  <c r="Q794" i="4"/>
  <c r="F794" i="2"/>
  <c r="I795" i="2" l="1"/>
  <c r="T795" i="4"/>
  <c r="S795" i="4"/>
  <c r="H795" i="2"/>
  <c r="G795" i="2"/>
  <c r="R795" i="4"/>
  <c r="Q795" i="4"/>
  <c r="F795" i="2"/>
  <c r="T796" i="4" l="1"/>
  <c r="I796" i="2"/>
  <c r="S796" i="4"/>
  <c r="H796" i="2"/>
  <c r="R796" i="4"/>
  <c r="G796" i="2"/>
  <c r="F796" i="2"/>
  <c r="Q796" i="4"/>
  <c r="T797" i="4" l="1"/>
  <c r="I797" i="2"/>
  <c r="S797" i="4"/>
  <c r="H797" i="2"/>
  <c r="G797" i="2"/>
  <c r="R797" i="4"/>
  <c r="F797" i="2"/>
  <c r="Q797" i="4"/>
  <c r="T798" i="4" l="1"/>
  <c r="I798" i="2"/>
  <c r="S798" i="4"/>
  <c r="H798" i="2"/>
  <c r="R798" i="4"/>
  <c r="G798" i="2"/>
  <c r="Q798" i="4"/>
  <c r="F798" i="2"/>
  <c r="T799" i="4" l="1"/>
  <c r="I799" i="2"/>
  <c r="H799" i="2"/>
  <c r="S799" i="4"/>
  <c r="G799" i="2"/>
  <c r="R799" i="4"/>
  <c r="Q799" i="4"/>
  <c r="F799" i="2"/>
  <c r="I800" i="2" l="1"/>
  <c r="T800" i="4"/>
  <c r="S800" i="4"/>
  <c r="H800" i="2"/>
  <c r="R800" i="4"/>
  <c r="G800" i="2"/>
  <c r="F800" i="2"/>
  <c r="Q800" i="4"/>
  <c r="I801" i="2" l="1"/>
  <c r="T801" i="4"/>
  <c r="H801" i="2"/>
  <c r="S801" i="4"/>
  <c r="G801" i="2"/>
  <c r="R801" i="4"/>
  <c r="Q801" i="4"/>
  <c r="F801" i="2"/>
  <c r="T802" i="4" l="1"/>
  <c r="I802" i="2"/>
  <c r="H802" i="2"/>
  <c r="S802" i="4"/>
  <c r="R802" i="4"/>
  <c r="G802" i="2"/>
  <c r="Q802" i="4"/>
  <c r="F802" i="2"/>
  <c r="T803" i="4" l="1"/>
  <c r="I803" i="2"/>
  <c r="H803" i="2"/>
  <c r="S803" i="4"/>
  <c r="R803" i="4"/>
  <c r="G803" i="2"/>
  <c r="Q803" i="4"/>
  <c r="F803" i="2"/>
  <c r="I804" i="2" l="1"/>
  <c r="T804" i="4"/>
  <c r="S804" i="4"/>
  <c r="H804" i="2"/>
  <c r="R804" i="4"/>
  <c r="G804" i="2"/>
  <c r="Q804" i="4"/>
  <c r="F804" i="2"/>
  <c r="T805" i="4" l="1"/>
  <c r="I805" i="2"/>
  <c r="S805" i="4"/>
  <c r="H805" i="2"/>
  <c r="R805" i="4"/>
  <c r="G805" i="2"/>
  <c r="F805" i="2"/>
  <c r="Q805" i="4"/>
  <c r="I806" i="2" l="1"/>
  <c r="T806" i="4"/>
  <c r="S806" i="4"/>
  <c r="H806" i="2"/>
  <c r="R806" i="4"/>
  <c r="G806" i="2"/>
  <c r="Q806" i="4"/>
  <c r="F806" i="2"/>
  <c r="T807" i="4" l="1"/>
  <c r="I807" i="2"/>
  <c r="S807" i="4"/>
  <c r="H807" i="2"/>
  <c r="G807" i="2"/>
  <c r="R807" i="4"/>
  <c r="Q807" i="4"/>
  <c r="F807" i="2"/>
  <c r="T808" i="4" l="1"/>
  <c r="I808" i="2"/>
  <c r="H808" i="2"/>
  <c r="S808" i="4"/>
  <c r="R808" i="4"/>
  <c r="G808" i="2"/>
  <c r="F808" i="2"/>
  <c r="Q808" i="4"/>
  <c r="T809" i="4" l="1"/>
  <c r="I809" i="2"/>
  <c r="S809" i="4"/>
  <c r="H809" i="2"/>
  <c r="G809" i="2"/>
  <c r="R809" i="4"/>
  <c r="F809" i="2"/>
  <c r="Q809" i="4"/>
  <c r="I810" i="2" l="1"/>
  <c r="T810" i="4"/>
  <c r="S810" i="4"/>
  <c r="H810" i="2"/>
  <c r="R810" i="4"/>
  <c r="G810" i="2"/>
  <c r="F810" i="2"/>
  <c r="Q810" i="4"/>
  <c r="T811" i="4" l="1"/>
  <c r="I811" i="2"/>
  <c r="S811" i="4"/>
  <c r="H811" i="2"/>
  <c r="G811" i="2"/>
  <c r="R811" i="4"/>
  <c r="Q811" i="4"/>
  <c r="F811" i="2"/>
  <c r="I812" i="2" l="1"/>
  <c r="T812" i="4"/>
  <c r="S812" i="4"/>
  <c r="H812" i="2"/>
  <c r="G812" i="2"/>
  <c r="R812" i="4"/>
  <c r="F812" i="2"/>
  <c r="Q812" i="4"/>
  <c r="T813" i="4" l="1"/>
  <c r="I813" i="2"/>
  <c r="H813" i="2"/>
  <c r="S813" i="4"/>
  <c r="R813" i="4"/>
  <c r="G813" i="2"/>
  <c r="F813" i="2"/>
  <c r="Q813" i="4"/>
  <c r="I814" i="2" l="1"/>
  <c r="T814" i="4"/>
  <c r="S814" i="4"/>
  <c r="H814" i="2"/>
  <c r="G814" i="2"/>
  <c r="R814" i="4"/>
  <c r="Q814" i="4"/>
  <c r="F814" i="2"/>
  <c r="T815" i="4" l="1"/>
  <c r="I815" i="2"/>
  <c r="H815" i="2"/>
  <c r="S815" i="4"/>
  <c r="G815" i="2"/>
  <c r="R815" i="4"/>
  <c r="Q815" i="4"/>
  <c r="F815" i="2"/>
  <c r="T816" i="4" l="1"/>
  <c r="I816" i="2"/>
  <c r="S816" i="4"/>
  <c r="H816" i="2"/>
  <c r="G816" i="2"/>
  <c r="R816" i="4"/>
  <c r="Q816" i="4"/>
  <c r="F816" i="2"/>
  <c r="I817" i="2" l="1"/>
  <c r="T817" i="4"/>
  <c r="S817" i="4"/>
  <c r="H817" i="2"/>
  <c r="R817" i="4"/>
  <c r="G817" i="2"/>
  <c r="Q817" i="4"/>
  <c r="F817" i="2"/>
  <c r="T818" i="4" l="1"/>
  <c r="I818" i="2"/>
  <c r="S818" i="4"/>
  <c r="H818" i="2"/>
  <c r="G818" i="2"/>
  <c r="R818" i="4"/>
  <c r="Q818" i="4"/>
  <c r="F818" i="2"/>
  <c r="T819" i="4" l="1"/>
  <c r="I819" i="2"/>
  <c r="S819" i="4"/>
  <c r="H819" i="2"/>
  <c r="R819" i="4"/>
  <c r="G819" i="2"/>
  <c r="F819" i="2"/>
  <c r="Q819" i="4"/>
  <c r="T820" i="4" l="1"/>
  <c r="I820" i="2"/>
  <c r="S820" i="4"/>
  <c r="H820" i="2"/>
  <c r="G820" i="2"/>
  <c r="R820" i="4"/>
  <c r="Q820" i="4"/>
  <c r="F820" i="2"/>
  <c r="I821" i="2" l="1"/>
  <c r="T821" i="4"/>
  <c r="S821" i="4"/>
  <c r="H821" i="2"/>
  <c r="R821" i="4"/>
  <c r="G821" i="2"/>
  <c r="Q821" i="4"/>
  <c r="F821" i="2"/>
  <c r="T822" i="4" l="1"/>
  <c r="I822" i="2"/>
  <c r="S822" i="4"/>
  <c r="H822" i="2"/>
  <c r="R822" i="4"/>
  <c r="G822" i="2"/>
  <c r="F822" i="2"/>
  <c r="Q822" i="4"/>
  <c r="T823" i="4" l="1"/>
  <c r="I823" i="2"/>
  <c r="S823" i="4"/>
  <c r="H823" i="2"/>
  <c r="G823" i="2"/>
  <c r="R823" i="4"/>
  <c r="Q823" i="4"/>
  <c r="F823" i="2"/>
  <c r="T824" i="4" l="1"/>
  <c r="I824" i="2"/>
  <c r="H824" i="2"/>
  <c r="S824" i="4"/>
  <c r="R824" i="4"/>
  <c r="G824" i="2"/>
  <c r="F824" i="2"/>
  <c r="Q824" i="4"/>
  <c r="I825" i="2" l="1"/>
  <c r="T825" i="4"/>
  <c r="S825" i="4"/>
  <c r="H825" i="2"/>
  <c r="G825" i="2"/>
  <c r="R825" i="4"/>
  <c r="Q825" i="4"/>
  <c r="F825" i="2"/>
  <c r="I826" i="2" l="1"/>
  <c r="T826" i="4"/>
  <c r="H826" i="2"/>
  <c r="S826" i="4"/>
  <c r="G826" i="2"/>
  <c r="R826" i="4"/>
  <c r="Q826" i="4"/>
  <c r="F826" i="2"/>
  <c r="T827" i="4" l="1"/>
  <c r="I827" i="2"/>
  <c r="S827" i="4"/>
  <c r="H827" i="2"/>
  <c r="G827" i="2"/>
  <c r="R827" i="4"/>
  <c r="Q827" i="4"/>
  <c r="F827" i="2"/>
  <c r="I828" i="2" l="1"/>
  <c r="T828" i="4"/>
  <c r="S828" i="4"/>
  <c r="H828" i="2"/>
  <c r="G828" i="2"/>
  <c r="R828" i="4"/>
  <c r="Q828" i="4"/>
  <c r="F828" i="2"/>
  <c r="T829" i="4" l="1"/>
  <c r="I829" i="2"/>
  <c r="S829" i="4"/>
  <c r="H829" i="2"/>
  <c r="R829" i="4"/>
  <c r="G829" i="2"/>
  <c r="F829" i="2"/>
  <c r="Q829" i="4"/>
  <c r="T830" i="4" l="1"/>
  <c r="I830" i="2"/>
  <c r="S830" i="4"/>
  <c r="H830" i="2"/>
  <c r="G830" i="2"/>
  <c r="R830" i="4"/>
  <c r="F830" i="2"/>
  <c r="Q830" i="4"/>
  <c r="T831" i="4" l="1"/>
  <c r="I831" i="2"/>
  <c r="S831" i="4"/>
  <c r="H831" i="2"/>
  <c r="G831" i="2"/>
  <c r="R831" i="4"/>
  <c r="Q831" i="4"/>
  <c r="F831" i="2"/>
  <c r="T832" i="4" l="1"/>
  <c r="I832" i="2"/>
  <c r="S832" i="4"/>
  <c r="H832" i="2"/>
  <c r="R832" i="4"/>
  <c r="G832" i="2"/>
  <c r="Q832" i="4"/>
  <c r="F832" i="2"/>
  <c r="T833" i="4" l="1"/>
  <c r="I833" i="2"/>
  <c r="S833" i="4"/>
  <c r="H833" i="2"/>
  <c r="R833" i="4"/>
  <c r="G833" i="2"/>
  <c r="F833" i="2"/>
  <c r="Q833" i="4"/>
  <c r="T834" i="4" l="1"/>
  <c r="I834" i="2"/>
  <c r="S834" i="4"/>
  <c r="H834" i="2"/>
  <c r="G834" i="2"/>
  <c r="R834" i="4"/>
  <c r="Q834" i="4"/>
  <c r="F834" i="2"/>
  <c r="T835" i="4" l="1"/>
  <c r="I835" i="2"/>
  <c r="S835" i="4"/>
  <c r="H835" i="2"/>
  <c r="R835" i="4"/>
  <c r="G835" i="2"/>
  <c r="F835" i="2"/>
  <c r="Q835" i="4"/>
  <c r="T836" i="4" l="1"/>
  <c r="I836" i="2"/>
  <c r="S836" i="4"/>
  <c r="H836" i="2"/>
  <c r="R836" i="4"/>
  <c r="G836" i="2"/>
  <c r="F836" i="2"/>
  <c r="Q836" i="4"/>
  <c r="T837" i="4" l="1"/>
  <c r="I837" i="2"/>
  <c r="S837" i="4"/>
  <c r="H837" i="2"/>
  <c r="G837" i="2"/>
  <c r="R837" i="4"/>
  <c r="Q837" i="4"/>
  <c r="F837" i="2"/>
  <c r="T838" i="4" l="1"/>
  <c r="I838" i="2"/>
  <c r="S838" i="4"/>
  <c r="H838" i="2"/>
  <c r="R838" i="4"/>
  <c r="G838" i="2"/>
  <c r="Q838" i="4"/>
  <c r="F838" i="2"/>
  <c r="T839" i="4" l="1"/>
  <c r="I839" i="2"/>
  <c r="S839" i="4"/>
  <c r="H839" i="2"/>
  <c r="R839" i="4"/>
  <c r="G839" i="2"/>
  <c r="F839" i="2"/>
  <c r="Q839" i="4"/>
  <c r="I840" i="2" l="1"/>
  <c r="T840" i="4"/>
  <c r="S840" i="4"/>
  <c r="H840" i="2"/>
  <c r="R840" i="4"/>
  <c r="G840" i="2"/>
  <c r="Q840" i="4"/>
  <c r="F840" i="2"/>
  <c r="T841" i="4" l="1"/>
  <c r="I841" i="2"/>
  <c r="S841" i="4"/>
  <c r="H841" i="2"/>
  <c r="G841" i="2"/>
  <c r="R841" i="4"/>
  <c r="F841" i="2"/>
  <c r="Q841" i="4"/>
  <c r="T842" i="4" l="1"/>
  <c r="I842" i="2"/>
  <c r="H842" i="2"/>
  <c r="S842" i="4"/>
  <c r="G842" i="2"/>
  <c r="R842" i="4"/>
  <c r="Q842" i="4"/>
  <c r="F842" i="2"/>
  <c r="T843" i="4" l="1"/>
  <c r="I843" i="2"/>
  <c r="S843" i="4"/>
  <c r="H843" i="2"/>
  <c r="R843" i="4"/>
  <c r="G843" i="2"/>
  <c r="F843" i="2"/>
  <c r="Q843" i="4"/>
  <c r="T844" i="4" l="1"/>
  <c r="I844" i="2"/>
  <c r="H844" i="2"/>
  <c r="S844" i="4"/>
  <c r="R844" i="4"/>
  <c r="G844" i="2"/>
  <c r="F844" i="2"/>
  <c r="Q844" i="4"/>
  <c r="T845" i="4" l="1"/>
  <c r="I845" i="2"/>
  <c r="S845" i="4"/>
  <c r="H845" i="2"/>
  <c r="R845" i="4"/>
  <c r="G845" i="2"/>
  <c r="Q845" i="4"/>
  <c r="F845" i="2"/>
  <c r="I846" i="2" l="1"/>
  <c r="T846" i="4"/>
  <c r="S846" i="4"/>
  <c r="H846" i="2"/>
  <c r="G846" i="2"/>
  <c r="R846" i="4"/>
  <c r="F846" i="2"/>
  <c r="Q846" i="4"/>
  <c r="T847" i="4" l="1"/>
  <c r="I847" i="2"/>
  <c r="H847" i="2"/>
  <c r="S847" i="4"/>
  <c r="R847" i="4"/>
  <c r="G847" i="2"/>
  <c r="Q847" i="4"/>
  <c r="F847" i="2"/>
  <c r="I848" i="2" l="1"/>
  <c r="T848" i="4"/>
  <c r="S848" i="4"/>
  <c r="H848" i="2"/>
  <c r="R848" i="4"/>
  <c r="G848" i="2"/>
  <c r="Q848" i="4"/>
  <c r="F848" i="2"/>
  <c r="T849" i="4" l="1"/>
  <c r="I849" i="2"/>
  <c r="S849" i="4"/>
  <c r="H849" i="2"/>
  <c r="R849" i="4"/>
  <c r="G849" i="2"/>
  <c r="Q849" i="4"/>
  <c r="F849" i="2"/>
  <c r="T850" i="4" l="1"/>
  <c r="I850" i="2"/>
  <c r="H850" i="2"/>
  <c r="S850" i="4"/>
  <c r="G850" i="2"/>
  <c r="R850" i="4"/>
  <c r="Q850" i="4"/>
  <c r="F850" i="2"/>
  <c r="T851" i="4" l="1"/>
  <c r="I851" i="2"/>
  <c r="S851" i="4"/>
  <c r="H851" i="2"/>
  <c r="R851" i="4"/>
  <c r="G851" i="2"/>
  <c r="F851" i="2"/>
  <c r="Q851" i="4"/>
  <c r="T852" i="4" l="1"/>
  <c r="I852" i="2"/>
  <c r="S852" i="4"/>
  <c r="H852" i="2"/>
  <c r="R852" i="4"/>
  <c r="G852" i="2"/>
  <c r="F852" i="2"/>
  <c r="Q852" i="4"/>
  <c r="T853" i="4" l="1"/>
  <c r="I853" i="2"/>
  <c r="S853" i="4"/>
  <c r="H853" i="2"/>
  <c r="R853" i="4"/>
  <c r="G853" i="2"/>
  <c r="Q853" i="4"/>
  <c r="F853" i="2"/>
  <c r="T854" i="4" l="1"/>
  <c r="I854" i="2"/>
  <c r="H854" i="2"/>
  <c r="S854" i="4"/>
  <c r="G854" i="2"/>
  <c r="R854" i="4"/>
  <c r="F854" i="2"/>
  <c r="Q854" i="4"/>
  <c r="T855" i="4" l="1"/>
  <c r="I855" i="2"/>
  <c r="S855" i="4"/>
  <c r="H855" i="2"/>
  <c r="R855" i="4"/>
  <c r="G855" i="2"/>
  <c r="Q855" i="4"/>
  <c r="F855" i="2"/>
  <c r="T856" i="4" l="1"/>
  <c r="I856" i="2"/>
  <c r="H856" i="2"/>
  <c r="S856" i="4"/>
  <c r="G856" i="2"/>
  <c r="R856" i="4"/>
  <c r="Q856" i="4"/>
  <c r="F856" i="2"/>
  <c r="T857" i="4" l="1"/>
  <c r="I857" i="2"/>
  <c r="S857" i="4"/>
  <c r="H857" i="2"/>
  <c r="R857" i="4"/>
  <c r="G857" i="2"/>
  <c r="F857" i="2"/>
  <c r="Q857" i="4"/>
  <c r="I858" i="2" l="1"/>
  <c r="T858" i="4"/>
  <c r="H858" i="2"/>
  <c r="S858" i="4"/>
  <c r="R858" i="4"/>
  <c r="G858" i="2"/>
  <c r="F858" i="2"/>
  <c r="Q858" i="4"/>
  <c r="I859" i="2" l="1"/>
  <c r="T859" i="4"/>
  <c r="S859" i="4"/>
  <c r="H859" i="2"/>
  <c r="G859" i="2"/>
  <c r="R859" i="4"/>
  <c r="F859" i="2"/>
  <c r="Q859" i="4"/>
  <c r="T860" i="4" l="1"/>
  <c r="I860" i="2"/>
  <c r="H860" i="2"/>
  <c r="S860" i="4"/>
  <c r="G860" i="2"/>
  <c r="R860" i="4"/>
  <c r="F860" i="2"/>
  <c r="Q860" i="4"/>
  <c r="T861" i="4" l="1"/>
  <c r="I861" i="2"/>
  <c r="H861" i="2"/>
  <c r="S861" i="4"/>
  <c r="G861" i="2"/>
  <c r="R861" i="4"/>
  <c r="Q861" i="4"/>
  <c r="F861" i="2"/>
  <c r="T862" i="4" l="1"/>
  <c r="I862" i="2"/>
  <c r="S862" i="4"/>
  <c r="H862" i="2"/>
  <c r="R862" i="4"/>
  <c r="G862" i="2"/>
  <c r="F862" i="2"/>
  <c r="Q862" i="4"/>
  <c r="T863" i="4" l="1"/>
  <c r="I863" i="2"/>
  <c r="S863" i="4"/>
  <c r="H863" i="2"/>
  <c r="G863" i="2"/>
  <c r="R863" i="4"/>
  <c r="Q863" i="4"/>
  <c r="F863" i="2"/>
  <c r="T864" i="4" l="1"/>
  <c r="I864" i="2"/>
  <c r="H864" i="2"/>
  <c r="S864" i="4"/>
  <c r="G864" i="2"/>
  <c r="R864" i="4"/>
  <c r="Q864" i="4"/>
  <c r="F864" i="2"/>
  <c r="T865" i="4" l="1"/>
  <c r="I865" i="2"/>
  <c r="S865" i="4"/>
  <c r="H865" i="2"/>
  <c r="R865" i="4"/>
  <c r="G865" i="2"/>
  <c r="F865" i="2"/>
  <c r="Q865" i="4"/>
  <c r="T866" i="4" l="1"/>
  <c r="I866" i="2"/>
  <c r="S866" i="4"/>
  <c r="H866" i="2"/>
  <c r="R866" i="4"/>
  <c r="G866" i="2"/>
  <c r="F866" i="2"/>
  <c r="Q866" i="4"/>
  <c r="I867" i="2" l="1"/>
  <c r="T867" i="4"/>
  <c r="S867" i="4"/>
  <c r="H867" i="2"/>
  <c r="G867" i="2"/>
  <c r="R867" i="4"/>
  <c r="Q867" i="4"/>
  <c r="F867" i="2"/>
  <c r="I868" i="2" l="1"/>
  <c r="T868" i="4"/>
  <c r="H868" i="2"/>
  <c r="S868" i="4"/>
  <c r="R868" i="4"/>
  <c r="G868" i="2"/>
  <c r="F868" i="2"/>
  <c r="Q868" i="4"/>
  <c r="T869" i="4" l="1"/>
  <c r="I869" i="2"/>
  <c r="H869" i="2"/>
  <c r="S869" i="4"/>
  <c r="R869" i="4"/>
  <c r="G869" i="2"/>
  <c r="Q869" i="4"/>
  <c r="F869" i="2"/>
  <c r="I870" i="2" l="1"/>
  <c r="T870" i="4"/>
  <c r="S870" i="4"/>
  <c r="H870" i="2"/>
  <c r="G870" i="2"/>
  <c r="R870" i="4"/>
  <c r="Q870" i="4"/>
  <c r="F870" i="2"/>
  <c r="T871" i="4" l="1"/>
  <c r="I871" i="2"/>
  <c r="S871" i="4"/>
  <c r="H871" i="2"/>
  <c r="R871" i="4"/>
  <c r="G871" i="2"/>
  <c r="Q871" i="4"/>
  <c r="F871" i="2"/>
  <c r="I872" i="2" l="1"/>
  <c r="T872" i="4"/>
  <c r="S872" i="4"/>
  <c r="H872" i="2"/>
  <c r="G872" i="2"/>
  <c r="R872" i="4"/>
  <c r="F872" i="2"/>
  <c r="Q872" i="4"/>
  <c r="T873" i="4" l="1"/>
  <c r="I873" i="2"/>
  <c r="H873" i="2"/>
  <c r="S873" i="4"/>
  <c r="R873" i="4"/>
  <c r="G873" i="2"/>
  <c r="Q873" i="4"/>
  <c r="F873" i="2"/>
  <c r="I874" i="2" l="1"/>
  <c r="T874" i="4"/>
  <c r="S874" i="4"/>
  <c r="H874" i="2"/>
  <c r="R874" i="4"/>
  <c r="G874" i="2"/>
  <c r="F874" i="2"/>
  <c r="Q874" i="4"/>
  <c r="T875" i="4" l="1"/>
  <c r="I875" i="2"/>
  <c r="S875" i="4"/>
  <c r="H875" i="2"/>
  <c r="G875" i="2"/>
  <c r="R875" i="4"/>
  <c r="Q875" i="4"/>
  <c r="F875" i="2"/>
  <c r="T876" i="4" l="1"/>
  <c r="I876" i="2"/>
  <c r="H876" i="2"/>
  <c r="S876" i="4"/>
  <c r="R876" i="4"/>
  <c r="G876" i="2"/>
  <c r="Q876" i="4"/>
  <c r="F876" i="2"/>
  <c r="I877" i="2" l="1"/>
  <c r="T877" i="4"/>
  <c r="S877" i="4"/>
  <c r="H877" i="2"/>
  <c r="R877" i="4"/>
  <c r="G877" i="2"/>
  <c r="F877" i="2"/>
  <c r="Q877" i="4"/>
  <c r="I878" i="2" l="1"/>
  <c r="T878" i="4"/>
  <c r="H878" i="2"/>
  <c r="S878" i="4"/>
  <c r="R878" i="4"/>
  <c r="G878" i="2"/>
  <c r="Q878" i="4"/>
  <c r="F878" i="2"/>
  <c r="T879" i="4" l="1"/>
  <c r="I879" i="2"/>
  <c r="H879" i="2"/>
  <c r="S879" i="4"/>
  <c r="G879" i="2"/>
  <c r="R879" i="4"/>
  <c r="Q879" i="4"/>
  <c r="F879" i="2"/>
  <c r="T880" i="4" l="1"/>
  <c r="I880" i="2"/>
  <c r="H880" i="2"/>
  <c r="S880" i="4"/>
  <c r="G880" i="2"/>
  <c r="R880" i="4"/>
  <c r="Q880" i="4"/>
  <c r="F880" i="2"/>
  <c r="I881" i="2" l="1"/>
  <c r="T881" i="4"/>
  <c r="S881" i="4"/>
  <c r="H881" i="2"/>
  <c r="G881" i="2"/>
  <c r="R881" i="4"/>
  <c r="F881" i="2"/>
  <c r="Q881" i="4"/>
  <c r="I882" i="2" l="1"/>
  <c r="T882" i="4"/>
  <c r="H882" i="2"/>
  <c r="S882" i="4"/>
  <c r="R882" i="4"/>
  <c r="G882" i="2"/>
  <c r="Q882" i="4"/>
  <c r="F882" i="2"/>
  <c r="T883" i="4" l="1"/>
  <c r="I883" i="2"/>
  <c r="S883" i="4"/>
  <c r="H883" i="2"/>
  <c r="G883" i="2"/>
  <c r="R883" i="4"/>
  <c r="F883" i="2"/>
  <c r="Q883" i="4"/>
  <c r="I884" i="2" l="1"/>
  <c r="T884" i="4"/>
  <c r="S884" i="4"/>
  <c r="H884" i="2"/>
  <c r="G884" i="2"/>
  <c r="R884" i="4"/>
  <c r="Q884" i="4"/>
  <c r="F884" i="2"/>
  <c r="T885" i="4" l="1"/>
  <c r="I885" i="2"/>
  <c r="H885" i="2"/>
  <c r="S885" i="4"/>
  <c r="R885" i="4"/>
  <c r="G885" i="2"/>
  <c r="F885" i="2"/>
  <c r="Q885" i="4"/>
  <c r="T886" i="4" l="1"/>
  <c r="I886" i="2"/>
  <c r="S886" i="4"/>
  <c r="H886" i="2"/>
  <c r="G886" i="2"/>
  <c r="R886" i="4"/>
  <c r="Q886" i="4"/>
  <c r="F886" i="2"/>
  <c r="I887" i="2" l="1"/>
  <c r="T887" i="4"/>
  <c r="S887" i="4"/>
  <c r="H887" i="2"/>
  <c r="R887" i="4"/>
  <c r="G887" i="2"/>
  <c r="F887" i="2"/>
  <c r="Q887" i="4"/>
  <c r="T888" i="4" l="1"/>
  <c r="I888" i="2"/>
  <c r="H888" i="2"/>
  <c r="S888" i="4"/>
  <c r="G888" i="2"/>
  <c r="R888" i="4"/>
  <c r="Q888" i="4"/>
  <c r="F888" i="2"/>
  <c r="T889" i="4" l="1"/>
  <c r="I889" i="2"/>
  <c r="S889" i="4"/>
  <c r="H889" i="2"/>
  <c r="G889" i="2"/>
  <c r="R889" i="4"/>
  <c r="F889" i="2"/>
  <c r="Q889" i="4"/>
  <c r="T890" i="4" l="1"/>
  <c r="I890" i="2"/>
  <c r="S890" i="4"/>
  <c r="H890" i="2"/>
  <c r="G890" i="2"/>
  <c r="R890" i="4"/>
  <c r="Q890" i="4"/>
  <c r="F890" i="2"/>
  <c r="T891" i="4" l="1"/>
  <c r="I891" i="2"/>
  <c r="S891" i="4"/>
  <c r="H891" i="2"/>
  <c r="R891" i="4"/>
  <c r="G891" i="2"/>
  <c r="Q891" i="4"/>
  <c r="F891" i="2"/>
  <c r="T892" i="4" l="1"/>
  <c r="I892" i="2"/>
  <c r="H892" i="2"/>
  <c r="S892" i="4"/>
  <c r="R892" i="4"/>
  <c r="G892" i="2"/>
  <c r="F892" i="2"/>
  <c r="Q892" i="4"/>
  <c r="T893" i="4" l="1"/>
  <c r="I893" i="2"/>
  <c r="S893" i="4"/>
  <c r="H893" i="2"/>
  <c r="R893" i="4"/>
  <c r="G893" i="2"/>
  <c r="Q893" i="4"/>
  <c r="F893" i="2"/>
  <c r="I894" i="2" l="1"/>
  <c r="T894" i="4"/>
  <c r="S894" i="4"/>
  <c r="H894" i="2"/>
  <c r="R894" i="4"/>
  <c r="G894" i="2"/>
  <c r="Q894" i="4"/>
  <c r="F894" i="2"/>
  <c r="T895" i="4" l="1"/>
  <c r="I895" i="2"/>
  <c r="S895" i="4"/>
  <c r="H895" i="2"/>
  <c r="R895" i="4"/>
  <c r="G895" i="2"/>
  <c r="F895" i="2"/>
  <c r="Q895" i="4"/>
  <c r="I896" i="2" l="1"/>
  <c r="T896" i="4"/>
  <c r="H896" i="2"/>
  <c r="S896" i="4"/>
  <c r="G896" i="2"/>
  <c r="R896" i="4"/>
  <c r="F896" i="2"/>
  <c r="Q896" i="4"/>
  <c r="T897" i="4" l="1"/>
  <c r="I897" i="2"/>
  <c r="H897" i="2"/>
  <c r="S897" i="4"/>
  <c r="G897" i="2"/>
  <c r="R897" i="4"/>
  <c r="Q897" i="4"/>
  <c r="F897" i="2"/>
  <c r="T898" i="4" l="1"/>
  <c r="I898" i="2"/>
  <c r="S898" i="4"/>
  <c r="H898" i="2"/>
  <c r="R898" i="4"/>
  <c r="G898" i="2"/>
  <c r="Q898" i="4"/>
  <c r="F898" i="2"/>
  <c r="T899" i="4" l="1"/>
  <c r="I899" i="2"/>
  <c r="S899" i="4"/>
  <c r="H899" i="2"/>
  <c r="G899" i="2"/>
  <c r="R899" i="4"/>
  <c r="F899" i="2"/>
  <c r="Q899" i="4"/>
  <c r="T900" i="4" l="1"/>
  <c r="I900" i="2"/>
  <c r="S900" i="4"/>
  <c r="H900" i="2"/>
  <c r="R900" i="4"/>
  <c r="G900" i="2"/>
  <c r="F900" i="2"/>
  <c r="Q900" i="4"/>
  <c r="T901" i="4" l="1"/>
  <c r="I901" i="2"/>
  <c r="H901" i="2"/>
  <c r="S901" i="4"/>
  <c r="R901" i="4"/>
  <c r="G901" i="2"/>
  <c r="Q901" i="4"/>
  <c r="F901" i="2"/>
  <c r="T902" i="4" l="1"/>
  <c r="I902" i="2"/>
  <c r="S902" i="4"/>
  <c r="H902" i="2"/>
  <c r="G902" i="2"/>
  <c r="R902" i="4"/>
  <c r="F902" i="2"/>
  <c r="Q902" i="4"/>
  <c r="T903" i="4" l="1"/>
  <c r="I903" i="2"/>
  <c r="S903" i="4"/>
  <c r="H903" i="2"/>
  <c r="G903" i="2"/>
  <c r="R903" i="4"/>
  <c r="Q903" i="4"/>
  <c r="F903" i="2"/>
  <c r="T904" i="4" l="1"/>
  <c r="I904" i="2"/>
  <c r="H904" i="2"/>
  <c r="S904" i="4"/>
  <c r="R904" i="4"/>
  <c r="G904" i="2"/>
  <c r="Q904" i="4"/>
  <c r="F904" i="2"/>
  <c r="T905" i="4" l="1"/>
  <c r="I905" i="2"/>
  <c r="S905" i="4"/>
  <c r="H905" i="2"/>
  <c r="R905" i="4"/>
  <c r="G905" i="2"/>
  <c r="F905" i="2"/>
  <c r="Q905" i="4"/>
  <c r="T906" i="4" l="1"/>
  <c r="I906" i="2"/>
  <c r="S906" i="4"/>
  <c r="H906" i="2"/>
  <c r="G906" i="2"/>
  <c r="R906" i="4"/>
  <c r="F906" i="2"/>
  <c r="Q906" i="4"/>
  <c r="I907" i="2" l="1"/>
  <c r="T907" i="4"/>
  <c r="S907" i="4"/>
  <c r="H907" i="2"/>
  <c r="R907" i="4"/>
  <c r="G907" i="2"/>
  <c r="F907" i="2"/>
  <c r="Q907" i="4"/>
  <c r="T908" i="4" l="1"/>
  <c r="I908" i="2"/>
  <c r="H908" i="2"/>
  <c r="S908" i="4"/>
  <c r="G908" i="2"/>
  <c r="R908" i="4"/>
  <c r="F908" i="2"/>
  <c r="Q908" i="4"/>
  <c r="I909" i="2" l="1"/>
  <c r="T909" i="4"/>
  <c r="S909" i="4"/>
  <c r="H909" i="2"/>
  <c r="R909" i="4"/>
  <c r="G909" i="2"/>
  <c r="F909" i="2"/>
  <c r="Q909" i="4"/>
  <c r="T910" i="4" l="1"/>
  <c r="I910" i="2"/>
  <c r="H910" i="2"/>
  <c r="S910" i="4"/>
  <c r="R910" i="4"/>
  <c r="G910" i="2"/>
  <c r="Q910" i="4"/>
  <c r="F910" i="2"/>
  <c r="T911" i="4" l="1"/>
  <c r="I911" i="2"/>
  <c r="H911" i="2"/>
  <c r="S911" i="4"/>
  <c r="R911" i="4"/>
  <c r="G911" i="2"/>
  <c r="Q911" i="4"/>
  <c r="F911" i="2"/>
  <c r="T912" i="4" l="1"/>
  <c r="I912" i="2"/>
  <c r="S912" i="4"/>
  <c r="H912" i="2"/>
  <c r="G912" i="2"/>
  <c r="R912" i="4"/>
  <c r="Q912" i="4"/>
  <c r="F912" i="2"/>
  <c r="T913" i="4" l="1"/>
  <c r="I913" i="2"/>
  <c r="S913" i="4"/>
  <c r="H913" i="2"/>
  <c r="R913" i="4"/>
  <c r="G913" i="2"/>
  <c r="F913" i="2"/>
  <c r="Q913" i="4"/>
  <c r="T914" i="4" l="1"/>
  <c r="I914" i="2"/>
  <c r="S914" i="4"/>
  <c r="H914" i="2"/>
  <c r="G914" i="2"/>
  <c r="R914" i="4"/>
  <c r="F914" i="2"/>
  <c r="Q914" i="4"/>
  <c r="T915" i="4" l="1"/>
  <c r="I915" i="2"/>
  <c r="S915" i="4"/>
  <c r="H915" i="2"/>
  <c r="G915" i="2"/>
  <c r="R915" i="4"/>
  <c r="Q915" i="4"/>
  <c r="F915" i="2"/>
  <c r="T916" i="4" l="1"/>
  <c r="I916" i="2"/>
  <c r="S916" i="4"/>
  <c r="H916" i="2"/>
  <c r="R916" i="4"/>
  <c r="G916" i="2"/>
  <c r="Q916" i="4"/>
  <c r="F916" i="2"/>
  <c r="T917" i="4" l="1"/>
  <c r="I917" i="2"/>
  <c r="S917" i="4"/>
  <c r="H917" i="2"/>
  <c r="R917" i="4"/>
  <c r="G917" i="2"/>
  <c r="F917" i="2"/>
  <c r="Q917" i="4"/>
  <c r="T918" i="4" l="1"/>
  <c r="I918" i="2"/>
  <c r="H918" i="2"/>
  <c r="S918" i="4"/>
  <c r="R918" i="4"/>
  <c r="G918" i="2"/>
  <c r="Q918" i="4"/>
  <c r="F918" i="2"/>
  <c r="T919" i="4" l="1"/>
  <c r="I919" i="2"/>
  <c r="S919" i="4"/>
  <c r="H919" i="2"/>
  <c r="G919" i="2"/>
  <c r="R919" i="4"/>
  <c r="Q919" i="4"/>
  <c r="F919" i="2"/>
  <c r="T920" i="4" l="1"/>
  <c r="I920" i="2"/>
  <c r="S920" i="4"/>
  <c r="H920" i="2"/>
  <c r="R920" i="4"/>
  <c r="G920" i="2"/>
  <c r="F920" i="2"/>
  <c r="Q920" i="4"/>
  <c r="T921" i="4" l="1"/>
  <c r="I921" i="2"/>
  <c r="H921" i="2"/>
  <c r="S921" i="4"/>
  <c r="R921" i="4"/>
  <c r="G921" i="2"/>
  <c r="Q921" i="4"/>
  <c r="F921" i="2"/>
  <c r="T922" i="4" l="1"/>
  <c r="I922" i="2"/>
  <c r="S922" i="4"/>
  <c r="H922" i="2"/>
  <c r="G922" i="2"/>
  <c r="R922" i="4"/>
  <c r="Q922" i="4"/>
  <c r="F922" i="2"/>
  <c r="T923" i="4" l="1"/>
  <c r="I923" i="2"/>
  <c r="H923" i="2"/>
  <c r="S923" i="4"/>
  <c r="G923" i="2"/>
  <c r="R923" i="4"/>
  <c r="Q923" i="4"/>
  <c r="F923" i="2"/>
  <c r="T924" i="4" l="1"/>
  <c r="I924" i="2"/>
  <c r="H924" i="2"/>
  <c r="S924" i="4"/>
  <c r="R924" i="4"/>
  <c r="G924" i="2"/>
  <c r="Q924" i="4"/>
  <c r="F924" i="2"/>
  <c r="T925" i="4" l="1"/>
  <c r="I925" i="2"/>
  <c r="S925" i="4"/>
  <c r="H925" i="2"/>
  <c r="R925" i="4"/>
  <c r="G925" i="2"/>
  <c r="F925" i="2"/>
  <c r="Q925" i="4"/>
  <c r="T926" i="4" l="1"/>
  <c r="I926" i="2"/>
  <c r="S926" i="4"/>
  <c r="H926" i="2"/>
  <c r="G926" i="2"/>
  <c r="R926" i="4"/>
  <c r="F926" i="2"/>
  <c r="Q926" i="4"/>
  <c r="T927" i="4" l="1"/>
  <c r="I927" i="2"/>
  <c r="H927" i="2"/>
  <c r="S927" i="4"/>
  <c r="G927" i="2"/>
  <c r="R927" i="4"/>
  <c r="Q927" i="4"/>
  <c r="F927" i="2"/>
  <c r="T928" i="4" l="1"/>
  <c r="I928" i="2"/>
  <c r="H928" i="2"/>
  <c r="S928" i="4"/>
  <c r="R928" i="4"/>
  <c r="G928" i="2"/>
  <c r="Q928" i="4"/>
  <c r="F928" i="2"/>
  <c r="T929" i="4" l="1"/>
  <c r="I929" i="2"/>
  <c r="S929" i="4"/>
  <c r="H929" i="2"/>
  <c r="R929" i="4"/>
  <c r="G929" i="2"/>
  <c r="F929" i="2"/>
  <c r="Q929" i="4"/>
  <c r="T930" i="4" l="1"/>
  <c r="I930" i="2"/>
  <c r="S930" i="4"/>
  <c r="H930" i="2"/>
  <c r="G930" i="2"/>
  <c r="R930" i="4"/>
  <c r="F930" i="2"/>
  <c r="Q930" i="4"/>
  <c r="T931" i="4" l="1"/>
  <c r="I931" i="2"/>
  <c r="H931" i="2"/>
  <c r="S931" i="4"/>
  <c r="G931" i="2"/>
  <c r="R931" i="4"/>
  <c r="Q931" i="4"/>
  <c r="F931" i="2"/>
  <c r="T932" i="4" l="1"/>
  <c r="I932" i="2"/>
  <c r="S932" i="4"/>
  <c r="H932" i="2"/>
  <c r="R932" i="4"/>
  <c r="G932" i="2"/>
  <c r="Q932" i="4"/>
  <c r="F932" i="2"/>
  <c r="T933" i="4" l="1"/>
  <c r="I933" i="2"/>
  <c r="S933" i="4"/>
  <c r="H933" i="2"/>
  <c r="G933" i="2"/>
  <c r="R933" i="4"/>
  <c r="Q933" i="4"/>
  <c r="F933" i="2"/>
  <c r="T934" i="4" l="1"/>
  <c r="I934" i="2"/>
  <c r="S934" i="4"/>
  <c r="H934" i="2"/>
  <c r="R934" i="4"/>
  <c r="G934" i="2"/>
  <c r="F934" i="2"/>
  <c r="Q934" i="4"/>
  <c r="I935" i="2" l="1"/>
  <c r="T935" i="4"/>
  <c r="S935" i="4"/>
  <c r="H935" i="2"/>
  <c r="G935" i="2"/>
  <c r="R935" i="4"/>
  <c r="Q935" i="4"/>
  <c r="F935" i="2"/>
  <c r="T936" i="4" l="1"/>
  <c r="I936" i="2"/>
  <c r="H936" i="2"/>
  <c r="S936" i="4"/>
  <c r="R936" i="4"/>
  <c r="G936" i="2"/>
  <c r="F936" i="2"/>
  <c r="Q936" i="4"/>
  <c r="I937" i="2" l="1"/>
  <c r="T937" i="4"/>
  <c r="S937" i="4"/>
  <c r="H937" i="2"/>
  <c r="G937" i="2"/>
  <c r="R937" i="4"/>
  <c r="Q937" i="4"/>
  <c r="F937" i="2"/>
  <c r="T938" i="4" l="1"/>
  <c r="I938" i="2"/>
  <c r="S938" i="4"/>
  <c r="H938" i="2"/>
  <c r="R938" i="4"/>
  <c r="G938" i="2"/>
  <c r="Q938" i="4"/>
  <c r="F938" i="2"/>
  <c r="T939" i="4" l="1"/>
  <c r="I939" i="2"/>
  <c r="H939" i="2"/>
  <c r="S939" i="4"/>
  <c r="G939" i="2"/>
  <c r="R939" i="4"/>
  <c r="Q939" i="4"/>
  <c r="F939" i="2"/>
  <c r="T940" i="4" l="1"/>
  <c r="I940" i="2"/>
  <c r="H940" i="2"/>
  <c r="S940" i="4"/>
  <c r="R940" i="4"/>
  <c r="G940" i="2"/>
  <c r="F940" i="2"/>
  <c r="Q940" i="4"/>
  <c r="T941" i="4" l="1"/>
  <c r="I941" i="2"/>
  <c r="S941" i="4"/>
  <c r="H941" i="2"/>
  <c r="G941" i="2"/>
  <c r="R941" i="4"/>
  <c r="Q941" i="4"/>
  <c r="F941" i="2"/>
  <c r="T942" i="4" l="1"/>
  <c r="I942" i="2"/>
  <c r="S942" i="4"/>
  <c r="H942" i="2"/>
  <c r="R942" i="4"/>
  <c r="G942" i="2"/>
  <c r="Q942" i="4"/>
  <c r="F942" i="2"/>
  <c r="T943" i="4" l="1"/>
  <c r="I943" i="2"/>
  <c r="S943" i="4"/>
  <c r="H943" i="2"/>
  <c r="R943" i="4"/>
  <c r="G943" i="2"/>
  <c r="F943" i="2"/>
  <c r="Q943" i="4"/>
  <c r="T944" i="4" l="1"/>
  <c r="I944" i="2"/>
  <c r="S944" i="4"/>
  <c r="H944" i="2"/>
  <c r="G944" i="2"/>
  <c r="R944" i="4"/>
  <c r="Q944" i="4"/>
  <c r="F944" i="2"/>
  <c r="T945" i="4" l="1"/>
  <c r="I945" i="2"/>
  <c r="S945" i="4"/>
  <c r="H945" i="2"/>
  <c r="R945" i="4"/>
  <c r="G945" i="2"/>
  <c r="Q945" i="4"/>
  <c r="F945" i="2"/>
  <c r="T946" i="4" l="1"/>
  <c r="I946" i="2"/>
  <c r="S946" i="4"/>
  <c r="H946" i="2"/>
  <c r="R946" i="4"/>
  <c r="G946" i="2"/>
  <c r="F946" i="2"/>
  <c r="Q946" i="4"/>
  <c r="T947" i="4" l="1"/>
  <c r="I947" i="2"/>
  <c r="H947" i="2"/>
  <c r="S947" i="4"/>
  <c r="R947" i="4"/>
  <c r="G947" i="2"/>
  <c r="Q947" i="4"/>
  <c r="F947" i="2"/>
  <c r="I948" i="2" l="1"/>
  <c r="T948" i="4"/>
  <c r="S948" i="4"/>
  <c r="H948" i="2"/>
  <c r="R948" i="4"/>
  <c r="G948" i="2"/>
  <c r="Q948" i="4"/>
  <c r="F948" i="2"/>
  <c r="T949" i="4" l="1"/>
  <c r="I949" i="2"/>
  <c r="S949" i="4"/>
  <c r="H949" i="2"/>
  <c r="G949" i="2"/>
  <c r="R949" i="4"/>
  <c r="F949" i="2"/>
  <c r="Q949" i="4"/>
  <c r="I950" i="2" l="1"/>
  <c r="T950" i="4"/>
  <c r="H950" i="2"/>
  <c r="S950" i="4"/>
  <c r="G950" i="2"/>
  <c r="R950" i="4"/>
  <c r="Q950" i="4"/>
  <c r="F950" i="2"/>
  <c r="T951" i="4" l="1"/>
  <c r="I951" i="2"/>
  <c r="S951" i="4"/>
  <c r="H951" i="2"/>
  <c r="R951" i="4"/>
  <c r="G951" i="2"/>
  <c r="F951" i="2"/>
  <c r="Q951" i="4"/>
  <c r="I952" i="2" l="1"/>
  <c r="T952" i="4"/>
  <c r="H952" i="2"/>
  <c r="S952" i="4"/>
  <c r="R952" i="4"/>
  <c r="G952" i="2"/>
  <c r="Q952" i="4"/>
  <c r="F952" i="2"/>
  <c r="T953" i="4" l="1"/>
  <c r="I953" i="2"/>
  <c r="H953" i="2"/>
  <c r="S953" i="4"/>
  <c r="R953" i="4"/>
  <c r="G953" i="2"/>
  <c r="Q953" i="4"/>
  <c r="F953" i="2"/>
  <c r="I954" i="2" l="1"/>
  <c r="T954" i="4"/>
  <c r="S954" i="4"/>
  <c r="H954" i="2"/>
  <c r="G954" i="2"/>
  <c r="R954" i="4"/>
  <c r="Q954" i="4"/>
  <c r="F954" i="2"/>
  <c r="T955" i="4" l="1"/>
  <c r="I955" i="2"/>
  <c r="H955" i="2"/>
  <c r="S955" i="4"/>
  <c r="R955" i="4"/>
  <c r="G955" i="2"/>
  <c r="F955" i="2"/>
  <c r="Q955" i="4"/>
  <c r="I956" i="2" l="1"/>
  <c r="T956" i="4"/>
  <c r="S956" i="4"/>
  <c r="H956" i="2"/>
  <c r="G956" i="2"/>
  <c r="R956" i="4"/>
  <c r="Q956" i="4"/>
  <c r="F956" i="2"/>
  <c r="T957" i="4" l="1"/>
  <c r="I957" i="2"/>
  <c r="H957" i="2"/>
  <c r="S957" i="4"/>
  <c r="R957" i="4"/>
  <c r="G957" i="2"/>
  <c r="F957" i="2"/>
  <c r="Q957" i="4"/>
  <c r="T958" i="4" l="1"/>
  <c r="I958" i="2"/>
  <c r="S958" i="4"/>
  <c r="H958" i="2"/>
  <c r="R958" i="4"/>
  <c r="G958" i="2"/>
  <c r="Q958" i="4"/>
  <c r="F958" i="2"/>
  <c r="I959" i="2" l="1"/>
  <c r="T959" i="4"/>
  <c r="S959" i="4"/>
  <c r="H959" i="2"/>
  <c r="G959" i="2"/>
  <c r="R959" i="4"/>
  <c r="Q959" i="4"/>
  <c r="F959" i="2"/>
  <c r="T960" i="4" l="1"/>
  <c r="I960" i="2"/>
  <c r="H960" i="2"/>
  <c r="S960" i="4"/>
  <c r="R960" i="4"/>
  <c r="G960" i="2"/>
  <c r="Q960" i="4"/>
  <c r="F960" i="2"/>
  <c r="I961" i="2" l="1"/>
  <c r="T961" i="4"/>
  <c r="S961" i="4"/>
  <c r="H961" i="2"/>
  <c r="R961" i="4"/>
  <c r="G961" i="2"/>
  <c r="Q961" i="4"/>
  <c r="F961" i="2"/>
  <c r="T962" i="4" l="1"/>
  <c r="I962" i="2"/>
  <c r="S962" i="4"/>
  <c r="H962" i="2"/>
  <c r="R962" i="4"/>
  <c r="G962" i="2"/>
  <c r="F962" i="2"/>
  <c r="Q962" i="4"/>
  <c r="T963" i="4" l="1"/>
  <c r="I963" i="2"/>
  <c r="S963" i="4"/>
  <c r="H963" i="2"/>
  <c r="G963" i="2"/>
  <c r="R963" i="4"/>
  <c r="Q963" i="4"/>
  <c r="F963" i="2"/>
  <c r="T964" i="4" l="1"/>
  <c r="I964" i="2"/>
  <c r="S964" i="4"/>
  <c r="H964" i="2"/>
  <c r="R964" i="4"/>
  <c r="G964" i="2"/>
  <c r="F964" i="2"/>
  <c r="Q964" i="4"/>
  <c r="T965" i="4" l="1"/>
  <c r="I965" i="2"/>
  <c r="H965" i="2"/>
  <c r="S965" i="4"/>
  <c r="G965" i="2"/>
  <c r="R965" i="4"/>
  <c r="Q965" i="4"/>
  <c r="F965" i="2"/>
  <c r="T966" i="4" l="1"/>
  <c r="I966" i="2"/>
  <c r="S966" i="4"/>
  <c r="H966" i="2"/>
  <c r="R966" i="4"/>
  <c r="G966" i="2"/>
  <c r="Q966" i="4"/>
  <c r="F966" i="2"/>
  <c r="T967" i="4" l="1"/>
  <c r="I967" i="2"/>
  <c r="S967" i="4"/>
  <c r="H967" i="2"/>
  <c r="R967" i="4"/>
  <c r="G967" i="2"/>
  <c r="Q967" i="4"/>
  <c r="F967" i="2"/>
  <c r="T968" i="4" l="1"/>
  <c r="I968" i="2"/>
  <c r="S968" i="4"/>
  <c r="H968" i="2"/>
  <c r="R968" i="4"/>
  <c r="G968" i="2"/>
  <c r="Q968" i="4"/>
  <c r="F968" i="2"/>
  <c r="T969" i="4" l="1"/>
  <c r="I969" i="2"/>
  <c r="S969" i="4"/>
  <c r="H969" i="2"/>
  <c r="R969" i="4"/>
  <c r="G969" i="2"/>
  <c r="Q969" i="4"/>
  <c r="F969" i="2"/>
  <c r="I970" i="2" l="1"/>
  <c r="T970" i="4"/>
  <c r="S970" i="4"/>
  <c r="H970" i="2"/>
  <c r="G970" i="2"/>
  <c r="R970" i="4"/>
  <c r="Q970" i="4"/>
  <c r="F970" i="2"/>
  <c r="T971" i="4" l="1"/>
  <c r="I971" i="2"/>
  <c r="H971" i="2"/>
  <c r="S971" i="4"/>
  <c r="R971" i="4"/>
  <c r="G971" i="2"/>
  <c r="Q971" i="4"/>
  <c r="F971" i="2"/>
  <c r="I972" i="2" l="1"/>
  <c r="T972" i="4"/>
  <c r="S972" i="4"/>
  <c r="H972" i="2"/>
  <c r="R972" i="4"/>
  <c r="G972" i="2"/>
  <c r="F972" i="2"/>
  <c r="Q972" i="4"/>
  <c r="T973" i="4" l="1"/>
  <c r="I973" i="2"/>
  <c r="H973" i="2"/>
  <c r="S973" i="4"/>
  <c r="R973" i="4"/>
  <c r="G973" i="2"/>
  <c r="Q973" i="4"/>
  <c r="F973" i="2"/>
  <c r="T974" i="4" l="1"/>
  <c r="I974" i="2"/>
  <c r="S974" i="4"/>
  <c r="H974" i="2"/>
  <c r="G974" i="2"/>
  <c r="R974" i="4"/>
  <c r="Q974" i="4"/>
  <c r="F974" i="2"/>
  <c r="T975" i="4" l="1"/>
  <c r="I975" i="2"/>
  <c r="S975" i="4"/>
  <c r="H975" i="2"/>
  <c r="R975" i="4"/>
  <c r="G975" i="2"/>
  <c r="F975" i="2"/>
  <c r="Q975" i="4"/>
  <c r="T976" i="4" l="1"/>
  <c r="I976" i="2"/>
  <c r="S976" i="4"/>
  <c r="H976" i="2"/>
  <c r="R976" i="4"/>
  <c r="G976" i="2"/>
  <c r="Q976" i="4"/>
  <c r="F976" i="2"/>
  <c r="T977" i="4" l="1"/>
  <c r="I977" i="2"/>
  <c r="S977" i="4"/>
  <c r="H977" i="2"/>
  <c r="R977" i="4"/>
  <c r="G977" i="2"/>
  <c r="Q977" i="4"/>
  <c r="F977" i="2"/>
  <c r="T978" i="4" l="1"/>
  <c r="I978" i="2"/>
  <c r="S978" i="4"/>
  <c r="H978" i="2"/>
  <c r="R978" i="4"/>
  <c r="G978" i="2"/>
  <c r="Q978" i="4"/>
  <c r="F978" i="2"/>
  <c r="T979" i="4" l="1"/>
  <c r="I979" i="2"/>
  <c r="S979" i="4"/>
  <c r="H979" i="2"/>
  <c r="R979" i="4"/>
  <c r="G979" i="2"/>
  <c r="Q979" i="4"/>
  <c r="F979" i="2"/>
  <c r="T980" i="4" l="1"/>
  <c r="I980" i="2"/>
  <c r="S980" i="4"/>
  <c r="H980" i="2"/>
  <c r="R980" i="4"/>
  <c r="G980" i="2"/>
  <c r="Q980" i="4"/>
  <c r="F980" i="2"/>
  <c r="T981" i="4" l="1"/>
  <c r="I981" i="2"/>
  <c r="H981" i="2"/>
  <c r="S981" i="4"/>
  <c r="R981" i="4"/>
  <c r="G981" i="2"/>
  <c r="Q981" i="4"/>
  <c r="F981" i="2"/>
  <c r="I982" i="2" l="1"/>
  <c r="T982" i="4"/>
  <c r="S982" i="4"/>
  <c r="H982" i="2"/>
  <c r="G982" i="2"/>
  <c r="R982" i="4"/>
  <c r="Q982" i="4"/>
  <c r="F982" i="2"/>
  <c r="T983" i="4" l="1"/>
  <c r="I983" i="2"/>
  <c r="S983" i="4"/>
  <c r="H983" i="2"/>
  <c r="R983" i="4"/>
  <c r="G983" i="2"/>
  <c r="Q983" i="4"/>
  <c r="F983" i="2"/>
  <c r="T984" i="4" l="1"/>
  <c r="I984" i="2"/>
  <c r="H984" i="2"/>
  <c r="S984" i="4"/>
  <c r="R984" i="4"/>
  <c r="G984" i="2"/>
  <c r="F984" i="2"/>
  <c r="Q984" i="4"/>
  <c r="I985" i="2" l="1"/>
  <c r="T985" i="4"/>
  <c r="S985" i="4"/>
  <c r="H985" i="2"/>
  <c r="G985" i="2"/>
  <c r="R985" i="4"/>
  <c r="Q985" i="4"/>
  <c r="F985" i="2"/>
  <c r="T986" i="4" l="1"/>
  <c r="I986" i="2"/>
  <c r="H986" i="2"/>
  <c r="S986" i="4"/>
  <c r="R986" i="4"/>
  <c r="G986" i="2"/>
  <c r="F986" i="2"/>
  <c r="Q986" i="4"/>
  <c r="T987" i="4" l="1"/>
  <c r="I987" i="2"/>
  <c r="S987" i="4"/>
  <c r="H987" i="2"/>
  <c r="R987" i="4"/>
  <c r="G987" i="2"/>
  <c r="Q987" i="4"/>
  <c r="F987" i="2"/>
  <c r="T988" i="4" l="1"/>
  <c r="I988" i="2"/>
  <c r="S988" i="4"/>
  <c r="H988" i="2"/>
  <c r="G988" i="2"/>
  <c r="R988" i="4"/>
  <c r="Q988" i="4"/>
  <c r="F988" i="2"/>
  <c r="T989" i="4" l="1"/>
  <c r="I989" i="2"/>
  <c r="S989" i="4"/>
  <c r="H989" i="2"/>
  <c r="R989" i="4"/>
  <c r="G989" i="2"/>
  <c r="Q989" i="4"/>
  <c r="F989" i="2"/>
  <c r="T990" i="4" l="1"/>
  <c r="I990" i="2"/>
  <c r="S990" i="4"/>
  <c r="H990" i="2"/>
  <c r="R990" i="4"/>
  <c r="G990" i="2"/>
  <c r="Q990" i="4"/>
  <c r="F990" i="2"/>
  <c r="T991" i="4" l="1"/>
  <c r="I991" i="2"/>
  <c r="S991" i="4"/>
  <c r="H991" i="2"/>
  <c r="R991" i="4"/>
  <c r="G991" i="2"/>
  <c r="Q991" i="4"/>
  <c r="F991" i="2"/>
  <c r="T992" i="4" l="1"/>
  <c r="I992" i="2"/>
  <c r="S992" i="4"/>
  <c r="H992" i="2"/>
  <c r="R992" i="4"/>
  <c r="G992" i="2"/>
  <c r="Q992" i="4"/>
  <c r="F992" i="2"/>
  <c r="T993" i="4" l="1"/>
  <c r="I993" i="2"/>
  <c r="S993" i="4"/>
  <c r="H993" i="2"/>
  <c r="R993" i="4"/>
  <c r="G993" i="2"/>
  <c r="Q993" i="4"/>
  <c r="F993" i="2"/>
  <c r="T994" i="4" l="1"/>
  <c r="I994" i="2"/>
  <c r="S994" i="4"/>
  <c r="H994" i="2"/>
  <c r="R994" i="4"/>
  <c r="G994" i="2"/>
  <c r="Q994" i="4"/>
  <c r="F994" i="2"/>
  <c r="T995" i="4" l="1"/>
  <c r="I995" i="2"/>
  <c r="S995" i="4"/>
  <c r="H995" i="2"/>
  <c r="R995" i="4"/>
  <c r="G995" i="2"/>
  <c r="Q995" i="4"/>
  <c r="F995" i="2"/>
  <c r="T996" i="4" l="1"/>
  <c r="I996" i="2"/>
  <c r="S996" i="4"/>
  <c r="H996" i="2"/>
  <c r="R996" i="4"/>
  <c r="G996" i="2"/>
  <c r="Q996" i="4"/>
  <c r="F996" i="2"/>
  <c r="T997" i="4" l="1"/>
  <c r="I997" i="2"/>
  <c r="S997" i="4"/>
  <c r="H997" i="2"/>
  <c r="R997" i="4"/>
  <c r="G997" i="2"/>
  <c r="Q997" i="4"/>
  <c r="F997" i="2"/>
  <c r="T998" i="4" l="1"/>
  <c r="I998" i="2"/>
  <c r="S998" i="4"/>
  <c r="H998" i="2"/>
  <c r="R998" i="4"/>
  <c r="G998" i="2"/>
  <c r="Q998" i="4"/>
  <c r="F998" i="2"/>
  <c r="I999" i="2" l="1"/>
  <c r="T999" i="4"/>
  <c r="S999" i="4"/>
  <c r="H999" i="2"/>
  <c r="G999" i="2"/>
  <c r="R999" i="4"/>
  <c r="Q999" i="4"/>
  <c r="F999" i="2"/>
  <c r="T1000" i="4" l="1"/>
  <c r="I1000" i="2"/>
  <c r="S1000" i="4"/>
  <c r="H1000" i="2"/>
  <c r="R1000" i="4"/>
  <c r="G1000" i="2"/>
  <c r="F1000" i="2"/>
  <c r="Q1000" i="4"/>
  <c r="T1001" i="4" l="1"/>
  <c r="I1001" i="2"/>
  <c r="H1001" i="2"/>
  <c r="S1001" i="4"/>
  <c r="R1001" i="4"/>
  <c r="G1001" i="2"/>
  <c r="Q1001" i="4"/>
  <c r="F1001" i="2"/>
  <c r="I1002" i="2" l="1"/>
  <c r="T1002" i="4"/>
  <c r="S1002" i="4"/>
  <c r="H1002" i="2"/>
  <c r="R1002" i="4"/>
  <c r="G1002" i="2"/>
  <c r="Q1002" i="4"/>
  <c r="F1002" i="2"/>
  <c r="T1003" i="4" l="1"/>
  <c r="I1003" i="2"/>
  <c r="S1003" i="4"/>
  <c r="H1003" i="2"/>
  <c r="G1003" i="2"/>
  <c r="R1003" i="4"/>
  <c r="Q1003" i="4"/>
  <c r="F1003" i="2"/>
  <c r="T1004" i="4" l="1"/>
  <c r="I1004" i="2"/>
  <c r="S1004" i="4"/>
  <c r="H1004" i="2"/>
  <c r="R1004" i="4"/>
  <c r="G1004" i="2"/>
  <c r="F1004" i="2"/>
  <c r="Q1004" i="4"/>
  <c r="T1005" i="4" l="1"/>
  <c r="I1005" i="2"/>
  <c r="S1005" i="4"/>
  <c r="H1005" i="2"/>
  <c r="R1005" i="4"/>
  <c r="G1005" i="2"/>
  <c r="Q1005" i="4"/>
  <c r="F1005" i="2"/>
  <c r="T1006" i="4" l="1"/>
  <c r="I1006" i="2"/>
  <c r="S1006" i="4"/>
  <c r="H1006" i="2"/>
  <c r="R1006" i="4"/>
  <c r="G1006" i="2"/>
  <c r="Q1006" i="4"/>
  <c r="F1006" i="2"/>
  <c r="T1007" i="4" l="1"/>
  <c r="I1007" i="2"/>
  <c r="S1007" i="4"/>
  <c r="H1007" i="2"/>
  <c r="R1007" i="4"/>
  <c r="G1007" i="2"/>
  <c r="Q1007" i="4"/>
  <c r="F1007" i="2"/>
</calcChain>
</file>

<file path=xl/sharedStrings.xml><?xml version="1.0" encoding="utf-8"?>
<sst xmlns="http://schemas.openxmlformats.org/spreadsheetml/2006/main" count="151" uniqueCount="119">
  <si>
    <t>Informativo diário do agro</t>
  </si>
  <si>
    <t>Últimas cotações lançadas. Preços em reais; data da cotação indicada por produto.</t>
  </si>
  <si>
    <t>Preencher histórico</t>
  </si>
  <si>
    <t>Fontes e instruções</t>
  </si>
  <si>
    <t>CEPEA soja</t>
  </si>
  <si>
    <t>CEPEA milho</t>
  </si>
  <si>
    <t>CEPEA boi</t>
  </si>
  <si>
    <t>BCB dólar</t>
  </si>
  <si>
    <t>Produto</t>
  </si>
  <si>
    <t>Referência / unidade</t>
  </si>
  <si>
    <t>Data atual</t>
  </si>
  <si>
    <t>Preço atual</t>
  </si>
  <si>
    <t>Data anterior</t>
  </si>
  <si>
    <t>Preço anterior</t>
  </si>
  <si>
    <t>Variação R$</t>
  </si>
  <si>
    <t>Variação %</t>
  </si>
  <si>
    <t>Desde o início</t>
  </si>
  <si>
    <t>Registros</t>
  </si>
  <si>
    <t>Soja</t>
  </si>
  <si>
    <t>Paranaguá / PR
R$/sc 60 kg</t>
  </si>
  <si>
    <t>Milho</t>
  </si>
  <si>
    <t>Campinas / SP
R$/sc 60 kg</t>
  </si>
  <si>
    <t>Boi gordo</t>
  </si>
  <si>
    <t>São Paulo
R$/@ 15 kg</t>
  </si>
  <si>
    <t>Dólar PTAX</t>
  </si>
  <si>
    <t>BCB / venda
R$/US$</t>
  </si>
  <si>
    <t>Variação = preço atual ÷ cotação anterior disponível − 1. “Desde o início” usa a primeira cotação de cada série.</t>
  </si>
  <si>
    <t>Células amarelas no Histórico: preenchimento manual. Fórmulas e gráficos se atualizam ao lançar novos valores.</t>
  </si>
  <si>
    <t>Histórico inicial: 17 a 25/09/2026. Fontes: CEPEA/ESALQ e BCB, reproduzidos por Notícias Agrícolas.</t>
  </si>
  <si>
    <t>Consulta inicial em 28/09/2026. Atualização dos preços é manual. PTAX é a taxa de referência de venda do BCB.</t>
  </si>
  <si>
    <t>Dias sem preço são omitidos dos gráficos; a linha conecta as observações disponíveis. Todas as fontes estão na aba Fontes e guia.</t>
  </si>
  <si>
    <t>Histórico de cotações</t>
  </si>
  <si>
    <t>Preencha uma linha por data, da mais antiga à mais recente. Use a data publicada na fonte.</t>
  </si>
  <si>
    <t>Edite as células amarelas (A:E e J). Deixe em branco os produtos sem cotação no dia. Não digite zero, R$ ou traços.</t>
  </si>
  <si>
    <t>Soja / CEPEA</t>
  </si>
  <si>
    <t>Milho / CEPEA</t>
  </si>
  <si>
    <t>Boi / CEPEA</t>
  </si>
  <si>
    <t>Dólar / BCB</t>
  </si>
  <si>
    <t>Fontes e guia</t>
  </si>
  <si>
    <t>Preparado para 1.000 datas, até a linha 1007. Complete a mesma linha quando surgir outra cotação daquela data.</t>
  </si>
  <si>
    <t>Variações em % calculadas sobre a cotação anterior disponível de cada produto. Valores iniciais: fontes S1 a S4.</t>
  </si>
  <si>
    <t>Data da cotação</t>
  </si>
  <si>
    <t>Soja
R$/sc 60 kg</t>
  </si>
  <si>
    <t>Milho
R$/sc 60 kg</t>
  </si>
  <si>
    <t>Boi gordo
R$/@ 15 kg</t>
  </si>
  <si>
    <t>Dólar PTAX
R$/US$ venda</t>
  </si>
  <si>
    <t>Soja
variação %</t>
  </si>
  <si>
    <t>Milho
variação %</t>
  </si>
  <si>
    <t>Boi gordo
variação %</t>
  </si>
  <si>
    <t>Dólar
variação %</t>
  </si>
  <si>
    <t>Observações / fonte</t>
  </si>
  <si>
    <t>Conferência</t>
  </si>
  <si>
    <t>Fontes S1–S4; consulta 28/09/2026</t>
  </si>
  <si>
    <t>Fontes de cotação e guia</t>
  </si>
  <si>
    <t>Links de pesquisa diária e origem das cotações preenchidas. Consulta inicial em 28/09/2026.</t>
  </si>
  <si>
    <t>Fonte</t>
  </si>
  <si>
    <t>Praça / referência</t>
  </si>
  <si>
    <t>Unidade</t>
  </si>
  <si>
    <t>Modalidade</t>
  </si>
  <si>
    <t>Dados iniciais</t>
  </si>
  <si>
    <t>S1</t>
  </si>
  <si>
    <t>Paranaguá / PR</t>
  </si>
  <si>
    <t>R$/sc 60 kg</t>
  </si>
  <si>
    <t>À vista</t>
  </si>
  <si>
    <t>17 a 25/09/2026</t>
  </si>
  <si>
    <t>Oficial</t>
  </si>
  <si>
    <t>https://cepea.org.br/br/indicador/soja.aspx</t>
  </si>
  <si>
    <t>Histórico</t>
  </si>
  <si>
    <t>https://www.noticiasagricolas.com.br/cotacoes/soja/soja-indicador-cepea-esalq-porto-paranagua</t>
  </si>
  <si>
    <t>S2</t>
  </si>
  <si>
    <t>Campinas / SP</t>
  </si>
  <si>
    <t>https://cepea.org.br/br/indicador/milho.aspx</t>
  </si>
  <si>
    <t>https://www.noticiasagricolas.com.br/cotacoes/milho/indicador-cepea-esalq-milho</t>
  </si>
  <si>
    <t>S3</t>
  </si>
  <si>
    <t>São Paulo</t>
  </si>
  <si>
    <t>R$/@ 15 kg</t>
  </si>
  <si>
    <t>https://cepea.org.br/br/indicador/boi-gordo.aspx</t>
  </si>
  <si>
    <t>https://www.noticiasagricolas.com.br/cotacoes/boi-gordo/boi-gordo-indicador-esalq-bmf</t>
  </si>
  <si>
    <t>S4</t>
  </si>
  <si>
    <t>BCB / venda</t>
  </si>
  <si>
    <t>R$/US$</t>
  </si>
  <si>
    <t>PTAX venda</t>
  </si>
  <si>
    <t>https://ptax.bcb.gov.br/ptax_internet/consultarUltimaCotacaoDolar.do</t>
  </si>
  <si>
    <t>https://www.noticiasagricolas.com.br/cotacoes/mercado-financeiro/cambio-ptax</t>
  </si>
  <si>
    <t>Outras consultas</t>
  </si>
  <si>
    <t>Notícias Agrícolas</t>
  </si>
  <si>
    <t>https://www.noticiasagricolas.com.br/cotacoes/</t>
  </si>
  <si>
    <t>Agrolink</t>
  </si>
  <si>
    <t>https://www.agrolink.com.br/cotacoes/</t>
  </si>
  <si>
    <t>PTAX por período</t>
  </si>
  <si>
    <t>https://ptax.bcb.gov.br/ptax_internet/consultaBoletim.do?method=consultarBoletim</t>
  </si>
  <si>
    <t>Como atualizar</t>
  </si>
  <si>
    <t>1. Abra um dos links fixos no topo do Histórico e confirme a data, a praça, a unidade e a modalidade da cotação.</t>
  </si>
  <si>
    <t>2. Na aba Histórico, use a próxima linha amarela. Digite a data e os preços nas colunas A:E. Use J para observações ou fonte.</t>
  </si>
  <si>
    <t>3. Registre uma única linha por data, em ordem crescente. Para completar um produto, volte à linha da data correspondente.</t>
  </si>
  <si>
    <t>4. Sem cotação no dia, deixe a célula vazia. O informativo compara cada produto com seu preço anterior disponível.</t>
  </si>
  <si>
    <t>5. Veja o resumo e os gráficos na aba Informativo. Verde indica alta e vermelho indica queda; as variações também têm sinal.</t>
  </si>
  <si>
    <t>6. Para usar sua própria praça, apague primeiro os preços iniciais e ajuste as referências. Mantenha a mesma série ao longo do tempo.</t>
  </si>
  <si>
    <t>7. Não apague as fórmulas em F:I e K do Histórico nem nas demais abas. Há espaço para 1.000 datas (linhas 8 a 1007).</t>
  </si>
  <si>
    <t>8. Os preços são preenchidos manualmente. Salve o arquivo após atualizar. Use Excel 2019 ou mais recente, com cálculo automático.</t>
  </si>
  <si>
    <t>Soja: indicador do porto de Paranaguá, saca de 60 kg. Milho: indicador de Campinas, saca de 60 kg, à vista e sem ICMS.</t>
  </si>
  <si>
    <t>Boi gordo: indicador de São Paulo, preço à vista por arroba de 15 kg, sem Funrural. Dólar: PTAX de venda, reais por US$ 1.</t>
  </si>
  <si>
    <t>S1–S3: indicadores CEPEA/ESALQ reproduzidos pelo Notícias Agrícolas. S4: Banco Central via Notícias Agrícolas; 25/09 confirmado no BCB.</t>
  </si>
  <si>
    <t>Os sete dias iniciais são cotações pesquisadas. As diferenças são calculadas com os preços disponíveis e podem variar por arredondamento.</t>
  </si>
  <si>
    <t>Séries dos gráficos</t>
  </si>
  <si>
    <t>Consulta automática das últimas 30 cotações de cada produto. Edite os preços somente na aba Histórico.</t>
  </si>
  <si>
    <t>Espaços no início indicam que ainda há menos de 30 observações. Produtos podem ter datas diferentes.</t>
  </si>
  <si>
    <t>Soja (R$/sc 60 kg)</t>
  </si>
  <si>
    <t>Milho (R$/sc 60 kg)</t>
  </si>
  <si>
    <t>Boi gordo (R$/@ 15 kg)</t>
  </si>
  <si>
    <t>Dólar PTAX (R$/US$)</t>
  </si>
  <si>
    <t>Data</t>
  </si>
  <si>
    <t>Preço</t>
  </si>
  <si>
    <t>Data no gráfico</t>
  </si>
  <si>
    <t>Última soja válida</t>
  </si>
  <si>
    <t>Último milho válido</t>
  </si>
  <si>
    <t>Último boi válido</t>
  </si>
  <si>
    <t>Último dólar válido</t>
  </si>
  <si>
    <t>Última data válida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</si>
</sst>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\+0.00;\-0.00;0.00"/>
    <numFmt numFmtId="166" formatCode="\+0.0000;\-0.0000;0.0000"/>
    <numFmt numFmtId="167" formatCode="\+0.00%;\-0.00%;0.00%"/>
  </numFmts>
  <fonts count="12">
    <font>
      <sz val="11"/>
      <name val="Carlito"/>
    </font>
    <font>
      <sz val="11"/>
      <color rgb="FF233229"/>
      <name val="Arial"/>
      <family val="2"/>
    </font>
    <font>
      <b/>
      <sz val="21"/>
      <color rgb="FF355B3E"/>
      <name val="Arial"/>
      <family val="2"/>
    </font>
    <font>
      <sz val="10"/>
      <color rgb="FF617066"/>
      <name val="Arial"/>
      <family val="2"/>
    </font>
    <font>
      <sz val="10"/>
      <color rgb="FF276489"/>
      <name val="Arial"/>
      <family val="2"/>
    </font>
    <font>
      <b/>
      <sz val="10"/>
      <color rgb="FFFFFFFF"/>
      <name val="Arial"/>
      <family val="2"/>
    </font>
    <font>
      <b/>
      <sz val="11"/>
      <color rgb="FF233229"/>
      <name val="Arial"/>
      <family val="2"/>
    </font>
    <font>
      <b/>
      <sz val="11"/>
      <color rgb="FF527A40"/>
      <name val="Arial"/>
      <family val="2"/>
    </font>
    <font>
      <b/>
      <sz val="11"/>
      <color rgb="FFB68D29"/>
      <name val="Arial"/>
      <family val="2"/>
    </font>
    <font>
      <b/>
      <sz val="11"/>
      <color rgb="FF885E43"/>
      <name val="Arial"/>
      <family val="2"/>
    </font>
    <font>
      <b/>
      <sz val="11"/>
      <color rgb="FF416F91"/>
      <name val="Arial"/>
      <family val="2"/>
    </font>
    <font>
      <b/>
      <sz val="14"/>
      <color rgb="FF355B3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5B3E"/>
      </patternFill>
    </fill>
    <fill>
      <patternFill patternType="solid">
        <fgColor rgb="FFF1F5F0"/>
      </patternFill>
    </fill>
    <fill>
      <patternFill patternType="solid">
        <fgColor rgb="FFFFF3D5"/>
      </patternFill>
    </fill>
  </fills>
  <borders count="5">
    <border>
      <left/>
      <right/>
      <top/>
      <bottom/>
      <diagonal/>
    </border>
    <border>
      <left/>
      <right/>
      <top/>
      <bottom style="thin">
        <color rgb="FF355B3E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4" fontId="1" fillId="3" borderId="0" xfId="0" applyNumberFormat="1" applyFont="1" applyFill="1" applyAlignment="1">
      <alignment vertical="center"/>
    </xf>
    <xf numFmtId="14" fontId="1" fillId="0" borderId="0" xfId="0" applyNumberFormat="1" applyFont="1" applyAlignment="1">
      <alignment vertical="center"/>
    </xf>
    <xf numFmtId="4" fontId="1" fillId="3" borderId="0" xfId="0" applyNumberFormat="1" applyFont="1" applyFill="1" applyAlignment="1">
      <alignment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3" borderId="0" xfId="0" applyNumberFormat="1" applyFont="1" applyFill="1" applyAlignment="1">
      <alignment vertical="center"/>
    </xf>
    <xf numFmtId="167" fontId="1" fillId="0" borderId="0" xfId="0" applyNumberFormat="1" applyFont="1" applyAlignment="1">
      <alignment vertical="center"/>
    </xf>
    <xf numFmtId="4" fontId="6" fillId="3" borderId="0" xfId="0" applyNumberFormat="1" applyFont="1" applyFill="1" applyAlignment="1">
      <alignment vertical="center"/>
    </xf>
    <xf numFmtId="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1" fillId="4" borderId="0" xfId="0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  <xf numFmtId="4" fontId="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font>
        <color rgb="FFAD4540"/>
      </font>
    </dxf>
    <dxf>
      <font>
        <color rgb="FF25643E"/>
      </font>
    </dxf>
    <dxf>
      <fill>
        <patternFill patternType="solid">
          <bgColor rgb="FFFCE4DB"/>
        </patternFill>
      </fill>
    </dxf>
    <dxf>
      <font>
        <color rgb="FFAD4540"/>
      </font>
    </dxf>
    <dxf>
      <font>
        <color rgb="FF25643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>
                <a:latin typeface="Arial"/>
                <a:ea typeface="Arial"/>
                <a:cs typeface="Arial"/>
              </a:rPr>
              <a:t>Soja (R$/sc 60 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Soja</c:v>
          </c:tx>
          <c:marker>
            <c:symbol val="none"/>
          </c:marker>
          <c:cat>
            <c:strRef>
              <c:f>[0]!SojaDatas</c:f>
              <c:strCache>
                <c:ptCount val="29"/>
                <c:pt idx="0">
                  <c:v>17/09</c:v>
                </c:pt>
                <c:pt idx="1">
                  <c:v>18/09</c:v>
                </c:pt>
                <c:pt idx="2">
                  <c:v>21/09</c:v>
                </c:pt>
                <c:pt idx="3">
                  <c:v>22/09</c:v>
                </c:pt>
                <c:pt idx="4">
                  <c:v>23/09</c:v>
                </c:pt>
                <c:pt idx="5">
                  <c:v>24/09</c:v>
                </c:pt>
                <c:pt idx="6">
                  <c:v>25/09</c:v>
                </c:pt>
                <c:pt idx="7">
                  <c:v>28/09</c:v>
                </c:pt>
                <c:pt idx="8">
                  <c:v>29/09</c:v>
                </c:pt>
                <c:pt idx="9">
                  <c:v>30/09</c:v>
                </c:pt>
                <c:pt idx="10">
                  <c:v>01/10</c:v>
                </c:pt>
                <c:pt idx="11">
                  <c:v>02/10</c:v>
                </c:pt>
                <c:pt idx="12">
                  <c:v>05/10</c:v>
                </c:pt>
                <c:pt idx="13">
                  <c:v>06/10</c:v>
                </c:pt>
                <c:pt idx="14">
                  <c:v>07/10</c:v>
                </c:pt>
                <c:pt idx="15">
                  <c:v>08/10</c:v>
                </c:pt>
                <c:pt idx="16">
                  <c:v>09/10</c:v>
                </c:pt>
                <c:pt idx="17">
                  <c:v>13/10</c:v>
                </c:pt>
                <c:pt idx="18">
                  <c:v>14/10</c:v>
                </c:pt>
                <c:pt idx="19">
                  <c:v>15/10</c:v>
                </c:pt>
                <c:pt idx="20">
                  <c:v>16/10</c:v>
                </c:pt>
                <c:pt idx="21">
                  <c:v>19/10</c:v>
                </c:pt>
                <c:pt idx="22">
                  <c:v>20/10</c:v>
                </c:pt>
                <c:pt idx="23">
                  <c:v>21/10</c:v>
                </c:pt>
                <c:pt idx="24">
                  <c:v>22/10</c:v>
                </c:pt>
                <c:pt idx="25">
                  <c:v>23/10</c:v>
                </c:pt>
                <c:pt idx="26">
                  <c:v>26/10</c:v>
                </c:pt>
                <c:pt idx="27">
                  <c:v>27/10</c:v>
                </c:pt>
                <c:pt idx="28">
                  <c:v>28/10</c:v>
                </c:pt>
              </c:strCache>
            </c:strRef>
          </c:cat>
          <c:val>
            <c:numRef>
              <c:f>[0]!SojaPrecos</c:f>
              <c:numCache>
                <c:formatCode>#,##0.00</c:formatCode>
                <c:ptCount val="29"/>
                <c:pt idx="0">
                  <c:v>162.02</c:v>
                </c:pt>
                <c:pt idx="1">
                  <c:v>161.89</c:v>
                </c:pt>
                <c:pt idx="2">
                  <c:v>161.52</c:v>
                </c:pt>
                <c:pt idx="3">
                  <c:v>161.93</c:v>
                </c:pt>
                <c:pt idx="4">
                  <c:v>161.65</c:v>
                </c:pt>
                <c:pt idx="5">
                  <c:v>161.84</c:v>
                </c:pt>
                <c:pt idx="6">
                  <c:v>161</c:v>
                </c:pt>
                <c:pt idx="7">
                  <c:v>160.43</c:v>
                </c:pt>
                <c:pt idx="8">
                  <c:v>161.27</c:v>
                </c:pt>
                <c:pt idx="9">
                  <c:v>161.56</c:v>
                </c:pt>
                <c:pt idx="10">
                  <c:v>160.9</c:v>
                </c:pt>
                <c:pt idx="11">
                  <c:v>159.94</c:v>
                </c:pt>
                <c:pt idx="12">
                  <c:v>158.09</c:v>
                </c:pt>
                <c:pt idx="13">
                  <c:v>155.67</c:v>
                </c:pt>
                <c:pt idx="14">
                  <c:v>153.9</c:v>
                </c:pt>
                <c:pt idx="15">
                  <c:v>154.91</c:v>
                </c:pt>
                <c:pt idx="16">
                  <c:v>154.75</c:v>
                </c:pt>
                <c:pt idx="17">
                  <c:v>154.15</c:v>
                </c:pt>
                <c:pt idx="18">
                  <c:v>154.29</c:v>
                </c:pt>
                <c:pt idx="19">
                  <c:v>154.7</c:v>
                </c:pt>
                <c:pt idx="20">
                  <c:v>154.61</c:v>
                </c:pt>
                <c:pt idx="21">
                  <c:v>154.24</c:v>
                </c:pt>
                <c:pt idx="22">
                  <c:v>153.4</c:v>
                </c:pt>
                <c:pt idx="23">
                  <c:v>152.13</c:v>
                </c:pt>
                <c:pt idx="24">
                  <c:v>151.92</c:v>
                </c:pt>
                <c:pt idx="25">
                  <c:v>152.41</c:v>
                </c:pt>
                <c:pt idx="26">
                  <c:v>155.55</c:v>
                </c:pt>
                <c:pt idx="27">
                  <c:v>157.41</c:v>
                </c:pt>
                <c:pt idx="28">
                  <c:v>157.42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F-46B2-A01D-E7CE0E06C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>
                <a:latin typeface="Arial"/>
                <a:ea typeface="Arial"/>
                <a:cs typeface="Arial"/>
              </a:rPr>
              <a:t>Milho (R$/sc 60 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Milho</c:v>
          </c:tx>
          <c:marker>
            <c:symbol val="none"/>
          </c:marker>
          <c:cat>
            <c:strRef>
              <c:f>[0]!MilhoDatas</c:f>
              <c:strCache>
                <c:ptCount val="29"/>
                <c:pt idx="0">
                  <c:v>17/09</c:v>
                </c:pt>
                <c:pt idx="1">
                  <c:v>18/09</c:v>
                </c:pt>
                <c:pt idx="2">
                  <c:v>21/09</c:v>
                </c:pt>
                <c:pt idx="3">
                  <c:v>22/09</c:v>
                </c:pt>
                <c:pt idx="4">
                  <c:v>23/09</c:v>
                </c:pt>
                <c:pt idx="5">
                  <c:v>24/09</c:v>
                </c:pt>
                <c:pt idx="6">
                  <c:v>25/09</c:v>
                </c:pt>
                <c:pt idx="7">
                  <c:v>28/09</c:v>
                </c:pt>
                <c:pt idx="8">
                  <c:v>29/09</c:v>
                </c:pt>
                <c:pt idx="9">
                  <c:v>30/09</c:v>
                </c:pt>
                <c:pt idx="10">
                  <c:v>01/10</c:v>
                </c:pt>
                <c:pt idx="11">
                  <c:v>02/10</c:v>
                </c:pt>
                <c:pt idx="12">
                  <c:v>05/10</c:v>
                </c:pt>
                <c:pt idx="13">
                  <c:v>06/10</c:v>
                </c:pt>
                <c:pt idx="14">
                  <c:v>07/10</c:v>
                </c:pt>
                <c:pt idx="15">
                  <c:v>08/10</c:v>
                </c:pt>
                <c:pt idx="16">
                  <c:v>09/10</c:v>
                </c:pt>
                <c:pt idx="17">
                  <c:v>13/10</c:v>
                </c:pt>
                <c:pt idx="18">
                  <c:v>14/10</c:v>
                </c:pt>
                <c:pt idx="19">
                  <c:v>15/10</c:v>
                </c:pt>
                <c:pt idx="20">
                  <c:v>16/10</c:v>
                </c:pt>
                <c:pt idx="21">
                  <c:v>19/10</c:v>
                </c:pt>
                <c:pt idx="22">
                  <c:v>20/10</c:v>
                </c:pt>
                <c:pt idx="23">
                  <c:v>21/10</c:v>
                </c:pt>
                <c:pt idx="24">
                  <c:v>22/10</c:v>
                </c:pt>
                <c:pt idx="25">
                  <c:v>23/10</c:v>
                </c:pt>
                <c:pt idx="26">
                  <c:v>26/10</c:v>
                </c:pt>
                <c:pt idx="27">
                  <c:v>27/10</c:v>
                </c:pt>
                <c:pt idx="28">
                  <c:v>28/10</c:v>
                </c:pt>
              </c:strCache>
            </c:strRef>
          </c:cat>
          <c:val>
            <c:numRef>
              <c:f>[0]!MilhoPrecos</c:f>
              <c:numCache>
                <c:formatCode>#,##0.00</c:formatCode>
                <c:ptCount val="29"/>
                <c:pt idx="0">
                  <c:v>69.25</c:v>
                </c:pt>
                <c:pt idx="1">
                  <c:v>69.29</c:v>
                </c:pt>
                <c:pt idx="2">
                  <c:v>69.62</c:v>
                </c:pt>
                <c:pt idx="3">
                  <c:v>69.74</c:v>
                </c:pt>
                <c:pt idx="4">
                  <c:v>69.82</c:v>
                </c:pt>
                <c:pt idx="5">
                  <c:v>69.81</c:v>
                </c:pt>
                <c:pt idx="6">
                  <c:v>69.65</c:v>
                </c:pt>
                <c:pt idx="7">
                  <c:v>69.48</c:v>
                </c:pt>
                <c:pt idx="8">
                  <c:v>69.2</c:v>
                </c:pt>
                <c:pt idx="9">
                  <c:v>68.67</c:v>
                </c:pt>
                <c:pt idx="10">
                  <c:v>68.58</c:v>
                </c:pt>
                <c:pt idx="11">
                  <c:v>68.53</c:v>
                </c:pt>
                <c:pt idx="12">
                  <c:v>67.26</c:v>
                </c:pt>
                <c:pt idx="13">
                  <c:v>67.23</c:v>
                </c:pt>
                <c:pt idx="14">
                  <c:v>67.24</c:v>
                </c:pt>
                <c:pt idx="15">
                  <c:v>67.18</c:v>
                </c:pt>
                <c:pt idx="16">
                  <c:v>67.35</c:v>
                </c:pt>
                <c:pt idx="17">
                  <c:v>65.59</c:v>
                </c:pt>
                <c:pt idx="18">
                  <c:v>65.43</c:v>
                </c:pt>
                <c:pt idx="19">
                  <c:v>64.81</c:v>
                </c:pt>
                <c:pt idx="20">
                  <c:v>64.85</c:v>
                </c:pt>
                <c:pt idx="21">
                  <c:v>64.74</c:v>
                </c:pt>
                <c:pt idx="22">
                  <c:v>64.34</c:v>
                </c:pt>
                <c:pt idx="23">
                  <c:v>64.3</c:v>
                </c:pt>
                <c:pt idx="24">
                  <c:v>64.24</c:v>
                </c:pt>
                <c:pt idx="25">
                  <c:v>64.27</c:v>
                </c:pt>
                <c:pt idx="26">
                  <c:v>64.24</c:v>
                </c:pt>
                <c:pt idx="27">
                  <c:v>64.87</c:v>
                </c:pt>
                <c:pt idx="28">
                  <c:v>64.73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5A-409C-B88A-86A7FA9C8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>
                <a:latin typeface="Arial"/>
                <a:ea typeface="Arial"/>
                <a:cs typeface="Arial"/>
              </a:rPr>
              <a:t>Boi gordo (R$/@ 15 kg)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Boi gordo</c:v>
          </c:tx>
          <c:marker>
            <c:symbol val="none"/>
          </c:marker>
          <c:cat>
            <c:strRef>
              <c:f>[0]!BoiDatas</c:f>
              <c:strCache>
                <c:ptCount val="29"/>
                <c:pt idx="0">
                  <c:v>17/09</c:v>
                </c:pt>
                <c:pt idx="1">
                  <c:v>18/09</c:v>
                </c:pt>
                <c:pt idx="2">
                  <c:v>21/09</c:v>
                </c:pt>
                <c:pt idx="3">
                  <c:v>22/09</c:v>
                </c:pt>
                <c:pt idx="4">
                  <c:v>23/09</c:v>
                </c:pt>
                <c:pt idx="5">
                  <c:v>24/09</c:v>
                </c:pt>
                <c:pt idx="6">
                  <c:v>25/09</c:v>
                </c:pt>
                <c:pt idx="7">
                  <c:v>28/09</c:v>
                </c:pt>
                <c:pt idx="8">
                  <c:v>29/09</c:v>
                </c:pt>
                <c:pt idx="9">
                  <c:v>30/09</c:v>
                </c:pt>
                <c:pt idx="10">
                  <c:v>01/10</c:v>
                </c:pt>
                <c:pt idx="11">
                  <c:v>02/10</c:v>
                </c:pt>
                <c:pt idx="12">
                  <c:v>05/10</c:v>
                </c:pt>
                <c:pt idx="13">
                  <c:v>06/10</c:v>
                </c:pt>
                <c:pt idx="14">
                  <c:v>07/10</c:v>
                </c:pt>
                <c:pt idx="15">
                  <c:v>08/10</c:v>
                </c:pt>
                <c:pt idx="16">
                  <c:v>09/10</c:v>
                </c:pt>
                <c:pt idx="17">
                  <c:v>13/10</c:v>
                </c:pt>
                <c:pt idx="18">
                  <c:v>14/10</c:v>
                </c:pt>
                <c:pt idx="19">
                  <c:v>15/10</c:v>
                </c:pt>
                <c:pt idx="20">
                  <c:v>16/10</c:v>
                </c:pt>
                <c:pt idx="21">
                  <c:v>19/10</c:v>
                </c:pt>
                <c:pt idx="22">
                  <c:v>20/10</c:v>
                </c:pt>
                <c:pt idx="23">
                  <c:v>21/10</c:v>
                </c:pt>
                <c:pt idx="24">
                  <c:v>22/10</c:v>
                </c:pt>
                <c:pt idx="25">
                  <c:v>23/10</c:v>
                </c:pt>
                <c:pt idx="26">
                  <c:v>26/10</c:v>
                </c:pt>
                <c:pt idx="27">
                  <c:v>27/10</c:v>
                </c:pt>
                <c:pt idx="28">
                  <c:v>28/10</c:v>
                </c:pt>
              </c:strCache>
            </c:strRef>
          </c:cat>
          <c:val>
            <c:numRef>
              <c:f>[0]!BoiPrecos</c:f>
              <c:numCache>
                <c:formatCode>#,##0.00</c:formatCode>
                <c:ptCount val="29"/>
                <c:pt idx="0">
                  <c:v>352.55</c:v>
                </c:pt>
                <c:pt idx="1">
                  <c:v>352.9</c:v>
                </c:pt>
                <c:pt idx="2">
                  <c:v>354.65</c:v>
                </c:pt>
                <c:pt idx="3">
                  <c:v>356.1</c:v>
                </c:pt>
                <c:pt idx="4">
                  <c:v>357.4</c:v>
                </c:pt>
                <c:pt idx="5">
                  <c:v>358.2</c:v>
                </c:pt>
                <c:pt idx="6">
                  <c:v>358.8</c:v>
                </c:pt>
                <c:pt idx="7">
                  <c:v>359.95</c:v>
                </c:pt>
                <c:pt idx="8">
                  <c:v>363.05</c:v>
                </c:pt>
                <c:pt idx="9">
                  <c:v>364.3</c:v>
                </c:pt>
                <c:pt idx="10">
                  <c:v>366.5</c:v>
                </c:pt>
                <c:pt idx="11">
                  <c:v>369.9</c:v>
                </c:pt>
                <c:pt idx="12">
                  <c:v>372.95</c:v>
                </c:pt>
                <c:pt idx="13">
                  <c:v>373.25</c:v>
                </c:pt>
                <c:pt idx="14">
                  <c:v>376.1</c:v>
                </c:pt>
                <c:pt idx="15">
                  <c:v>376.3</c:v>
                </c:pt>
                <c:pt idx="16">
                  <c:v>377.8</c:v>
                </c:pt>
                <c:pt idx="17">
                  <c:v>378</c:v>
                </c:pt>
                <c:pt idx="18">
                  <c:v>379.4</c:v>
                </c:pt>
                <c:pt idx="19">
                  <c:v>380.2</c:v>
                </c:pt>
                <c:pt idx="20">
                  <c:v>380.7</c:v>
                </c:pt>
                <c:pt idx="21">
                  <c:v>380.7</c:v>
                </c:pt>
                <c:pt idx="22">
                  <c:v>380.45</c:v>
                </c:pt>
                <c:pt idx="23">
                  <c:v>380.4</c:v>
                </c:pt>
                <c:pt idx="24">
                  <c:v>380.55</c:v>
                </c:pt>
                <c:pt idx="25">
                  <c:v>381.4</c:v>
                </c:pt>
                <c:pt idx="26">
                  <c:v>381.4</c:v>
                </c:pt>
                <c:pt idx="27">
                  <c:v>386.3</c:v>
                </c:pt>
                <c:pt idx="28">
                  <c:v>389.05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0-4227-B065-BAF2C82B2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>
                <a:latin typeface="Arial"/>
                <a:ea typeface="Arial"/>
                <a:cs typeface="Arial"/>
              </a:rPr>
              <a:t>Dólar PTAX (R$/US$)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Dólar PTAX</c:v>
          </c:tx>
          <c:marker>
            <c:symbol val="none"/>
          </c:marker>
          <c:cat>
            <c:strRef>
              <c:f>[0]!DolarDatas</c:f>
              <c:strCache>
                <c:ptCount val="30"/>
                <c:pt idx="0">
                  <c:v>17/09</c:v>
                </c:pt>
                <c:pt idx="1">
                  <c:v>18/09</c:v>
                </c:pt>
                <c:pt idx="2">
                  <c:v>21/09</c:v>
                </c:pt>
                <c:pt idx="3">
                  <c:v>22/09</c:v>
                </c:pt>
                <c:pt idx="4">
                  <c:v>23/09</c:v>
                </c:pt>
                <c:pt idx="5">
                  <c:v>24/09</c:v>
                </c:pt>
                <c:pt idx="6">
                  <c:v>25/09</c:v>
                </c:pt>
                <c:pt idx="7">
                  <c:v>28/09</c:v>
                </c:pt>
                <c:pt idx="8">
                  <c:v>29/09</c:v>
                </c:pt>
                <c:pt idx="9">
                  <c:v>30/09</c:v>
                </c:pt>
                <c:pt idx="10">
                  <c:v>01/10</c:v>
                </c:pt>
                <c:pt idx="11">
                  <c:v>02/10</c:v>
                </c:pt>
                <c:pt idx="12">
                  <c:v>05/10</c:v>
                </c:pt>
                <c:pt idx="13">
                  <c:v>06/10</c:v>
                </c:pt>
                <c:pt idx="14">
                  <c:v>07/10</c:v>
                </c:pt>
                <c:pt idx="15">
                  <c:v>08/10</c:v>
                </c:pt>
                <c:pt idx="16">
                  <c:v>09/10</c:v>
                </c:pt>
                <c:pt idx="17">
                  <c:v>13/10</c:v>
                </c:pt>
                <c:pt idx="18">
                  <c:v>14/10</c:v>
                </c:pt>
                <c:pt idx="19">
                  <c:v>15/10</c:v>
                </c:pt>
                <c:pt idx="20">
                  <c:v>16/10</c:v>
                </c:pt>
                <c:pt idx="21">
                  <c:v>19/10</c:v>
                </c:pt>
                <c:pt idx="22">
                  <c:v>20/10</c:v>
                </c:pt>
                <c:pt idx="23">
                  <c:v>21/10</c:v>
                </c:pt>
                <c:pt idx="24">
                  <c:v>22/10</c:v>
                </c:pt>
                <c:pt idx="25">
                  <c:v>23/10</c:v>
                </c:pt>
                <c:pt idx="26">
                  <c:v>26/10</c:v>
                </c:pt>
                <c:pt idx="27">
                  <c:v>27/10</c:v>
                </c:pt>
                <c:pt idx="28">
                  <c:v>28/10</c:v>
                </c:pt>
                <c:pt idx="29">
                  <c:v>29/10</c:v>
                </c:pt>
              </c:strCache>
            </c:strRef>
          </c:cat>
          <c:val>
            <c:numRef>
              <c:f>[0]!DolarPrecos</c:f>
              <c:numCache>
                <c:formatCode>0.0000</c:formatCode>
                <c:ptCount val="30"/>
                <c:pt idx="0">
                  <c:v>5.1521</c:v>
                </c:pt>
                <c:pt idx="1">
                  <c:v>5.1575</c:v>
                </c:pt>
                <c:pt idx="2">
                  <c:v>5.1117</c:v>
                </c:pt>
                <c:pt idx="3">
                  <c:v>5.1161</c:v>
                </c:pt>
                <c:pt idx="4">
                  <c:v>5.1414</c:v>
                </c:pt>
                <c:pt idx="5">
                  <c:v>5.1795</c:v>
                </c:pt>
                <c:pt idx="6">
                  <c:v>5.1991</c:v>
                </c:pt>
                <c:pt idx="7">
                  <c:v>5.2132</c:v>
                </c:pt>
                <c:pt idx="8">
                  <c:v>5.2204</c:v>
                </c:pt>
                <c:pt idx="9">
                  <c:v>5.1809</c:v>
                </c:pt>
                <c:pt idx="10">
                  <c:v>5.2079</c:v>
                </c:pt>
                <c:pt idx="11">
                  <c:v>5.2238</c:v>
                </c:pt>
                <c:pt idx="12">
                  <c:v>4.9859</c:v>
                </c:pt>
                <c:pt idx="13">
                  <c:v>4.9698</c:v>
                </c:pt>
                <c:pt idx="14">
                  <c:v>4.9935</c:v>
                </c:pt>
                <c:pt idx="15">
                  <c:v>5.0119</c:v>
                </c:pt>
                <c:pt idx="16">
                  <c:v>4.9892</c:v>
                </c:pt>
                <c:pt idx="17">
                  <c:v>5.0096</c:v>
                </c:pt>
                <c:pt idx="18">
                  <c:v>5.0441</c:v>
                </c:pt>
                <c:pt idx="19">
                  <c:v>5.0521</c:v>
                </c:pt>
                <c:pt idx="20">
                  <c:v>5.0826</c:v>
                </c:pt>
                <c:pt idx="21">
                  <c:v>5.0564</c:v>
                </c:pt>
                <c:pt idx="22">
                  <c:v>5.014</c:v>
                </c:pt>
                <c:pt idx="23">
                  <c:v>5.0277</c:v>
                </c:pt>
                <c:pt idx="24">
                  <c:v>5.0383</c:v>
                </c:pt>
                <c:pt idx="25">
                  <c:v>5.0377</c:v>
                </c:pt>
                <c:pt idx="26">
                  <c:v>5.5007</c:v>
                </c:pt>
                <c:pt idx="27">
                  <c:v>5.3346</c:v>
                </c:pt>
                <c:pt idx="28">
                  <c:v>5.342</c:v>
                </c:pt>
                <c:pt idx="29">
                  <c:v>5.3744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0-41B6-BCB3-CFF757B3C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0</xdr:colOff>
      <xdr:row>44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10</xdr:col>
      <xdr:colOff>0</xdr:colOff>
      <xdr:row>44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tacoesAgro" displayName="CotacoesAgro" ref="A7:K1007" totalsRowShown="0">
  <autoFilter ref="A7:K1007" xr:uid="{00000000-0009-0000-0100-000001000000}"/>
  <tableColumns count="11">
    <tableColumn id="1" xr3:uid="{00000000-0010-0000-0000-000001000000}" name="Data da cotação"/>
    <tableColumn id="2" xr3:uid="{00000000-0010-0000-0000-000002000000}" name="Soja_x000a_R$/sc 60 kg"/>
    <tableColumn id="3" xr3:uid="{00000000-0010-0000-0000-000003000000}" name="Milho_x000a_R$/sc 60 kg"/>
    <tableColumn id="4" xr3:uid="{00000000-0010-0000-0000-000004000000}" name="Boi gordo_x000a_R$/@ 15 kg"/>
    <tableColumn id="5" xr3:uid="{00000000-0010-0000-0000-000005000000}" name="Dólar PTAX_x000a_R$/US$ venda"/>
    <tableColumn id="6" xr3:uid="{00000000-0010-0000-0000-000006000000}" name="Soja_x000a_variação %"/>
    <tableColumn id="7" xr3:uid="{00000000-0010-0000-0000-000007000000}" name="Milho_x000a_variação %"/>
    <tableColumn id="8" xr3:uid="{00000000-0010-0000-0000-000008000000}" name="Boi gordo_x000a_variação %"/>
    <tableColumn id="9" xr3:uid="{00000000-0010-0000-0000-000009000000}" name="Dólar_x000a_variação %"/>
    <tableColumn id="10" xr3:uid="{00000000-0010-0000-0000-00000A000000}" name="Observações / fonte"/>
    <tableColumn id="11" xr3:uid="{00000000-0010-0000-0000-00000B000000}" name="Conferênc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epea.org.br/br/indicador/boi-gordo.aspx" TargetMode="External"/><Relationship Id="rId2" Type="http://schemas.openxmlformats.org/officeDocument/2006/relationships/hyperlink" Target="https://cepea.org.br/br/indicador/milho.aspx" TargetMode="External"/><Relationship Id="rId1" Type="http://schemas.openxmlformats.org/officeDocument/2006/relationships/hyperlink" Target="https://cepea.org.br/br/indicador/soja.aspx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ptax.bcb.gov.br/ptax_internet/consultarUltimaCotacaoDolar.d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epea.org.br/br/indicador/boi-gordo.aspx" TargetMode="External"/><Relationship Id="rId2" Type="http://schemas.openxmlformats.org/officeDocument/2006/relationships/hyperlink" Target="https://cepea.org.br/br/indicador/milho.aspx" TargetMode="External"/><Relationship Id="rId1" Type="http://schemas.openxmlformats.org/officeDocument/2006/relationships/hyperlink" Target="https://cepea.org.br/br/indicador/soja.aspx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tax.bcb.gov.br/ptax_internet/consultarUltimaCotacaoDolar.do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ticiasagricolas.com.br/cotacoes/mercado-financeiro/cambio-ptax" TargetMode="External"/><Relationship Id="rId3" Type="http://schemas.openxmlformats.org/officeDocument/2006/relationships/hyperlink" Target="https://cepea.org.br/br/indicador/milho.aspx" TargetMode="External"/><Relationship Id="rId7" Type="http://schemas.openxmlformats.org/officeDocument/2006/relationships/hyperlink" Target="https://ptax.bcb.gov.br/ptax_internet/consultarUltimaCotacaoDolar.do" TargetMode="External"/><Relationship Id="rId2" Type="http://schemas.openxmlformats.org/officeDocument/2006/relationships/hyperlink" Target="https://www.noticiasagricolas.com.br/cotacoes/soja/soja-indicador-cepea-esalq-porto-paranagua" TargetMode="External"/><Relationship Id="rId1" Type="http://schemas.openxmlformats.org/officeDocument/2006/relationships/hyperlink" Target="https://cepea.org.br/br/indicador/soja.aspx" TargetMode="External"/><Relationship Id="rId6" Type="http://schemas.openxmlformats.org/officeDocument/2006/relationships/hyperlink" Target="https://www.noticiasagricolas.com.br/cotacoes/boi-gordo/boi-gordo-indicador-esalq-bmf" TargetMode="External"/><Relationship Id="rId11" Type="http://schemas.openxmlformats.org/officeDocument/2006/relationships/hyperlink" Target="https://ptax.bcb.gov.br/ptax_internet/consultaBoletim.do?method=consultarBoletim" TargetMode="External"/><Relationship Id="rId5" Type="http://schemas.openxmlformats.org/officeDocument/2006/relationships/hyperlink" Target="https://cepea.org.br/br/indicador/boi-gordo.aspx" TargetMode="External"/><Relationship Id="rId10" Type="http://schemas.openxmlformats.org/officeDocument/2006/relationships/hyperlink" Target="https://www.agrolink.com.br/cotacoes/" TargetMode="External"/><Relationship Id="rId4" Type="http://schemas.openxmlformats.org/officeDocument/2006/relationships/hyperlink" Target="https://www.noticiasagricolas.com.br/cotacoes/milho/indicador-cepea-esalq-milho" TargetMode="External"/><Relationship Id="rId9" Type="http://schemas.openxmlformats.org/officeDocument/2006/relationships/hyperlink" Target="https://www.noticiasagricolas.com.br/cotaco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zoomScale="70" zoomScaleNormal="70" workbookViewId="0">
      <selection activeCell="D8" sqref="D8"/>
    </sheetView>
  </sheetViews>
  <sheetFormatPr defaultRowHeight="13.8"/>
  <cols>
    <col min="1" max="1" width="19" customWidth="1"/>
    <col min="2" max="2" width="23" customWidth="1"/>
    <col min="3" max="3" width="15" customWidth="1"/>
    <col min="4" max="4" width="16" customWidth="1"/>
    <col min="5" max="5" width="15" customWidth="1"/>
    <col min="6" max="6" width="16" customWidth="1"/>
    <col min="7" max="7" width="14" customWidth="1"/>
    <col min="8" max="8" width="15" customWidth="1"/>
    <col min="9" max="10" width="14" customWidth="1"/>
  </cols>
  <sheetData>
    <row r="1" spans="1:10" ht="33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22.95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22.9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2.95" customHeight="1">
      <c r="A4" s="5" t="s">
        <v>2</v>
      </c>
      <c r="B4" s="1"/>
      <c r="C4" s="5" t="s">
        <v>3</v>
      </c>
      <c r="D4" s="1"/>
      <c r="E4" s="5" t="s">
        <v>4</v>
      </c>
      <c r="F4" s="1"/>
      <c r="G4" s="5" t="s">
        <v>5</v>
      </c>
      <c r="H4" s="5" t="s">
        <v>6</v>
      </c>
      <c r="I4" s="5" t="s">
        <v>7</v>
      </c>
      <c r="J4" s="1"/>
    </row>
    <row r="5" spans="1:10" ht="22.95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4.950000000000003" customHeight="1">
      <c r="A6" s="6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8" t="s">
        <v>17</v>
      </c>
    </row>
    <row r="7" spans="1:10" ht="40.049999999999997" customHeight="1">
      <c r="A7" s="12" t="s">
        <v>18</v>
      </c>
      <c r="B7" s="11" t="s">
        <v>19</v>
      </c>
      <c r="C7" s="14">
        <f>IF(J7=0,"",_xlfn.MAXIFS(Histórico!$A$8:$A$1007,Histórico!$B$8:$B$1007,"&gt;0"))</f>
        <v>46323</v>
      </c>
      <c r="D7" s="24">
        <f>IF(C7="","",INDEX(Histórico!$B$8:$B$1007,MATCH(C7,Histórico!$A$8:$A$1007,0)))</f>
        <v>157.42</v>
      </c>
      <c r="E7" s="14">
        <f>IF(J7&lt;2,"",_xlfn.MAXIFS(Histórico!$A$8:$A$1007,Histórico!$A$8:$A$1007,"&lt;"&amp;C7,Histórico!$B$8:$B$1007,"&gt;0"))</f>
        <v>46322</v>
      </c>
      <c r="F7" s="16">
        <f>IF(OR(E7="",E7=0),"",INDEX(Histórico!$B$8:$B$1007,MATCH(E7,Histórico!$A$8:$A$1007,0)))</f>
        <v>157.41</v>
      </c>
      <c r="G7" s="19">
        <f>IF(F7="","",D7-F7)</f>
        <v>0.00999999999999091</v>
      </c>
      <c r="H7" s="22">
        <f>IF(F7="","",D7/F7-1)</f>
        <v>6.3528365415122e-05</v>
      </c>
      <c r="I7" s="22">
        <f>IF(J7&lt;2,"",D7/INDEX(Histórico!$B$8:$B$1007,MATCH(_xlfn.MINIFS(Histórico!$A$8:$A$1007,Histórico!$A$8:$A$1007,"&gt;0",Histórico!$B$8:$B$1007,"&gt;0"),Histórico!$A$8:$A$1007,0))-1)</f>
        <v>-0.028391556597951</v>
      </c>
      <c r="J7" s="10">
        <f>COUNTIFS(Histórico!$A$8:$A$1007,"&gt;0",Histórico!$B$8:$B$1007,"&gt;0")</f>
        <v>29</v>
      </c>
    </row>
    <row r="8" spans="1:10" ht="40.049999999999997" customHeight="1">
      <c r="A8" s="13" t="s">
        <v>20</v>
      </c>
      <c r="B8" s="9" t="s">
        <v>21</v>
      </c>
      <c r="C8" s="15">
        <f>IF(J8=0,"",_xlfn.MAXIFS(Histórico!$A$8:$A$1007,Histórico!$C$8:$C$1007,"&gt;0"))</f>
        <v>46323</v>
      </c>
      <c r="D8" s="25">
        <f>IF(C8="","",INDEX(Histórico!$C$8:$C$1007,MATCH(C8,Histórico!$A$8:$A$1007,0)))</f>
        <v>64.73</v>
      </c>
      <c r="E8" s="15">
        <f>IF(J8&lt;2,"",_xlfn.MAXIFS(Histórico!$A$8:$A$1007,Histórico!$A$8:$A$1007,"&lt;"&amp;C8,Histórico!$C$8:$C$1007,"&gt;0"))</f>
        <v>46322</v>
      </c>
      <c r="F8" s="17">
        <f>IF(OR(E8="",E8=0),"",INDEX(Histórico!$C$8:$C$1007,MATCH(E8,Histórico!$A$8:$A$1007,0)))</f>
        <v>64.87</v>
      </c>
      <c r="G8" s="20">
        <f>IF(F8="","",D8-F8)</f>
        <v>-0.140000000000001</v>
      </c>
      <c r="H8" s="23">
        <f>IF(F8="","",D8/F8-1)</f>
        <v>-0.00215816247880374</v>
      </c>
      <c r="I8" s="23">
        <f>IF(J8&lt;2,"",D8/INDEX(Histórico!$C$8:$C$1007,MATCH(_xlfn.MINIFS(Histórico!$A$8:$A$1007,Histórico!$A$8:$A$1007,"&gt;0",Histórico!$C$8:$C$1007,"&gt;0"),Histórico!$A$8:$A$1007,0))-1)</f>
        <v>-0.0652707581227436</v>
      </c>
      <c r="J8" s="1">
        <f>COUNTIFS(Histórico!$A$8:$A$1007,"&gt;0",Histórico!$C$8:$C$1007,"&gt;0")</f>
        <v>29</v>
      </c>
    </row>
    <row r="9" spans="1:10" ht="40.049999999999997" customHeight="1">
      <c r="A9" s="12" t="s">
        <v>22</v>
      </c>
      <c r="B9" s="11" t="s">
        <v>23</v>
      </c>
      <c r="C9" s="14">
        <f>IF(J9=0,"",_xlfn.MAXIFS(Histórico!$A$8:$A$1007,Histórico!$D$8:$D$1007,"&gt;0"))</f>
        <v>46323</v>
      </c>
      <c r="D9" s="24">
        <f>IF(C9="","",INDEX(Histórico!$D$8:$D$1007,MATCH(C9,Histórico!$A$8:$A$1007,0)))</f>
        <v>389.05</v>
      </c>
      <c r="E9" s="14">
        <f>IF(J9&lt;2,"",_xlfn.MAXIFS(Histórico!$A$8:$A$1007,Histórico!$A$8:$A$1007,"&lt;"&amp;C9,Histórico!$D$8:$D$1007,"&gt;0"))</f>
        <v>46322</v>
      </c>
      <c r="F9" s="16">
        <f>IF(OR(E9="",E9=0),"",INDEX(Histórico!$D$8:$D$1007,MATCH(E9,Histórico!$A$8:$A$1007,0)))</f>
        <v>386.3</v>
      </c>
      <c r="G9" s="19">
        <f>IF(F9="","",D9-F9)</f>
        <v>2.75</v>
      </c>
      <c r="H9" s="22">
        <f>IF(F9="","",D9/F9-1)</f>
        <v>0.00711881957028226</v>
      </c>
      <c r="I9" s="22">
        <f>IF(J9&lt;2,"",D9/INDEX(Histórico!$D$8:$D$1007,MATCH(_xlfn.MINIFS(Histórico!$A$8:$A$1007,Histórico!$A$8:$A$1007,"&gt;0",Histórico!$D$8:$D$1007,"&gt;0"),Histórico!$A$8:$A$1007,0))-1)</f>
        <v>0.103531413983832</v>
      </c>
      <c r="J9" s="10">
        <f>COUNTIFS(Histórico!$A$8:$A$1007,"&gt;0",Histórico!$D$8:$D$1007,"&gt;0")</f>
        <v>29</v>
      </c>
    </row>
    <row r="10" spans="1:10" ht="40.049999999999997" customHeight="1">
      <c r="A10" s="13" t="s">
        <v>24</v>
      </c>
      <c r="B10" s="9" t="s">
        <v>25</v>
      </c>
      <c r="C10" s="15">
        <f>IF(J10=0,"",_xlfn.MAXIFS(Histórico!$A$8:$A$1007,Histórico!$E$8:$E$1007,"&gt;0"))</f>
        <v>46324</v>
      </c>
      <c r="D10" s="26">
        <f>IF(C10="","",INDEX(Histórico!$E$8:$E$1007,MATCH(C10,Histórico!$A$8:$A$1007,0)))</f>
        <v>5.3744</v>
      </c>
      <c r="E10" s="15">
        <f>IF(J10&lt;2,"",_xlfn.MAXIFS(Histórico!$A$8:$A$1007,Histórico!$A$8:$A$1007,"&lt;"&amp;C10,Histórico!$E$8:$E$1007,"&gt;0"))</f>
        <v>46323</v>
      </c>
      <c r="F10" s="18">
        <f>IF(OR(E10="",E10=0),"",INDEX(Histórico!$E$8:$E$1007,MATCH(E10,Histórico!$A$8:$A$1007,0)))</f>
        <v>5.342</v>
      </c>
      <c r="G10" s="21">
        <f>IF(F10="","",D10-F10)</f>
        <v>0.0324</v>
      </c>
      <c r="H10" s="23">
        <f>IF(F10="","",D10/F10-1)</f>
        <v>0.00606514414077131</v>
      </c>
      <c r="I10" s="23">
        <f>IF(J10&lt;2,"",D10/INDEX(Histórico!$E$8:$E$1007,MATCH(_xlfn.MINIFS(Histórico!$A$8:$A$1007,Histórico!$A$8:$A$1007,"&gt;0",Histórico!$E$8:$E$1007,"&gt;0"),Histórico!$A$8:$A$1007,0))-1)</f>
        <v>0.0431474544360551</v>
      </c>
      <c r="J10" s="1">
        <f>COUNTIFS(Histórico!$A$8:$A$1007,"&gt;0",Histórico!$E$8:$E$1007,"&gt;0")</f>
        <v>30</v>
      </c>
    </row>
    <row r="11" spans="1:10" ht="22.9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22.95" customHeight="1">
      <c r="A12" s="4" t="s">
        <v>26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2.95" customHeight="1">
      <c r="A13" s="4" t="s">
        <v>27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2.95" customHeight="1">
      <c r="A14" s="4" t="str">
        <f>IF(COUNTIF(Histórico!$K$8:$K$1007,"?*")&gt;0,"Revise as linhas sinalizadas na coluna Conferência do Histórico.","Gráficos: até 30 cotações válidas por produto, em ordem de data.")</f>
        <v>Gráficos: até 30 cotações válidas por produto, em ordem de data.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2.9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2.9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2.9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2.9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2.9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2.9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2.9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2.9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2.9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2.9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2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2.9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2.9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2.9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2.9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22.9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22.9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2.9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22.9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2.9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22.9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2.9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22.9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2.9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2.9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2.9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2.9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2.9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2.9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2.9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22.9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22.95" customHeight="1">
      <c r="A50" s="4" t="s">
        <v>28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22.95" customHeight="1">
      <c r="A51" s="4" t="s">
        <v>29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22.95" customHeight="1">
      <c r="A52" s="4" t="s">
        <v>30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22.9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</sheetData>
  <conditionalFormatting sqref="G7:I10">
    <cfRule type="cellIs" dxfId="4" priority="1" operator="greaterThan">
      <formula>0</formula>
    </cfRule>
    <cfRule type="cellIs" dxfId="3" priority="2" operator="lessThan">
      <formula>0</formula>
    </cfRule>
  </conditionalFormatting>
  <hyperlinks>
    <hyperlink ref="A4" location="'Histórico'!A8" display="Preencher histórico" xr:uid="{00000000-0004-0000-0000-000000000000}"/>
    <hyperlink ref="C4" location="'Fontes e guia'!A1" display="Fontes e instruções" xr:uid="{00000000-0004-0000-0000-000001000000}"/>
    <hyperlink ref="E4" r:id="rId1" xr:uid="{00000000-0004-0000-0000-000002000000}"/>
    <hyperlink ref="G4" r:id="rId2" xr:uid="{00000000-0004-0000-0000-000003000000}"/>
    <hyperlink ref="H4" r:id="rId3" xr:uid="{00000000-0004-0000-0000-000004000000}"/>
    <hyperlink ref="I4" r:id="rId4" xr:uid="{00000000-0004-0000-0000-000005000000}"/>
  </hyperlinks>
  <pageMargins left="0.7" right="0.7" top="0.75" bottom="0.75" header="0.3" footer="0.3"/>
  <pageSetup paperSize="9"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7"/>
  <sheetViews>
    <sheetView showGridLines="0" tabSelected="1" zoomScale="85" zoomScaleNormal="85" workbookViewId="0">
      <pane xSplit="1" ySplit="7" topLeftCell="B16" activePane="bottomRight" state="frozen"/>
      <selection pane="topRight"/>
      <selection pane="bottomLeft"/>
      <selection pane="bottomRight" activeCell="B25" sqref="B25"/>
    </sheetView>
  </sheetViews>
  <sheetFormatPr defaultRowHeight="13.8"/>
  <cols>
    <col min="1" max="1" width="16" customWidth="1"/>
    <col min="2" max="5" width="17" customWidth="1"/>
    <col min="6" max="9" width="15" customWidth="1"/>
    <col min="10" max="10" width="37" customWidth="1"/>
    <col min="11" max="11" width="28" customWidth="1"/>
  </cols>
  <sheetData>
    <row r="1" spans="1:11" ht="33" customHeight="1">
      <c r="A1" s="2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2.95" customHeight="1">
      <c r="A2" s="4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2.95" customHeight="1">
      <c r="A3" s="4" t="s">
        <v>33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2.95" customHeight="1">
      <c r="A4" s="5" t="s">
        <v>34</v>
      </c>
      <c r="B4" s="1"/>
      <c r="C4" s="5" t="s">
        <v>35</v>
      </c>
      <c r="D4" s="1"/>
      <c r="E4" s="5" t="s">
        <v>36</v>
      </c>
      <c r="F4" s="1"/>
      <c r="G4" s="5" t="s">
        <v>37</v>
      </c>
      <c r="H4" s="1"/>
      <c r="I4" s="1"/>
      <c r="J4" s="5" t="s">
        <v>38</v>
      </c>
      <c r="K4" s="1"/>
    </row>
    <row r="5" spans="1:11" ht="22.95" customHeight="1">
      <c r="A5" s="4" t="s">
        <v>39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2.95" customHeight="1">
      <c r="A6" s="4" t="s">
        <v>40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4.950000000000003" customHeight="1">
      <c r="A7" s="6" t="s">
        <v>41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7" t="s">
        <v>47</v>
      </c>
      <c r="H7" s="7" t="s">
        <v>48</v>
      </c>
      <c r="I7" s="7" t="s">
        <v>49</v>
      </c>
      <c r="J7" s="7" t="s">
        <v>50</v>
      </c>
      <c r="K7" s="8" t="s">
        <v>51</v>
      </c>
    </row>
    <row r="8" spans="1:11" ht="22.95" customHeight="1">
      <c r="A8" s="28">
        <v>46282</v>
      </c>
      <c r="B8" s="29">
        <v>162.02000000000001</v>
      </c>
      <c r="C8" s="29">
        <v>69.25</v>
      </c>
      <c r="D8" s="29">
        <v>352.55</v>
      </c>
      <c r="E8" s="30">
        <v>5.1520999999999999</v>
      </c>
      <c r="F8" s="22" t="str">
        <f>""</f>
        <v/>
      </c>
      <c r="G8" s="22" t="str">
        <f>""</f>
        <v/>
      </c>
      <c r="H8" s="22" t="str">
        <f>""</f>
        <v/>
      </c>
      <c r="I8" s="22" t="str">
        <f>""</f>
        <v/>
      </c>
      <c r="J8" s="27" t="s">
        <v>52</v>
      </c>
      <c r="K8" s="1" t="str">
        <f>IF(COUNTA(A8:E8)=0,"",IF(A8="","Preencha a data",IF(NOT(ISNUMBER(A8)),"Data inválida",IF(OR(A8&lt;36526,A8&gt;73050,A8&lt;&gt;INT(A8)),"Data inválida",IF(FALSE,"Data repetida / fora de ordem",IF(COUNTA(B8:E8)&lt;&gt;COUNT(B8:E8),"Use preços numéricos",IF(OR(AND(ISNUMBER(B8),B8&lt;=0),AND(ISNUMBER(C8),C8&lt;=0),AND(ISNUMBER(D8),D8&lt;=0),AND(ISNUMBER(E8),E8&lt;=0)),"Use preços positivos","")))))))</f>
        <v/>
      </c>
    </row>
    <row r="9" spans="1:11" ht="22.95" customHeight="1">
      <c r="A9" s="28">
        <v>46283</v>
      </c>
      <c r="B9" s="29">
        <v>161.88999999999999</v>
      </c>
      <c r="C9" s="29">
        <v>69.290000000000006</v>
      </c>
      <c r="D9" s="29">
        <v>352.9</v>
      </c>
      <c r="E9" s="30">
        <v>5.1574999999999998</v>
      </c>
      <c r="F9" s="22">
        <f>IF(OR($A9="",B9="",B9&lt;=0,Séries!Q8=""),"",B9/Séries!Q8-1)</f>
        <v>-0.000802370077768289</v>
      </c>
      <c r="G9" s="22">
        <f>IF(OR($A9="",C9="",C9&lt;=0,Séries!R8=""),"",C9/Séries!R8-1)</f>
        <v>0.000577617328519908</v>
      </c>
      <c r="H9" s="22">
        <f>IF(OR($A9="",D9="",D9&lt;=0,Séries!S8=""),"",D9/Séries!S8-1)</f>
        <v>0.000992766983406446</v>
      </c>
      <c r="I9" s="22">
        <f>IF(OR($A9="",E9="",E9&lt;=0,Séries!T8=""),"",E9/Séries!T8-1)</f>
        <v>0.00104811630209034</v>
      </c>
      <c r="J9" s="27" t="s">
        <v>52</v>
      </c>
      <c r="K9" s="1" t="str">
        <f>IF(COUNTA(A9:E9)=0,"",IF(A9="","Preencha a data",IF(NOT(ISNUMBER(A9)),"Data inválida",IF(OR(A9&lt;36526,A9&gt;73050,A9&lt;&gt;INT(A9)),"Data inválida",IF(A9&lt;=Séries!U8,"Data repetida / fora de ordem",IF(COUNTA(B9:E9)&lt;&gt;COUNT(B9:E9),"Use preços numéricos",IF(OR(AND(ISNUMBER(B9),B9&lt;=0),AND(ISNUMBER(C9),C9&lt;=0),AND(ISNUMBER(D9),D9&lt;=0),AND(ISNUMBER(E9),E9&lt;=0)),"Use preços positivos","")))))))</f>
        <v/>
      </c>
    </row>
    <row r="10" spans="1:11" ht="22.95" customHeight="1">
      <c r="A10" s="28">
        <v>46286</v>
      </c>
      <c r="B10" s="29">
        <v>161.52000000000001</v>
      </c>
      <c r="C10" s="29">
        <v>69.62</v>
      </c>
      <c r="D10" s="29">
        <v>354.65</v>
      </c>
      <c r="E10" s="30">
        <v>5.1116999999999999</v>
      </c>
      <c r="F10" s="22">
        <f>IF(OR($A10="",B10="",B10&lt;=0,Séries!Q9=""),"",B10/Séries!Q9-1)</f>
        <v>-0.00228550250169857</v>
      </c>
      <c r="G10" s="22">
        <f>IF(OR($A10="",C10="",C10&lt;=0,Séries!R9=""),"",C10/Séries!R9-1)</f>
        <v>0.00476259200461815</v>
      </c>
      <c r="H10" s="22">
        <f>IF(OR($A10="",D10="",D10&lt;=0,Séries!S9=""),"",D10/Séries!S9-1)</f>
        <v>0.00495891187305175</v>
      </c>
      <c r="I10" s="22">
        <f>IF(OR($A10="",E10="",E10&lt;=0,Séries!T9=""),"",E10/Séries!T9-1)</f>
        <v>-0.00888027144934556</v>
      </c>
      <c r="J10" s="27" t="s">
        <v>52</v>
      </c>
      <c r="K10" s="1" t="str">
        <f>IF(COUNTA(A10:E10)=0,"",IF(A10="","Preencha a data",IF(NOT(ISNUMBER(A10)),"Data inválida",IF(OR(A10&lt;36526,A10&gt;73050,A10&lt;&gt;INT(A10)),"Data inválida",IF(A10&lt;=Séries!U9,"Data repetida / fora de ordem",IF(COUNTA(B10:E10)&lt;&gt;COUNT(B10:E10),"Use preços numéricos",IF(OR(AND(ISNUMBER(B10),B10&lt;=0),AND(ISNUMBER(C10),C10&lt;=0),AND(ISNUMBER(D10),D10&lt;=0),AND(ISNUMBER(E10),E10&lt;=0)),"Use preços positivos","")))))))</f>
        <v/>
      </c>
    </row>
    <row r="11" spans="1:11" ht="22.95" customHeight="1">
      <c r="A11" s="28">
        <v>46287</v>
      </c>
      <c r="B11" s="29">
        <v>161.93</v>
      </c>
      <c r="C11" s="29">
        <v>69.739999999999995</v>
      </c>
      <c r="D11" s="29">
        <v>356.1</v>
      </c>
      <c r="E11" s="30">
        <v>5.1161000000000003</v>
      </c>
      <c r="F11" s="22">
        <f>IF(OR($A11="",B11="",B11&lt;=0,Séries!Q10=""),"",B11/Séries!Q10-1)</f>
        <v>0.00253838533927686</v>
      </c>
      <c r="G11" s="22">
        <f>IF(OR($A11="",C11="",C11&lt;=0,Séries!R10=""),"",C11/Séries!R10-1)</f>
        <v>0.00172364263142755</v>
      </c>
      <c r="H11" s="22">
        <f>IF(OR($A11="",D11="",D11&lt;=0,Séries!S10=""),"",D11/Séries!S10-1)</f>
        <v>0.0040885379952067</v>
      </c>
      <c r="I11" s="22">
        <f>IF(OR($A11="",E11="",E11&lt;=0,Séries!T10=""),"",E11/Séries!T10-1)</f>
        <v>0.000860770389498722</v>
      </c>
      <c r="J11" s="27" t="s">
        <v>52</v>
      </c>
      <c r="K11" s="1" t="str">
        <f>IF(COUNTA(A11:E11)=0,"",IF(A11="","Preencha a data",IF(NOT(ISNUMBER(A11)),"Data inválida",IF(OR(A11&lt;36526,A11&gt;73050,A11&lt;&gt;INT(A11)),"Data inválida",IF(A11&lt;=Séries!U10,"Data repetida / fora de ordem",IF(COUNTA(B11:E11)&lt;&gt;COUNT(B11:E11),"Use preços numéricos",IF(OR(AND(ISNUMBER(B11),B11&lt;=0),AND(ISNUMBER(C11),C11&lt;=0),AND(ISNUMBER(D11),D11&lt;=0),AND(ISNUMBER(E11),E11&lt;=0)),"Use preços positivos","")))))))</f>
        <v/>
      </c>
    </row>
    <row r="12" spans="1:11" ht="22.95" customHeight="1">
      <c r="A12" s="28">
        <v>46288</v>
      </c>
      <c r="B12" s="29">
        <v>161.65</v>
      </c>
      <c r="C12" s="29">
        <v>69.819999999999993</v>
      </c>
      <c r="D12" s="29">
        <v>357.4</v>
      </c>
      <c r="E12" s="30">
        <v>5.1414</v>
      </c>
      <c r="F12" s="22">
        <f>IF(OR($A12="",B12="",B12&lt;=0,Séries!Q11=""),"",B12/Séries!Q11-1)</f>
        <v>-0.00172914222194775</v>
      </c>
      <c r="G12" s="22">
        <f>IF(OR($A12="",C12="",C12&lt;=0,Séries!R11=""),"",C12/Séries!R11-1)</f>
        <v>0.00114711786636068</v>
      </c>
      <c r="H12" s="22">
        <f>IF(OR($A12="",D12="",D12&lt;=0,Séries!S11=""),"",D12/Séries!S11-1)</f>
        <v>0.00365065992698677</v>
      </c>
      <c r="I12" s="22">
        <f>IF(OR($A12="",E12="",E12&lt;=0,Séries!T11=""),"",E12/Séries!T11-1)</f>
        <v>0.00494517308105769</v>
      </c>
      <c r="J12" s="27" t="s">
        <v>52</v>
      </c>
      <c r="K12" s="1" t="str">
        <f>IF(COUNTA(A12:E12)=0,"",IF(A12="","Preencha a data",IF(NOT(ISNUMBER(A12)),"Data inválida",IF(OR(A12&lt;36526,A12&gt;73050,A12&lt;&gt;INT(A12)),"Data inválida",IF(A12&lt;=Séries!U11,"Data repetida / fora de ordem",IF(COUNTA(B12:E12)&lt;&gt;COUNT(B12:E12),"Use preços numéricos",IF(OR(AND(ISNUMBER(B12),B12&lt;=0),AND(ISNUMBER(C12),C12&lt;=0),AND(ISNUMBER(D12),D12&lt;=0),AND(ISNUMBER(E12),E12&lt;=0)),"Use preços positivos","")))))))</f>
        <v/>
      </c>
    </row>
    <row r="13" spans="1:11" ht="22.95" customHeight="1">
      <c r="A13" s="28">
        <v>46289</v>
      </c>
      <c r="B13" s="29">
        <v>161.84</v>
      </c>
      <c r="C13" s="29">
        <v>69.81</v>
      </c>
      <c r="D13" s="29">
        <v>358.2</v>
      </c>
      <c r="E13" s="30">
        <v>5.1795</v>
      </c>
      <c r="F13" s="22">
        <f>IF(OR($A13="",B13="",B13&lt;=0,Séries!Q12=""),"",B13/Séries!Q12-1)</f>
        <v>0.00117537890504171</v>
      </c>
      <c r="G13" s="22">
        <f>IF(OR($A13="",C13="",C13&lt;=0,Séries!R12=""),"",C13/Séries!R12-1)</f>
        <v>-0.000143225436837424</v>
      </c>
      <c r="H13" s="22">
        <f>IF(OR($A13="",D13="",D13&lt;=0,Séries!S12=""),"",D13/Séries!S12-1)</f>
        <v>0.00223838836038048</v>
      </c>
      <c r="I13" s="22">
        <f>IF(OR($A13="",E13="",E13&lt;=0,Séries!T12=""),"",E13/Séries!T12-1)</f>
        <v>0.0074104329560043</v>
      </c>
      <c r="J13" s="27" t="s">
        <v>52</v>
      </c>
      <c r="K13" s="1" t="str">
        <f>IF(COUNTA(A13:E13)=0,"",IF(A13="","Preencha a data",IF(NOT(ISNUMBER(A13)),"Data inválida",IF(OR(A13&lt;36526,A13&gt;73050,A13&lt;&gt;INT(A13)),"Data inválida",IF(A13&lt;=Séries!U12,"Data repetida / fora de ordem",IF(COUNTA(B13:E13)&lt;&gt;COUNT(B13:E13),"Use preços numéricos",IF(OR(AND(ISNUMBER(B13),B13&lt;=0),AND(ISNUMBER(C13),C13&lt;=0),AND(ISNUMBER(D13),D13&lt;=0),AND(ISNUMBER(E13),E13&lt;=0)),"Use preços positivos","")))))))</f>
        <v/>
      </c>
    </row>
    <row r="14" spans="1:11" ht="22.95" customHeight="1">
      <c r="A14" s="28">
        <v>46290</v>
      </c>
      <c r="B14" s="29">
        <v>161</v>
      </c>
      <c r="C14" s="29">
        <v>69.650000000000006</v>
      </c>
      <c r="D14" s="29">
        <v>358.8</v>
      </c>
      <c r="E14" s="30">
        <v>5.1990999999999996</v>
      </c>
      <c r="F14" s="22">
        <f>IF(OR($A14="",B14="",B14&lt;=0,Séries!Q13=""),"",B14/Séries!Q13-1)</f>
        <v>-0.00519031141868509</v>
      </c>
      <c r="G14" s="22">
        <f>IF(OR($A14="",C14="",C14&lt;=0,Séries!R13=""),"",C14/Séries!R13-1)</f>
        <v>-0.00229193525282911</v>
      </c>
      <c r="H14" s="22">
        <f>IF(OR($A14="",D14="",D14&lt;=0,Séries!S13=""),"",D14/Séries!S13-1)</f>
        <v>0.00167504187604695</v>
      </c>
      <c r="I14" s="22">
        <f>IF(OR($A14="",E14="",E14&lt;=0,Séries!T13=""),"",E14/Séries!T13-1)</f>
        <v>0.00378414904913593</v>
      </c>
      <c r="J14" s="27" t="s">
        <v>52</v>
      </c>
      <c r="K14" s="1" t="str">
        <f>IF(COUNTA(A14:E14)=0,"",IF(A14="","Preencha a data",IF(NOT(ISNUMBER(A14)),"Data inválida",IF(OR(A14&lt;36526,A14&gt;73050,A14&lt;&gt;INT(A14)),"Data inválida",IF(A14&lt;=Séries!U13,"Data repetida / fora de ordem",IF(COUNTA(B14:E14)&lt;&gt;COUNT(B14:E14),"Use preços numéricos",IF(OR(AND(ISNUMBER(B14),B14&lt;=0),AND(ISNUMBER(C14),C14&lt;=0),AND(ISNUMBER(D14),D14&lt;=0),AND(ISNUMBER(E14),E14&lt;=0)),"Use preços positivos","")))))))</f>
        <v/>
      </c>
    </row>
    <row r="15" spans="1:11" ht="22.95" customHeight="1">
      <c r="A15" s="28">
        <v>46293</v>
      </c>
      <c r="B15" s="29">
        <v>160.43</v>
      </c>
      <c r="C15" s="29">
        <v>69.48</v>
      </c>
      <c r="D15" s="29">
        <v>359.95</v>
      </c>
      <c r="E15" s="30">
        <v>5.2132</v>
      </c>
      <c r="F15" s="22">
        <f>IF(OR($A15="",B15="",B15&lt;=0,Séries!Q14=""),"",B15/Séries!Q14-1)</f>
        <v>-0.00354037267080742</v>
      </c>
      <c r="G15" s="22">
        <f>IF(OR($A15="",C15="",C15&lt;=0,Séries!R14=""),"",C15/Séries!R14-1)</f>
        <v>-0.0024407753050969</v>
      </c>
      <c r="H15" s="22">
        <f>IF(OR($A15="",D15="",D15&lt;=0,Séries!S14=""),"",D15/Séries!S14-1)</f>
        <v>0.00320512820512819</v>
      </c>
      <c r="I15" s="22">
        <f>IF(OR($A15="",E15="",E15&lt;=0,Séries!T14=""),"",E15/Séries!T14-1)</f>
        <v>0.00271200784751202</v>
      </c>
      <c r="J15" s="27" t="inlineStr">
        <is>
          <t xml:space="preserve">CEPEA/ESALQ via Notícias Agrícolas (S1–S3); PTAX venda BCB/Olinda (S4); corrigido: dólar era 5.22; consulta 28/10/2026</t>
        </is>
      </c>
      <c r="K15" s="1" t="str">
        <f>IF(COUNTA(A15:E15)=0,"",IF(A15="","Preencha a data",IF(NOT(ISNUMBER(A15)),"Data inválida",IF(OR(A15&lt;36526,A15&gt;73050,A15&lt;&gt;INT(A15)),"Data inválida",IF(A15&lt;=Séries!U14,"Data repetida / fora de ordem",IF(COUNTA(B15:E15)&lt;&gt;COUNT(B15:E15),"Use preços numéricos",IF(OR(AND(ISNUMBER(B15),B15&lt;=0),AND(ISNUMBER(C15),C15&lt;=0),AND(ISNUMBER(D15),D15&lt;=0),AND(ISNUMBER(E15),E15&lt;=0)),"Use preços positivos","")))))))</f>
        <v/>
      </c>
    </row>
    <row r="16" spans="1:11" ht="22.95" customHeight="1">
      <c r="A16" s="28">
        <v>46294</v>
      </c>
      <c r="B16" s="29">
        <v>161.27000000000001</v>
      </c>
      <c r="C16" s="29">
        <v>69.2</v>
      </c>
      <c r="D16" s="29">
        <v>363.05</v>
      </c>
      <c r="E16" s="30">
        <v>5.2204</v>
      </c>
      <c r="F16" s="22">
        <f>IF(OR($A16="",B16="",B16&lt;=0,Séries!Q15=""),"",B16/Séries!Q15-1)</f>
        <v>0.00523592844231136</v>
      </c>
      <c r="G16" s="22">
        <f>IF(OR($A16="",C16="",C16&lt;=0,Séries!R15=""),"",C16/Séries!R15-1)</f>
        <v>-0.00402993667242368</v>
      </c>
      <c r="H16" s="22">
        <f>IF(OR($A16="",D16="",D16&lt;=0,Séries!S15=""),"",D16/Séries!S15-1)</f>
        <v>0.00861230726489803</v>
      </c>
      <c r="I16" s="22">
        <f>IF(OR($A16="",E16="",E16&lt;=0,Séries!T15=""),"",E16/Séries!T15-1)</f>
        <v>0.00138110949129144</v>
      </c>
      <c r="J16" s="27" t="inlineStr">
        <is>
          <t xml:space="preserve">CEPEA/ESALQ via Notícias Agrícolas (S1–S3); PTAX venda BCB/Olinda (S4); corrigido: dólar era 5.2166; consulta 28/10/2026</t>
        </is>
      </c>
      <c r="K16" s="1" t="str">
        <f>IF(COUNTA(A16:E16)=0,"",IF(A16="","Preencha a data",IF(NOT(ISNUMBER(A16)),"Data inválida",IF(OR(A16&lt;36526,A16&gt;73050,A16&lt;&gt;INT(A16)),"Data inválida",IF(A16&lt;=Séries!U15,"Data repetida / fora de ordem",IF(COUNTA(B16:E16)&lt;&gt;COUNT(B16:E16),"Use preços numéricos",IF(OR(AND(ISNUMBER(B16),B16&lt;=0),AND(ISNUMBER(C16),C16&lt;=0),AND(ISNUMBER(D16),D16&lt;=0),AND(ISNUMBER(E16),E16&lt;=0)),"Use preços positivos","")))))))</f>
        <v/>
      </c>
    </row>
    <row r="17" spans="1:11" ht="22.95" customHeight="1">
      <c r="A17" s="28">
        <v>46295</v>
      </c>
      <c r="B17" s="29">
        <v>161.56</v>
      </c>
      <c r="C17" s="29">
        <v>68.67</v>
      </c>
      <c r="D17" s="29">
        <v>364.3</v>
      </c>
      <c r="E17" s="30">
        <v>5.1809</v>
      </c>
      <c r="F17" s="22">
        <f>IF(OR($A17="",B17="",B17&lt;=0,Séries!Q16=""),"",B17/Séries!Q16-1)</f>
        <v>0.0017982265765486</v>
      </c>
      <c r="G17" s="22">
        <f>IF(OR($A17="",C17="",C17&lt;=0,Séries!R16=""),"",C17/Séries!R16-1)</f>
        <v>-0.00765895953757223</v>
      </c>
      <c r="H17" s="22">
        <f>IF(OR($A17="",D17="",D17&lt;=0,Séries!S16=""),"",D17/Séries!S16-1)</f>
        <v>0.00344305192122296</v>
      </c>
      <c r="I17" s="22">
        <f>IF(OR($A17="",E17="",E17&lt;=0,Séries!T16=""),"",E17/Séries!T16-1)</f>
        <v>-0.0075664700022986</v>
      </c>
      <c r="J17" s="27" t="inlineStr">
        <is>
          <t xml:space="preserve">CEPEA/ESALQ via Notícias Agrícolas (S1–S3); PTAX venda BCB/Olinda (S4); corrigido: dólar era 5.1743; consulta 28/10/2026</t>
        </is>
      </c>
      <c r="K17" s="1" t="str">
        <f>IF(COUNTA(A17:E17)=0,"",IF(A17="","Preencha a data",IF(NOT(ISNUMBER(A17)),"Data inválida",IF(OR(A17&lt;36526,A17&gt;73050,A17&lt;&gt;INT(A17)),"Data inválida",IF(A17&lt;=Séries!U16,"Data repetida / fora de ordem",IF(COUNTA(B17:E17)&lt;&gt;COUNT(B17:E17),"Use preços numéricos",IF(OR(AND(ISNUMBER(B17),B17&lt;=0),AND(ISNUMBER(C17),C17&lt;=0),AND(ISNUMBER(D17),D17&lt;=0),AND(ISNUMBER(E17),E17&lt;=0)),"Use preços positivos","")))))))</f>
        <v/>
      </c>
    </row>
    <row r="18" spans="1:11" ht="22.95" customHeight="1">
      <c r="A18" s="28">
        <v>46296</v>
      </c>
      <c r="B18" s="29">
        <v>160.9</v>
      </c>
      <c r="C18" s="29">
        <v>68.58</v>
      </c>
      <c r="D18" s="29">
        <v>366.5</v>
      </c>
      <c r="E18" s="30">
        <v>5.2079</v>
      </c>
      <c r="F18" s="22">
        <f>IF(OR($A18="",B18="",B18&lt;=0,Séries!Q17=""),"",B18/Séries!Q17-1)</f>
        <v>-0.00408516959643479</v>
      </c>
      <c r="G18" s="22">
        <f>IF(OR($A18="",C18="",C18&lt;=0,Séries!R17=""),"",C18/Séries!R17-1)</f>
        <v>-0.0013106159895151</v>
      </c>
      <c r="H18" s="22">
        <f>IF(OR($A18="",D18="",D18&lt;=0,Séries!S17=""),"",D18/Séries!S17-1)</f>
        <v>0.00603897886357396</v>
      </c>
      <c r="I18" s="22">
        <f>IF(OR($A18="",E18="",E18&lt;=0,Séries!T17=""),"",E18/Séries!T17-1)</f>
        <v>0.00521144974811327</v>
      </c>
      <c r="J18" s="27" t="inlineStr">
        <is>
          <t xml:space="preserve">CEPEA/ESALQ via Notícias Agrícolas (S1–S3); PTAX venda BCB/Olinda (S4); corrigido: dólar era 5.2073; consulta 28/10/2026</t>
        </is>
      </c>
      <c r="K18" s="1" t="str">
        <f>IF(COUNTA(A18:E18)=0,"",IF(A18="","Preencha a data",IF(NOT(ISNUMBER(A18)),"Data inválida",IF(OR(A18&lt;36526,A18&gt;73050,A18&lt;&gt;INT(A18)),"Data inválida",IF(A18&lt;=Séries!U17,"Data repetida / fora de ordem",IF(COUNTA(B18:E18)&lt;&gt;COUNT(B18:E18),"Use preços numéricos",IF(OR(AND(ISNUMBER(B18),B18&lt;=0),AND(ISNUMBER(C18),C18&lt;=0),AND(ISNUMBER(D18),D18&lt;=0),AND(ISNUMBER(E18),E18&lt;=0)),"Use preços positivos","")))))))</f>
        <v/>
      </c>
    </row>
    <row r="19" spans="1:11" ht="22.95" customHeight="1">
      <c r="A19" s="28">
        <v>46297</v>
      </c>
      <c r="B19" s="29">
        <v>159.94</v>
      </c>
      <c r="C19" s="29">
        <v>68.53</v>
      </c>
      <c r="D19" s="29">
        <v>369.9</v>
      </c>
      <c r="E19" s="30">
        <v>5.2238</v>
      </c>
      <c r="F19" s="22">
        <f>IF(OR($A19="",B19="",B19&lt;=0,Séries!Q18=""),"",B19/Séries!Q18-1)</f>
        <v>-0.0059664387818521</v>
      </c>
      <c r="G19" s="22">
        <f>IF(OR($A19="",C19="",C19&lt;=0,Séries!R18=""),"",C19/Séries!R18-1)</f>
        <v>-0.000729075532225121</v>
      </c>
      <c r="H19" s="22">
        <f>IF(OR($A19="",D19="",D19&lt;=0,Séries!S18=""),"",D19/Séries!S18-1)</f>
        <v>0.00927694406548429</v>
      </c>
      <c r="I19" s="22">
        <f>IF(OR($A19="",E19="",E19&lt;=0,Séries!T18=""),"",E19/Séries!T18-1)</f>
        <v>0.00305305401409384</v>
      </c>
      <c r="J19" s="27" t="inlineStr">
        <is>
          <t xml:space="preserve">CEPEA/ESALQ via Notícias Agrícolas (S1–S3); PTAX venda BCB/Olinda (S4); corrigido: dólar era 5.2232; consulta 28/10/2026</t>
        </is>
      </c>
      <c r="K19" s="1" t="str">
        <f>IF(COUNTA(A19:E19)=0,"",IF(A19="","Preencha a data",IF(NOT(ISNUMBER(A19)),"Data inválida",IF(OR(A19&lt;36526,A19&gt;73050,A19&lt;&gt;INT(A19)),"Data inválida",IF(A19&lt;=Séries!U18,"Data repetida / fora de ordem",IF(COUNTA(B19:E19)&lt;&gt;COUNT(B19:E19),"Use preços numéricos",IF(OR(AND(ISNUMBER(B19),B19&lt;=0),AND(ISNUMBER(C19),C19&lt;=0),AND(ISNUMBER(D19),D19&lt;=0),AND(ISNUMBER(E19),E19&lt;=0)),"Use preços positivos","")))))))</f>
        <v/>
      </c>
    </row>
    <row r="20" spans="1:11" ht="22.95" customHeight="1">
      <c r="A20" s="28">
        <v>46300</v>
      </c>
      <c r="B20" s="29">
        <v>158.09</v>
      </c>
      <c r="C20" s="29">
        <v>67.260000000000005</v>
      </c>
      <c r="D20" s="29">
        <v>372.95</v>
      </c>
      <c r="E20" s="30">
        <v>4.9859</v>
      </c>
      <c r="F20" s="22">
        <f>IF(OR($A20="",B20="",B20&lt;=0,Séries!Q19=""),"",B20/Séries!Q19-1)</f>
        <v>-0.0115668375640865</v>
      </c>
      <c r="G20" s="22">
        <f>IF(OR($A20="",C20="",C20&lt;=0,Séries!R19=""),"",C20/Séries!R19-1)</f>
        <v>-0.0185320297679847</v>
      </c>
      <c r="H20" s="22">
        <f>IF(OR($A20="",D20="",D20&lt;=0,Séries!S19=""),"",D20/Séries!S19-1)</f>
        <v>0.00824547174912138</v>
      </c>
      <c r="I20" s="22">
        <f>IF(OR($A20="",E20="",E20&lt;=0,Séries!T19=""),"",E20/Séries!T19-1)</f>
        <v>-0.0455415597840652</v>
      </c>
      <c r="J20" s="27" t="inlineStr">
        <is>
          <t xml:space="preserve">CEPEA/ESALQ via Notícias Agrícolas (S1–S3); PTAX venda BCB/Olinda (S4); corrigido: dólar era 4.9853; consulta 28/10/2026</t>
        </is>
      </c>
      <c r="K20" s="1" t="str">
        <f>IF(COUNTA(A20:E20)=0,"",IF(A20="","Preencha a data",IF(NOT(ISNUMBER(A20)),"Data inválida",IF(OR(A20&lt;36526,A20&gt;73050,A20&lt;&gt;INT(A20)),"Data inválida",IF(A20&lt;=Séries!U19,"Data repetida / fora de ordem",IF(COUNTA(B20:E20)&lt;&gt;COUNT(B20:E20),"Use preços numéricos",IF(OR(AND(ISNUMBER(B20),B20&lt;=0),AND(ISNUMBER(C20),C20&lt;=0),AND(ISNUMBER(D20),D20&lt;=0),AND(ISNUMBER(E20),E20&lt;=0)),"Use preços positivos","")))))))</f>
        <v/>
      </c>
    </row>
    <row r="21" spans="1:11" ht="22.95" customHeight="1">
      <c r="A21" s="28">
        <v>46301</v>
      </c>
      <c r="B21" s="29">
        <v>155.66999999999999</v>
      </c>
      <c r="C21" s="29">
        <v>67.23</v>
      </c>
      <c r="D21" s="29">
        <v>373.25</v>
      </c>
      <c r="E21" s="30">
        <v>4.9698</v>
      </c>
      <c r="F21" s="22">
        <f>IF(OR($A21="",B21="",B21&lt;=0,Séries!Q20=""),"",B21/Séries!Q20-1)</f>
        <v>-0.0153077360996902</v>
      </c>
      <c r="G21" s="22">
        <f>IF(OR($A21="",C21="",C21&lt;=0,Séries!R20=""),"",C21/Séries!R20-1)</f>
        <v>-0.000446030330062408</v>
      </c>
      <c r="H21" s="22">
        <f>IF(OR($A21="",D21="",D21&lt;=0,Séries!S20=""),"",D21/Séries!S20-1)</f>
        <v>0.000804397372301979</v>
      </c>
      <c r="I21" s="22">
        <f>IF(OR($A21="",E21="",E21&lt;=0,Séries!T20=""),"",E21/Séries!T20-1)</f>
        <v>-0.00322910607914317</v>
      </c>
      <c r="J21" s="27" t="inlineStr">
        <is>
          <t xml:space="preserve">CEPEA/ESALQ via Notícias Agrícolas (S1–S3); PTAX venda BCB/Olinda (S4); corrigido: dólar era 4.9692; consulta 28/10/2026</t>
        </is>
      </c>
      <c r="K21" s="1" t="str">
        <f>IF(COUNTA(A21:E21)=0,"",IF(A21="","Preencha a data",IF(NOT(ISNUMBER(A21)),"Data inválida",IF(OR(A21&lt;36526,A21&gt;73050,A21&lt;&gt;INT(A21)),"Data inválida",IF(A21&lt;=Séries!U20,"Data repetida / fora de ordem",IF(COUNTA(B21:E21)&lt;&gt;COUNT(B21:E21),"Use preços numéricos",IF(OR(AND(ISNUMBER(B21),B21&lt;=0),AND(ISNUMBER(C21),C21&lt;=0),AND(ISNUMBER(D21),D21&lt;=0),AND(ISNUMBER(E21),E21&lt;=0)),"Use preços positivos","")))))))</f>
        <v/>
      </c>
    </row>
    <row r="22" spans="1:11" ht="22.95" customHeight="1">
      <c r="A22" s="28">
        <v>46302</v>
      </c>
      <c r="B22" s="29">
        <v>153.9</v>
      </c>
      <c r="C22" s="29">
        <v>67.239999999999995</v>
      </c>
      <c r="D22" s="29">
        <v>376.1</v>
      </c>
      <c r="E22" s="30">
        <v>4.9935</v>
      </c>
      <c r="F22" s="22">
        <f>IF(OR($A22="",B22="",B22&lt;=0,Séries!Q21=""),"",B22/Séries!Q21-1)</f>
        <v>-0.0113702062054345</v>
      </c>
      <c r="G22" s="22">
        <f>IF(OR($A22="",C22="",C22&lt;=0,Séries!R21=""),"",C22/Séries!R21-1)</f>
        <v>0.000148743120630623</v>
      </c>
      <c r="H22" s="22">
        <f>IF(OR($A22="",D22="",D22&lt;=0,Séries!S21=""),"",D22/Séries!S21-1)</f>
        <v>0.00763563295378433</v>
      </c>
      <c r="I22" s="22">
        <f>IF(OR($A22="",E22="",E22&lt;=0,Séries!T21=""),"",E22/Séries!T21-1)</f>
        <v>0.00476880357358445</v>
      </c>
      <c r="J22" s="27" t="inlineStr">
        <is>
          <t xml:space="preserve">CEPEA/ESALQ via Notícias Agrícolas (S1–S3); PTAX venda BCB/Olinda (S4); corrigido: dólar era 4.9929; consulta 28/10/2026</t>
        </is>
      </c>
      <c r="K22" s="1" t="str">
        <f>IF(COUNTA(A22:E22)=0,"",IF(A22="","Preencha a data",IF(NOT(ISNUMBER(A22)),"Data inválida",IF(OR(A22&lt;36526,A22&gt;73050,A22&lt;&gt;INT(A22)),"Data inválida",IF(A22&lt;=Séries!U21,"Data repetida / fora de ordem",IF(COUNTA(B22:E22)&lt;&gt;COUNT(B22:E22),"Use preços numéricos",IF(OR(AND(ISNUMBER(B22),B22&lt;=0),AND(ISNUMBER(C22),C22&lt;=0),AND(ISNUMBER(D22),D22&lt;=0),AND(ISNUMBER(E22),E22&lt;=0)),"Use preços positivos","")))))))</f>
        <v/>
      </c>
    </row>
    <row r="23" spans="1:11" ht="22.95" customHeight="1">
      <c r="A23" s="28">
        <v>46303</v>
      </c>
      <c r="B23" s="29">
        <v>154.91</v>
      </c>
      <c r="C23" s="29">
        <v>67.180000000000007</v>
      </c>
      <c r="D23" s="29">
        <v>376.3</v>
      </c>
      <c r="E23" s="30">
        <v>5.0119</v>
      </c>
      <c r="F23" s="22">
        <f>IF(OR($A23="",B23="",B23&lt;=0,Séries!Q22=""),"",B23/Séries!Q22-1)</f>
        <v>0.00656270305393103</v>
      </c>
      <c r="G23" s="22">
        <f>IF(OR($A23="",C23="",C23&lt;=0,Séries!R22=""),"",C23/Séries!R22-1)</f>
        <v>-0.000892325996430521</v>
      </c>
      <c r="H23" s="22">
        <f>IF(OR($A23="",D23="",D23&lt;=0,Séries!S22=""),"",D23/Séries!S22-1)</f>
        <v>0.00053177346450406</v>
      </c>
      <c r="I23" s="22">
        <f>IF(OR($A23="",E23="",E23&lt;=0,Séries!T22=""),"",E23/Séries!T22-1)</f>
        <v>0.0036847902272954</v>
      </c>
      <c r="J23" s="27" t="inlineStr">
        <is>
          <t xml:space="preserve">CEPEA/ESALQ via Notícias Agrícolas (S1–S3); PTAX venda BCB/Olinda (S4); corrigido: dólar era 5.0113; consulta 28/10/2026</t>
        </is>
      </c>
      <c r="K23" s="1" t="str">
        <f>IF(COUNTA(A23:E23)=0,"",IF(A23="","Preencha a data",IF(NOT(ISNUMBER(A23)),"Data inválida",IF(OR(A23&lt;36526,A23&gt;73050,A23&lt;&gt;INT(A23)),"Data inválida",IF(A23&lt;=Séries!U22,"Data repetida / fora de ordem",IF(COUNTA(B23:E23)&lt;&gt;COUNT(B23:E23),"Use preços numéricos",IF(OR(AND(ISNUMBER(B23),B23&lt;=0),AND(ISNUMBER(C23),C23&lt;=0),AND(ISNUMBER(D23),D23&lt;=0),AND(ISNUMBER(E23),E23&lt;=0)),"Use preços positivos","")))))))</f>
        <v/>
      </c>
    </row>
    <row r="24" spans="1:11" ht="22.95" customHeight="1">
      <c r="A24" s="28">
        <v>46304</v>
      </c>
      <c r="B24" s="29">
        <v>154.75</v>
      </c>
      <c r="C24" s="29">
        <v>67.35</v>
      </c>
      <c r="D24" s="29">
        <v>377.8</v>
      </c>
      <c r="E24" s="30">
        <v>4.9892</v>
      </c>
      <c r="F24" s="22">
        <f>IF(OR($A24="",B24="",B24&lt;=0,Séries!Q23=""),"",B24/Séries!Q23-1)</f>
        <v>-0.00103285778839324</v>
      </c>
      <c r="G24" s="22">
        <f>IF(OR($A24="",C24="",C24&lt;=0,Séries!R23=""),"",C24/Séries!R23-1)</f>
        <v>0.00253051503423629</v>
      </c>
      <c r="H24" s="22">
        <f>IF(OR($A24="",D24="",D24&lt;=0,Séries!S23=""),"",D24/Séries!S23-1)</f>
        <v>0.00398618123837369</v>
      </c>
      <c r="I24" s="22">
        <f>IF(OR($A24="",E24="",E24&lt;=0,Séries!T23=""),"",E24/Séries!T23-1)</f>
        <v>-0.00452922045531623</v>
      </c>
      <c r="J24" s="27" t="inlineStr">
        <is>
          <t xml:space="preserve">CEPEA/ESALQ via Notícias Agrícolas (S1–S3); PTAX venda BCB/Olinda (S4); consulta 28/10/2026</t>
        </is>
      </c>
      <c r="K24" s="1" t="str">
        <f>IF(COUNTA(A24:E24)=0,"",IF(A24="","Preencha a data",IF(NOT(ISNUMBER(A24)),"Data inválida",IF(OR(A24&lt;36526,A24&gt;73050,A24&lt;&gt;INT(A24)),"Data inválida",IF(A24&lt;=Séries!U23,"Data repetida / fora de ordem",IF(COUNTA(B24:E24)&lt;&gt;COUNT(B24:E24),"Use preços numéricos",IF(OR(AND(ISNUMBER(B24),B24&lt;=0),AND(ISNUMBER(C24),C24&lt;=0),AND(ISNUMBER(D24),D24&lt;=0),AND(ISNUMBER(E24),E24&lt;=0)),"Use preços positivos","")))))))</f>
        <v/>
      </c>
    </row>
    <row r="25" spans="1:11" ht="22.95" customHeight="1">
      <c r="A25" s="28">
        <v>46308</v>
      </c>
      <c r="B25" s="29">
        <v>154.15</v>
      </c>
      <c r="C25" s="29">
        <v>65.59</v>
      </c>
      <c r="D25" s="29">
        <v>378.0</v>
      </c>
      <c r="E25" s="30">
        <v>5.0096</v>
      </c>
      <c r="F25" s="22">
        <f>IF(OR($A25="",B25="",B25&lt;=0,Séries!Q24=""),"",B25/Séries!Q24-1)</f>
        <v>-0.00387722132471724</v>
      </c>
      <c r="G25" s="22">
        <f>IF(OR($A25="",C25="",C25&lt;=0,Séries!R24=""),"",C25/Séries!R24-1)</f>
        <v>-0.0261321455085374</v>
      </c>
      <c r="H25" s="22">
        <f>IF(OR($A25="",D25="",D25&lt;=0,Séries!S24=""),"",D25/Séries!S24-1)</f>
        <v>0.000529380624669118</v>
      </c>
      <c r="I25" s="22">
        <f>IF(OR($A25="",E25="",E25&lt;=0,Séries!T24=""),"",E25/Séries!T24-1)</f>
        <v>0.00408883187685394</v>
      </c>
      <c r="J25" s="27" t="inlineStr">
        <is>
          <t xml:space="preserve">CEPEA/ESALQ via Notícias Agrícolas (S1–S3); PTAX venda BCB/Olinda (S4); consulta 28/10/2026</t>
        </is>
      </c>
      <c r="K25" s="1" t="str">
        <f>IF(COUNTA(A25:E25)=0,"",IF(A25="","Preencha a data",IF(NOT(ISNUMBER(A25)),"Data inválida",IF(OR(A25&lt;36526,A25&gt;73050,A25&lt;&gt;INT(A25)),"Data inválida",IF(A25&lt;=Séries!U24,"Data repetida / fora de ordem",IF(COUNTA(B25:E25)&lt;&gt;COUNT(B25:E25),"Use preços numéricos",IF(OR(AND(ISNUMBER(B25),B25&lt;=0),AND(ISNUMBER(C25),C25&lt;=0),AND(ISNUMBER(D25),D25&lt;=0),AND(ISNUMBER(E25),E25&lt;=0)),"Use preços positivos","")))))))</f>
        <v/>
      </c>
    </row>
    <row r="26" spans="1:11" ht="22.95" customHeight="1">
      <c r="A26" s="28">
        <v>46309</v>
      </c>
      <c r="B26" s="29">
        <v>154.29</v>
      </c>
      <c r="C26" s="29">
        <v>65.43</v>
      </c>
      <c r="D26" s="29">
        <v>379.4</v>
      </c>
      <c r="E26" s="30">
        <v>5.0441</v>
      </c>
      <c r="F26" s="22">
        <f>IF(OR($A26="",B26="",B26&lt;=0,Séries!Q25=""),"",B26/Séries!Q25-1)</f>
        <v>0.000908206292572045</v>
      </c>
      <c r="G26" s="22">
        <f>IF(OR($A26="",C26="",C26&lt;=0,Séries!R25=""),"",C26/Séries!R25-1)</f>
        <v>-0.00243939624942824</v>
      </c>
      <c r="H26" s="22">
        <f>IF(OR($A26="",D26="",D26&lt;=0,Séries!S25=""),"",D26/Séries!S25-1)</f>
        <v>0.00370370370370354</v>
      </c>
      <c r="I26" s="22">
        <f>IF(OR($A26="",E26="",E26&lt;=0,Séries!T25=""),"",E26/Séries!T25-1)</f>
        <v>0.00688677738741617</v>
      </c>
      <c r="J26" s="27" t="inlineStr">
        <is>
          <t xml:space="preserve">CEPEA/ESALQ via Notícias Agrícolas (S1–S3); PTAX venda BCB/Olinda (S4); consulta 28/10/2026</t>
        </is>
      </c>
      <c r="K26" s="1" t="str">
        <f>IF(COUNTA(A26:E26)=0,"",IF(A26="","Preencha a data",IF(NOT(ISNUMBER(A26)),"Data inválida",IF(OR(A26&lt;36526,A26&gt;73050,A26&lt;&gt;INT(A26)),"Data inválida",IF(A26&lt;=Séries!U25,"Data repetida / fora de ordem",IF(COUNTA(B26:E26)&lt;&gt;COUNT(B26:E26),"Use preços numéricos",IF(OR(AND(ISNUMBER(B26),B26&lt;=0),AND(ISNUMBER(C26),C26&lt;=0),AND(ISNUMBER(D26),D26&lt;=0),AND(ISNUMBER(E26),E26&lt;=0)),"Use preços positivos","")))))))</f>
        <v/>
      </c>
    </row>
    <row r="27" spans="1:11" ht="22.95" customHeight="1">
      <c r="A27" s="28">
        <v>46310</v>
      </c>
      <c r="B27" s="29">
        <v>154.7</v>
      </c>
      <c r="C27" s="29">
        <v>64.81</v>
      </c>
      <c r="D27" s="29">
        <v>380.2</v>
      </c>
      <c r="E27" s="30">
        <v>5.0521</v>
      </c>
      <c r="F27" s="22">
        <f>IF(OR($A27="",B27="",B27&lt;=0,Séries!Q26=""),"",B27/Séries!Q26-1)</f>
        <v>0.00265733359258546</v>
      </c>
      <c r="G27" s="22">
        <f>IF(OR($A27="",C27="",C27&lt;=0,Séries!R26=""),"",C27/Séries!R26-1)</f>
        <v>-0.00947577563808655</v>
      </c>
      <c r="H27" s="22">
        <f>IF(OR($A27="",D27="",D27&lt;=0,Séries!S26=""),"",D27/Séries!S26-1)</f>
        <v>0.00210859251449658</v>
      </c>
      <c r="I27" s="22">
        <f>IF(OR($A27="",E27="",E27&lt;=0,Séries!T26=""),"",E27/Séries!T26-1)</f>
        <v>0.00158601137963155</v>
      </c>
      <c r="J27" s="27" t="inlineStr">
        <is>
          <t xml:space="preserve">CEPEA/ESALQ via Notícias Agrícolas (S1–S3); PTAX venda BCB/Olinda (S4); consulta 28/10/2026</t>
        </is>
      </c>
      <c r="K27" s="1" t="str">
        <f>IF(COUNTA(A27:E27)=0,"",IF(A27="","Preencha a data",IF(NOT(ISNUMBER(A27)),"Data inválida",IF(OR(A27&lt;36526,A27&gt;73050,A27&lt;&gt;INT(A27)),"Data inválida",IF(A27&lt;=Séries!U26,"Data repetida / fora de ordem",IF(COUNTA(B27:E27)&lt;&gt;COUNT(B27:E27),"Use preços numéricos",IF(OR(AND(ISNUMBER(B27),B27&lt;=0),AND(ISNUMBER(C27),C27&lt;=0),AND(ISNUMBER(D27),D27&lt;=0),AND(ISNUMBER(E27),E27&lt;=0)),"Use preços positivos","")))))))</f>
        <v/>
      </c>
    </row>
    <row r="28" spans="1:11" ht="22.95" customHeight="1">
      <c r="A28" s="28">
        <v>46311</v>
      </c>
      <c r="B28" s="29">
        <v>154.61</v>
      </c>
      <c r="C28" s="29">
        <v>64.85</v>
      </c>
      <c r="D28" s="29">
        <v>380.7</v>
      </c>
      <c r="E28" s="30">
        <v>5.0826</v>
      </c>
      <c r="F28" s="22">
        <f>IF(OR($A28="",B28="",B28&lt;=0,Séries!Q27=""),"",B28/Séries!Q27-1)</f>
        <v>-0.000581771170006351</v>
      </c>
      <c r="G28" s="22">
        <f>IF(OR($A28="",C28="",C28&lt;=0,Séries!R27=""),"",C28/Séries!R27-1)</f>
        <v>0.00061718870544647</v>
      </c>
      <c r="H28" s="22">
        <f>IF(OR($A28="",D28="",D28&lt;=0,Séries!S27=""),"",D28/Séries!S27-1)</f>
        <v>0.00131509731720136</v>
      </c>
      <c r="I28" s="22">
        <f>IF(OR($A28="",E28="",E28&lt;=0,Séries!T27=""),"",E28/Séries!T27-1)</f>
        <v>0.00603709348587711</v>
      </c>
      <c r="J28" s="27" t="inlineStr">
        <is>
          <t xml:space="preserve">CEPEA/ESALQ via Notícias Agrícolas (S1–S3); PTAX venda BCB/Olinda (S4); consulta 28/10/2026</t>
        </is>
      </c>
      <c r="K28" s="1" t="str">
        <f>IF(COUNTA(A28:E28)=0,"",IF(A28="","Preencha a data",IF(NOT(ISNUMBER(A28)),"Data inválida",IF(OR(A28&lt;36526,A28&gt;73050,A28&lt;&gt;INT(A28)),"Data inválida",IF(A28&lt;=Séries!U27,"Data repetida / fora de ordem",IF(COUNTA(B28:E28)&lt;&gt;COUNT(B28:E28),"Use preços numéricos",IF(OR(AND(ISNUMBER(B28),B28&lt;=0),AND(ISNUMBER(C28),C28&lt;=0),AND(ISNUMBER(D28),D28&lt;=0),AND(ISNUMBER(E28),E28&lt;=0)),"Use preços positivos","")))))))</f>
        <v/>
      </c>
    </row>
    <row r="29" spans="1:11" ht="22.95" customHeight="1">
      <c r="A29" s="28">
        <v>46314</v>
      </c>
      <c r="B29" s="29">
        <v>154.24</v>
      </c>
      <c r="C29" s="29">
        <v>64.74</v>
      </c>
      <c r="D29" s="29">
        <v>380.7</v>
      </c>
      <c r="E29" s="30">
        <v>5.0564</v>
      </c>
      <c r="F29" s="22">
        <f>IF(OR($A29="",B29="",B29&lt;=0,Séries!Q28=""),"",B29/Séries!Q28-1)</f>
        <v>-0.00239311816829446</v>
      </c>
      <c r="G29" s="22">
        <f>IF(OR($A29="",C29="",C29&lt;=0,Séries!R28=""),"",C29/Séries!R28-1)</f>
        <v>-0.0016962220508866</v>
      </c>
      <c r="H29" s="22">
        <f>IF(OR($A29="",D29="",D29&lt;=0,Séries!S28=""),"",D29/Séries!S28-1)</f>
        <v>0</v>
      </c>
      <c r="I29" s="22">
        <f>IF(OR($A29="",E29="",E29&lt;=0,Séries!T28=""),"",E29/Séries!T28-1)</f>
        <v>-0.00515484200999494</v>
      </c>
      <c r="J29" s="27" t="inlineStr">
        <is>
          <t xml:space="preserve">CEPEA/ESALQ via Notícias Agrícolas (S1–S3); PTAX venda BCB/Olinda (S4); consulta 28/10/2026</t>
        </is>
      </c>
      <c r="K29" s="1" t="str">
        <f>IF(COUNTA(A29:E29)=0,"",IF(A29="","Preencha a data",IF(NOT(ISNUMBER(A29)),"Data inválida",IF(OR(A29&lt;36526,A29&gt;73050,A29&lt;&gt;INT(A29)),"Data inválida",IF(A29&lt;=Séries!U28,"Data repetida / fora de ordem",IF(COUNTA(B29:E29)&lt;&gt;COUNT(B29:E29),"Use preços numéricos",IF(OR(AND(ISNUMBER(B29),B29&lt;=0),AND(ISNUMBER(C29),C29&lt;=0),AND(ISNUMBER(D29),D29&lt;=0),AND(ISNUMBER(E29),E29&lt;=0)),"Use preços positivos","")))))))</f>
        <v/>
      </c>
    </row>
    <row r="30" spans="1:11" ht="22.95" customHeight="1">
      <c r="A30" s="28">
        <v>46315</v>
      </c>
      <c r="B30" s="29">
        <v>153.4</v>
      </c>
      <c r="C30" s="29">
        <v>64.34</v>
      </c>
      <c r="D30" s="29">
        <v>380.45</v>
      </c>
      <c r="E30" s="30">
        <v>5.014</v>
      </c>
      <c r="F30" s="22">
        <f>IF(OR($A30="",B30="",B30&lt;=0,Séries!Q29=""),"",B30/Séries!Q29-1)</f>
        <v>-0.00544605809128629</v>
      </c>
      <c r="G30" s="22">
        <f>IF(OR($A30="",C30="",C30&lt;=0,Séries!R29=""),"",C30/Séries!R29-1)</f>
        <v>-0.00617856039542775</v>
      </c>
      <c r="H30" s="22">
        <f>IF(OR($A30="",D30="",D30&lt;=0,Séries!S29=""),"",D30/Séries!S29-1)</f>
        <v>-0.000656685053848194</v>
      </c>
      <c r="I30" s="22">
        <f>IF(OR($A30="",E30="",E30&lt;=0,Séries!T29=""),"",E30/Séries!T29-1)</f>
        <v>-0.00838541254647574</v>
      </c>
      <c r="J30" s="27" t="inlineStr">
        <is>
          <t xml:space="preserve">CEPEA/ESALQ via Notícias Agrícolas (S1–S3); PTAX venda BCB/Olinda (S4); consulta 28/10/2026</t>
        </is>
      </c>
      <c r="K30" s="1" t="str">
        <f>IF(COUNTA(A30:E30)=0,"",IF(A30="","Preencha a data",IF(NOT(ISNUMBER(A30)),"Data inválida",IF(OR(A30&lt;36526,A30&gt;73050,A30&lt;&gt;INT(A30)),"Data inválida",IF(A30&lt;=Séries!U29,"Data repetida / fora de ordem",IF(COUNTA(B30:E30)&lt;&gt;COUNT(B30:E30),"Use preços numéricos",IF(OR(AND(ISNUMBER(B30),B30&lt;=0),AND(ISNUMBER(C30),C30&lt;=0),AND(ISNUMBER(D30),D30&lt;=0),AND(ISNUMBER(E30),E30&lt;=0)),"Use preços positivos","")))))))</f>
        <v/>
      </c>
    </row>
    <row r="31" spans="1:11" ht="22.95" customHeight="1">
      <c r="A31" s="28">
        <v>46316</v>
      </c>
      <c r="B31" s="29">
        <v>152.13</v>
      </c>
      <c r="C31" s="29">
        <v>64.3</v>
      </c>
      <c r="D31" s="29">
        <v>380.4</v>
      </c>
      <c r="E31" s="30">
        <v>5.0277</v>
      </c>
      <c r="F31" s="22">
        <f>IF(OR($A31="",B31="",B31&lt;=0,Séries!Q30=""),"",B31/Séries!Q30-1)</f>
        <v>-0.00827900912646684</v>
      </c>
      <c r="G31" s="22">
        <f>IF(OR($A31="",C31="",C31&lt;=0,Séries!R30=""),"",C31/Séries!R30-1)</f>
        <v>-0.000621697233447405</v>
      </c>
      <c r="H31" s="22">
        <f>IF(OR($A31="",D31="",D31&lt;=0,Séries!S30=""),"",D31/Séries!S30-1)</f>
        <v>-0.000131423314496004</v>
      </c>
      <c r="I31" s="22">
        <f>IF(OR($A31="",E31="",E31&lt;=0,Séries!T30=""),"",E31/Séries!T30-1)</f>
        <v>0.00273234942161937</v>
      </c>
      <c r="J31" s="27" t="inlineStr">
        <is>
          <t xml:space="preserve">CEPEA/ESALQ via Notícias Agrícolas (S1–S3); PTAX venda BCB/Olinda (S4); consulta 28/10/2026</t>
        </is>
      </c>
      <c r="K31" s="1" t="str">
        <f>IF(COUNTA(A31:E31)=0,"",IF(A31="","Preencha a data",IF(NOT(ISNUMBER(A31)),"Data inválida",IF(OR(A31&lt;36526,A31&gt;73050,A31&lt;&gt;INT(A31)),"Data inválida",IF(A31&lt;=Séries!U30,"Data repetida / fora de ordem",IF(COUNTA(B31:E31)&lt;&gt;COUNT(B31:E31),"Use preços numéricos",IF(OR(AND(ISNUMBER(B31),B31&lt;=0),AND(ISNUMBER(C31),C31&lt;=0),AND(ISNUMBER(D31),D31&lt;=0),AND(ISNUMBER(E31),E31&lt;=0)),"Use preços positivos","")))))))</f>
        <v/>
      </c>
    </row>
    <row r="32" spans="1:11" ht="22.95" customHeight="1">
      <c r="A32" s="28">
        <v>46317</v>
      </c>
      <c r="B32" s="29">
        <v>151.92</v>
      </c>
      <c r="C32" s="29">
        <v>64.24</v>
      </c>
      <c r="D32" s="29">
        <v>380.55</v>
      </c>
      <c r="E32" s="30">
        <v>5.0383</v>
      </c>
      <c r="F32" s="22">
        <f>IF(OR($A32="",B32="",B32&lt;=0,Séries!Q31=""),"",B32/Séries!Q31-1)</f>
        <v>-0.00138039834352199</v>
      </c>
      <c r="G32" s="22">
        <f>IF(OR($A32="",C32="",C32&lt;=0,Séries!R31=""),"",C32/Séries!R31-1)</f>
        <v>-0.000933125972006232</v>
      </c>
      <c r="H32" s="22">
        <f>IF(OR($A32="",D32="",D32&lt;=0,Séries!S31=""),"",D32/Séries!S31-1)</f>
        <v>0.000394321766561623</v>
      </c>
      <c r="I32" s="22">
        <f>IF(OR($A32="",E32="",E32&lt;=0,Séries!T31=""),"",E32/Séries!T31-1)</f>
        <v>0.00210831990771121</v>
      </c>
      <c r="J32" s="27" t="inlineStr">
        <is>
          <t xml:space="preserve">CEPEA/ESALQ via Notícias Agrícolas (S1–S3); PTAX venda BCB/Olinda (S4); consulta 28/10/2026</t>
        </is>
      </c>
      <c r="K32" s="1" t="str">
        <f>IF(COUNTA(A32:E32)=0,"",IF(A32="","Preencha a data",IF(NOT(ISNUMBER(A32)),"Data inválida",IF(OR(A32&lt;36526,A32&gt;73050,A32&lt;&gt;INT(A32)),"Data inválida",IF(A32&lt;=Séries!U31,"Data repetida / fora de ordem",IF(COUNTA(B32:E32)&lt;&gt;COUNT(B32:E32),"Use preços numéricos",IF(OR(AND(ISNUMBER(B32),B32&lt;=0),AND(ISNUMBER(C32),C32&lt;=0),AND(ISNUMBER(D32),D32&lt;=0),AND(ISNUMBER(E32),E32&lt;=0)),"Use preços positivos","")))))))</f>
        <v/>
      </c>
    </row>
    <row r="33" spans="1:11" ht="22.95" customHeight="1">
      <c r="A33" s="28">
        <v>46318</v>
      </c>
      <c r="B33" s="29">
        <v>152.41</v>
      </c>
      <c r="C33" s="29">
        <v>64.27</v>
      </c>
      <c r="D33" s="29">
        <v>381.4</v>
      </c>
      <c r="E33" s="30">
        <v>5.0377</v>
      </c>
      <c r="F33" s="22">
        <f>IF(OR($A33="",B33="",B33&lt;=0,Séries!Q32=""),"",B33/Séries!Q32-1)</f>
        <v>0.00322538177988418</v>
      </c>
      <c r="G33" s="22">
        <f>IF(OR($A33="",C33="",C33&lt;=0,Séries!R32=""),"",C33/Séries!R32-1)</f>
        <v>0.000466998754669934</v>
      </c>
      <c r="H33" s="22">
        <f>IF(OR($A33="",D33="",D33&lt;=0,Séries!S32=""),"",D33/Séries!S32-1)</f>
        <v>0.0022336092497699</v>
      </c>
      <c r="I33" s="22">
        <f>IF(OR($A33="",E33="",E33&lt;=0,Séries!T32=""),"",E33/Séries!T32-1)</f>
        <v>-0.000119087787547323</v>
      </c>
      <c r="J33" s="27" t="inlineStr">
        <is>
          <t xml:space="preserve">CEPEA/ESALQ via Notícias Agrícolas (S1–S3); PTAX venda BCB/Olinda (S4); consulta 28/10/2026</t>
        </is>
      </c>
      <c r="K33" s="1" t="str">
        <f>IF(COUNTA(A33:E33)=0,"",IF(A33="","Preencha a data",IF(NOT(ISNUMBER(A33)),"Data inválida",IF(OR(A33&lt;36526,A33&gt;73050,A33&lt;&gt;INT(A33)),"Data inválida",IF(A33&lt;=Séries!U32,"Data repetida / fora de ordem",IF(COUNTA(B33:E33)&lt;&gt;COUNT(B33:E33),"Use preços numéricos",IF(OR(AND(ISNUMBER(B33),B33&lt;=0),AND(ISNUMBER(C33),C33&lt;=0),AND(ISNUMBER(D33),D33&lt;=0),AND(ISNUMBER(E33),E33&lt;=0)),"Use preços positivos","")))))))</f>
        <v/>
      </c>
    </row>
    <row r="34" spans="1:11" ht="22.95" customHeight="1">
      <c r="A34" s="28">
        <v>46321</v>
      </c>
      <c r="B34" s="29">
        <v>155.55</v>
      </c>
      <c r="C34" s="29">
        <v>64.24</v>
      </c>
      <c r="D34" s="29">
        <v>381.4</v>
      </c>
      <c r="E34" s="30">
        <v>5.5007</v>
      </c>
      <c r="F34" s="22">
        <f>IF(OR($A34="",B34="",B34&lt;=0,Séries!Q33=""),"",B34/Séries!Q33-1)</f>
        <v>0.0206023226822387</v>
      </c>
      <c r="G34" s="22">
        <f>IF(OR($A34="",C34="",C34&lt;=0,Séries!R33=""),"",C34/Séries!R33-1)</f>
        <v>-0.00046678076863238</v>
      </c>
      <c r="H34" s="22">
        <f>IF(OR($A34="",D34="",D34&lt;=0,Séries!S33=""),"",D34/Séries!S33-1)</f>
        <v>0</v>
      </c>
      <c r="I34" s="22">
        <f>IF(OR($A34="",E34="",E34&lt;=0,Séries!T33=""),"",E34/Séries!T33-1)</f>
        <v>0.0919070210611985</v>
      </c>
      <c r="J34" s="27" t="inlineStr">
        <is>
          <t xml:space="preserve">CEPEA/ESALQ via Notícias Agrícolas (S1–S3); PTAX venda BCB/Olinda (S4); consulta 28/10/2026</t>
        </is>
      </c>
      <c r="K34" s="1" t="str">
        <f>IF(COUNTA(A34:E34)=0,"",IF(A34="","Preencha a data",IF(NOT(ISNUMBER(A34)),"Data inválida",IF(OR(A34&lt;36526,A34&gt;73050,A34&lt;&gt;INT(A34)),"Data inválida",IF(A34&lt;=Séries!U33,"Data repetida / fora de ordem",IF(COUNTA(B34:E34)&lt;&gt;COUNT(B34:E34),"Use preços numéricos",IF(OR(AND(ISNUMBER(B34),B34&lt;=0),AND(ISNUMBER(C34),C34&lt;=0),AND(ISNUMBER(D34),D34&lt;=0),AND(ISNUMBER(E34),E34&lt;=0)),"Use preços positivos","")))))))</f>
        <v/>
      </c>
    </row>
    <row r="35" spans="1:11" ht="22.95" customHeight="1">
      <c r="A35" s="28">
        <v>46322</v>
      </c>
      <c r="B35" s="29">
        <v>157.41</v>
      </c>
      <c r="C35" s="29">
        <v>64.87</v>
      </c>
      <c r="D35" s="29">
        <v>386.3</v>
      </c>
      <c r="E35" s="30">
        <v>5.3346</v>
      </c>
      <c r="F35" s="22">
        <f>IF(OR($A35="",B35="",B35&lt;=0,Séries!Q34=""),"",B35/Séries!Q34-1)</f>
        <v>0.0119575699132111</v>
      </c>
      <c r="G35" s="22">
        <f>IF(OR($A35="",C35="",C35&lt;=0,Séries!R34=""),"",C35/Séries!R34-1)</f>
        <v>0.00980697384806994</v>
      </c>
      <c r="H35" s="22">
        <f>IF(OR($A35="",D35="",D35&lt;=0,Séries!S34=""),"",D35/Séries!S34-1)</f>
        <v>0.0128474042999476</v>
      </c>
      <c r="I35" s="22">
        <f>IF(OR($A35="",E35="",E35&lt;=0,Séries!T34=""),"",E35/Séries!T34-1)</f>
        <v>-0.0301961568527642</v>
      </c>
      <c r="J35" s="27" t="inlineStr">
        <is>
          <t xml:space="preserve">CEPEA/ESALQ via Notícias Agrícolas (S1–S3); PTAX venda BCB/Olinda (S4); consulta 28/10/2026</t>
        </is>
      </c>
      <c r="K35" s="1" t="str">
        <f>IF(COUNTA(A35:E35)=0,"",IF(A35="","Preencha a data",IF(NOT(ISNUMBER(A35)),"Data inválida",IF(OR(A35&lt;36526,A35&gt;73050,A35&lt;&gt;INT(A35)),"Data inválida",IF(A35&lt;=Séries!U34,"Data repetida / fora de ordem",IF(COUNTA(B35:E35)&lt;&gt;COUNT(B35:E35),"Use preços numéricos",IF(OR(AND(ISNUMBER(B35),B35&lt;=0),AND(ISNUMBER(C35),C35&lt;=0),AND(ISNUMBER(D35),D35&lt;=0),AND(ISNUMBER(E35),E35&lt;=0)),"Use preços positivos","")))))))</f>
        <v/>
      </c>
    </row>
    <row r="36" spans="1:11" ht="22.95" customHeight="1">
      <c r="A36" s="28">
        <v>46323</v>
      </c>
      <c r="B36" s="29">
        <v>157.42</v>
      </c>
      <c r="C36" s="29">
        <v>64.73</v>
      </c>
      <c r="D36" s="29">
        <v>389.05</v>
      </c>
      <c r="E36" s="30">
        <v>5.342</v>
      </c>
      <c r="F36" s="22">
        <f>IF(OR($A36="",B36="",B36&lt;=0,Séries!Q35=""),"",B36/Séries!Q35-1)</f>
        <v>6.3528365415122e-05</v>
      </c>
      <c r="G36" s="22">
        <f>IF(OR($A36="",C36="",C36&lt;=0,Séries!R35=""),"",C36/Séries!R35-1)</f>
        <v>-0.00215816247880374</v>
      </c>
      <c r="H36" s="22">
        <f>IF(OR($A36="",D36="",D36&lt;=0,Séries!S35=""),"",D36/Séries!S35-1)</f>
        <v>0.00711881957028226</v>
      </c>
      <c r="I36" s="22">
        <f>IF(OR($A36="",E36="",E36&lt;=0,Séries!T35=""),"",E36/Séries!T35-1)</f>
        <v>0.001387170546995</v>
      </c>
      <c r="J36" s="27" t="inlineStr">
        <is>
          <t xml:space="preserve">CEPEA/ESALQ via Notícias Agrícolas (S1–S3); PTAX venda BCB/Olinda (S4); consulta 28/10/2026</t>
        </is>
      </c>
      <c r="K36" s="1" t="str">
        <f>IF(COUNTA(A36:E36)=0,"",IF(A36="","Preencha a data",IF(NOT(ISNUMBER(A36)),"Data inválida",IF(OR(A36&lt;36526,A36&gt;73050,A36&lt;&gt;INT(A36)),"Data inválida",IF(A36&lt;=Séries!U35,"Data repetida / fora de ordem",IF(COUNTA(B36:E36)&lt;&gt;COUNT(B36:E36),"Use preços numéricos",IF(OR(AND(ISNUMBER(B36),B36&lt;=0),AND(ISNUMBER(C36),C36&lt;=0),AND(ISNUMBER(D36),D36&lt;=0),AND(ISNUMBER(E36),E36&lt;=0)),"Use preços positivos","")))))))</f>
        <v/>
      </c>
    </row>
    <row r="37" spans="1:11" ht="22.95" customHeight="1">
      <c r="A37" s="28">
        <v>46324</v>
      </c>
      <c r="B37" s="29"/>
      <c r="C37" s="29"/>
      <c r="D37" s="29"/>
      <c r="E37" s="30">
        <v>5.3744</v>
      </c>
      <c r="F37" s="22" t="str">
        <f>IF(OR($A37="",B37="",B37&lt;=0,Séries!Q36=""),"",B37/Séries!Q36-1)</f>
        <v/>
      </c>
      <c r="G37" s="22" t="str">
        <f>IF(OR($A37="",C37="",C37&lt;=0,Séries!R36=""),"",C37/Séries!R36-1)</f>
        <v/>
      </c>
      <c r="H37" s="22" t="str">
        <f>IF(OR($A37="",D37="",D37&lt;=0,Séries!S36=""),"",D37/Séries!S36-1)</f>
        <v/>
      </c>
      <c r="I37" s="22">
        <f>IF(OR($A37="",E37="",E37&lt;=0,Séries!T36=""),"",E37/Séries!T36-1)</f>
        <v>0.00606514414077131</v>
      </c>
      <c r="J37" s="27" t="inlineStr">
        <is>
          <t xml:space="preserve">PTAX venda BCB/Olinda (S4); pendente: soja, milho, boi; consulta 29/10/2026</t>
        </is>
      </c>
      <c r="K37" s="1" t="str">
        <f>IF(COUNTA(A37:E37)=0,"",IF(A37="","Preencha a data",IF(NOT(ISNUMBER(A37)),"Data inválida",IF(OR(A37&lt;36526,A37&gt;73050,A37&lt;&gt;INT(A37)),"Data inválida",IF(A37&lt;=Séries!U36,"Data repetida / fora de ordem",IF(COUNTA(B37:E37)&lt;&gt;COUNT(B37:E37),"Use preços numéricos",IF(OR(AND(ISNUMBER(B37),B37&lt;=0),AND(ISNUMBER(C37),C37&lt;=0),AND(ISNUMBER(D37),D37&lt;=0),AND(ISNUMBER(E37),E37&lt;=0)),"Use preços positivos","")))))))</f>
        <v/>
      </c>
    </row>
    <row r="38" spans="1:11" ht="22.95" customHeight="1">
      <c r="A38" s="28"/>
      <c r="B38" s="29"/>
      <c r="C38" s="29"/>
      <c r="D38" s="29"/>
      <c r="E38" s="30"/>
      <c r="F38" s="22" t="str">
        <f>IF(OR($A38="",B38="",B38&lt;=0,Séries!Q37=""),"",B38/Séries!Q37-1)</f>
        <v/>
      </c>
      <c r="G38" s="22" t="str">
        <f>IF(OR($A38="",C38="",C38&lt;=0,Séries!R37=""),"",C38/Séries!R37-1)</f>
        <v/>
      </c>
      <c r="H38" s="22" t="str">
        <f>IF(OR($A38="",D38="",D38&lt;=0,Séries!S37=""),"",D38/Séries!S37-1)</f>
        <v/>
      </c>
      <c r="I38" s="22" t="str">
        <f>IF(OR($A38="",E38="",E38&lt;=0,Séries!T37=""),"",E38/Séries!T37-1)</f>
        <v/>
      </c>
      <c r="J38" s="27"/>
      <c r="K38" s="1" t="str">
        <f>IF(COUNTA(A38:E38)=0,"",IF(A38="","Preencha a data",IF(NOT(ISNUMBER(A38)),"Data inválida",IF(OR(A38&lt;36526,A38&gt;73050,A38&lt;&gt;INT(A38)),"Data inválida",IF(A38&lt;=Séries!U37,"Data repetida / fora de ordem",IF(COUNTA(B38:E38)&lt;&gt;COUNT(B38:E38),"Use preços numéricos",IF(OR(AND(ISNUMBER(B38),B38&lt;=0),AND(ISNUMBER(C38),C38&lt;=0),AND(ISNUMBER(D38),D38&lt;=0),AND(ISNUMBER(E38),E38&lt;=0)),"Use preços positivos","")))))))</f>
        <v/>
      </c>
    </row>
    <row r="39" spans="1:11" ht="22.95" customHeight="1">
      <c r="A39" s="28"/>
      <c r="B39" s="29"/>
      <c r="C39" s="29"/>
      <c r="D39" s="29"/>
      <c r="E39" s="30"/>
      <c r="F39" s="22" t="str">
        <f>IF(OR($A39="",B39="",B39&lt;=0,Séries!Q38=""),"",B39/Séries!Q38-1)</f>
        <v/>
      </c>
      <c r="G39" s="22" t="str">
        <f>IF(OR($A39="",C39="",C39&lt;=0,Séries!R38=""),"",C39/Séries!R38-1)</f>
        <v/>
      </c>
      <c r="H39" s="22" t="str">
        <f>IF(OR($A39="",D39="",D39&lt;=0,Séries!S38=""),"",D39/Séries!S38-1)</f>
        <v/>
      </c>
      <c r="I39" s="22" t="str">
        <f>IF(OR($A39="",E39="",E39&lt;=0,Séries!T38=""),"",E39/Séries!T38-1)</f>
        <v/>
      </c>
      <c r="J39" s="27"/>
      <c r="K39" s="1" t="str">
        <f>IF(COUNTA(A39:E39)=0,"",IF(A39="","Preencha a data",IF(NOT(ISNUMBER(A39)),"Data inválida",IF(OR(A39&lt;36526,A39&gt;73050,A39&lt;&gt;INT(A39)),"Data inválida",IF(A39&lt;=Séries!U38,"Data repetida / fora de ordem",IF(COUNTA(B39:E39)&lt;&gt;COUNT(B39:E39),"Use preços numéricos",IF(OR(AND(ISNUMBER(B39),B39&lt;=0),AND(ISNUMBER(C39),C39&lt;=0),AND(ISNUMBER(D39),D39&lt;=0),AND(ISNUMBER(E39),E39&lt;=0)),"Use preços positivos","")))))))</f>
        <v/>
      </c>
    </row>
    <row r="40" spans="1:11" ht="22.95" customHeight="1">
      <c r="A40" s="28"/>
      <c r="B40" s="29"/>
      <c r="C40" s="29"/>
      <c r="D40" s="29"/>
      <c r="E40" s="30"/>
      <c r="F40" s="22" t="str">
        <f>IF(OR($A40="",B40="",B40&lt;=0,Séries!Q39=""),"",B40/Séries!Q39-1)</f>
        <v/>
      </c>
      <c r="G40" s="22" t="str">
        <f>IF(OR($A40="",C40="",C40&lt;=0,Séries!R39=""),"",C40/Séries!R39-1)</f>
        <v/>
      </c>
      <c r="H40" s="22" t="str">
        <f>IF(OR($A40="",D40="",D40&lt;=0,Séries!S39=""),"",D40/Séries!S39-1)</f>
        <v/>
      </c>
      <c r="I40" s="22" t="str">
        <f>IF(OR($A40="",E40="",E40&lt;=0,Séries!T39=""),"",E40/Séries!T39-1)</f>
        <v/>
      </c>
      <c r="J40" s="27"/>
      <c r="K40" s="1" t="str">
        <f>IF(COUNTA(A40:E40)=0,"",IF(A40="","Preencha a data",IF(NOT(ISNUMBER(A40)),"Data inválida",IF(OR(A40&lt;36526,A40&gt;73050,A40&lt;&gt;INT(A40)),"Data inválida",IF(A40&lt;=Séries!U39,"Data repetida / fora de ordem",IF(COUNTA(B40:E40)&lt;&gt;COUNT(B40:E40),"Use preços numéricos",IF(OR(AND(ISNUMBER(B40),B40&lt;=0),AND(ISNUMBER(C40),C40&lt;=0),AND(ISNUMBER(D40),D40&lt;=0),AND(ISNUMBER(E40),E40&lt;=0)),"Use preços positivos","")))))))</f>
        <v/>
      </c>
    </row>
    <row r="41" spans="1:11" ht="22.95" customHeight="1">
      <c r="A41" s="28"/>
      <c r="B41" s="29"/>
      <c r="C41" s="29"/>
      <c r="D41" s="29"/>
      <c r="E41" s="30"/>
      <c r="F41" s="22" t="str">
        <f>IF(OR($A41="",B41="",B41&lt;=0,Séries!Q40=""),"",B41/Séries!Q40-1)</f>
        <v/>
      </c>
      <c r="G41" s="22" t="str">
        <f>IF(OR($A41="",C41="",C41&lt;=0,Séries!R40=""),"",C41/Séries!R40-1)</f>
        <v/>
      </c>
      <c r="H41" s="22" t="str">
        <f>IF(OR($A41="",D41="",D41&lt;=0,Séries!S40=""),"",D41/Séries!S40-1)</f>
        <v/>
      </c>
      <c r="I41" s="22" t="str">
        <f>IF(OR($A41="",E41="",E41&lt;=0,Séries!T40=""),"",E41/Séries!T40-1)</f>
        <v/>
      </c>
      <c r="J41" s="27"/>
      <c r="K41" s="1" t="str">
        <f>IF(COUNTA(A41:E41)=0,"",IF(A41="","Preencha a data",IF(NOT(ISNUMBER(A41)),"Data inválida",IF(OR(A41&lt;36526,A41&gt;73050,A41&lt;&gt;INT(A41)),"Data inválida",IF(A41&lt;=Séries!U40,"Data repetida / fora de ordem",IF(COUNTA(B41:E41)&lt;&gt;COUNT(B41:E41),"Use preços numéricos",IF(OR(AND(ISNUMBER(B41),B41&lt;=0),AND(ISNUMBER(C41),C41&lt;=0),AND(ISNUMBER(D41),D41&lt;=0),AND(ISNUMBER(E41),E41&lt;=0)),"Use preços positivos","")))))))</f>
        <v/>
      </c>
    </row>
    <row r="42" spans="1:11" ht="22.95" customHeight="1">
      <c r="A42" s="28"/>
      <c r="B42" s="29"/>
      <c r="C42" s="29"/>
      <c r="D42" s="29"/>
      <c r="E42" s="30"/>
      <c r="F42" s="22" t="str">
        <f>IF(OR($A42="",B42="",B42&lt;=0,Séries!Q41=""),"",B42/Séries!Q41-1)</f>
        <v/>
      </c>
      <c r="G42" s="22" t="str">
        <f>IF(OR($A42="",C42="",C42&lt;=0,Séries!R41=""),"",C42/Séries!R41-1)</f>
        <v/>
      </c>
      <c r="H42" s="22" t="str">
        <f>IF(OR($A42="",D42="",D42&lt;=0,Séries!S41=""),"",D42/Séries!S41-1)</f>
        <v/>
      </c>
      <c r="I42" s="22" t="str">
        <f>IF(OR($A42="",E42="",E42&lt;=0,Séries!T41=""),"",E42/Séries!T41-1)</f>
        <v/>
      </c>
      <c r="J42" s="27"/>
      <c r="K42" s="1" t="str">
        <f>IF(COUNTA(A42:E42)=0,"",IF(A42="","Preencha a data",IF(NOT(ISNUMBER(A42)),"Data inválida",IF(OR(A42&lt;36526,A42&gt;73050,A42&lt;&gt;INT(A42)),"Data inválida",IF(A42&lt;=Séries!U41,"Data repetida / fora de ordem",IF(COUNTA(B42:E42)&lt;&gt;COUNT(B42:E42),"Use preços numéricos",IF(OR(AND(ISNUMBER(B42),B42&lt;=0),AND(ISNUMBER(C42),C42&lt;=0),AND(ISNUMBER(D42),D42&lt;=0),AND(ISNUMBER(E42),E42&lt;=0)),"Use preços positivos","")))))))</f>
        <v/>
      </c>
    </row>
    <row r="43" spans="1:11" ht="22.95" customHeight="1">
      <c r="A43" s="28"/>
      <c r="B43" s="29"/>
      <c r="C43" s="29"/>
      <c r="D43" s="29"/>
      <c r="E43" s="30"/>
      <c r="F43" s="22" t="str">
        <f>IF(OR($A43="",B43="",B43&lt;=0,Séries!Q42=""),"",B43/Séries!Q42-1)</f>
        <v/>
      </c>
      <c r="G43" s="22" t="str">
        <f>IF(OR($A43="",C43="",C43&lt;=0,Séries!R42=""),"",C43/Séries!R42-1)</f>
        <v/>
      </c>
      <c r="H43" s="22" t="str">
        <f>IF(OR($A43="",D43="",D43&lt;=0,Séries!S42=""),"",D43/Séries!S42-1)</f>
        <v/>
      </c>
      <c r="I43" s="22" t="str">
        <f>IF(OR($A43="",E43="",E43&lt;=0,Séries!T42=""),"",E43/Séries!T42-1)</f>
        <v/>
      </c>
      <c r="J43" s="27"/>
      <c r="K43" s="1" t="str">
        <f>IF(COUNTA(A43:E43)=0,"",IF(A43="","Preencha a data",IF(NOT(ISNUMBER(A43)),"Data inválida",IF(OR(A43&lt;36526,A43&gt;73050,A43&lt;&gt;INT(A43)),"Data inválida",IF(A43&lt;=Séries!U42,"Data repetida / fora de ordem",IF(COUNTA(B43:E43)&lt;&gt;COUNT(B43:E43),"Use preços numéricos",IF(OR(AND(ISNUMBER(B43),B43&lt;=0),AND(ISNUMBER(C43),C43&lt;=0),AND(ISNUMBER(D43),D43&lt;=0),AND(ISNUMBER(E43),E43&lt;=0)),"Use preços positivos","")))))))</f>
        <v/>
      </c>
    </row>
    <row r="44" spans="1:11" ht="22.95" customHeight="1">
      <c r="A44" s="28"/>
      <c r="B44" s="29"/>
      <c r="C44" s="29"/>
      <c r="D44" s="29"/>
      <c r="E44" s="30"/>
      <c r="F44" s="22" t="str">
        <f>IF(OR($A44="",B44="",B44&lt;=0,Séries!Q43=""),"",B44/Séries!Q43-1)</f>
        <v/>
      </c>
      <c r="G44" s="22" t="str">
        <f>IF(OR($A44="",C44="",C44&lt;=0,Séries!R43=""),"",C44/Séries!R43-1)</f>
        <v/>
      </c>
      <c r="H44" s="22" t="str">
        <f>IF(OR($A44="",D44="",D44&lt;=0,Séries!S43=""),"",D44/Séries!S43-1)</f>
        <v/>
      </c>
      <c r="I44" s="22" t="str">
        <f>IF(OR($A44="",E44="",E44&lt;=0,Séries!T43=""),"",E44/Séries!T43-1)</f>
        <v/>
      </c>
      <c r="J44" s="27"/>
      <c r="K44" s="1" t="str">
        <f>IF(COUNTA(A44:E44)=0,"",IF(A44="","Preencha a data",IF(NOT(ISNUMBER(A44)),"Data inválida",IF(OR(A44&lt;36526,A44&gt;73050,A44&lt;&gt;INT(A44)),"Data inválida",IF(A44&lt;=Séries!U43,"Data repetida / fora de ordem",IF(COUNTA(B44:E44)&lt;&gt;COUNT(B44:E44),"Use preços numéricos",IF(OR(AND(ISNUMBER(B44),B44&lt;=0),AND(ISNUMBER(C44),C44&lt;=0),AND(ISNUMBER(D44),D44&lt;=0),AND(ISNUMBER(E44),E44&lt;=0)),"Use preços positivos","")))))))</f>
        <v/>
      </c>
    </row>
    <row r="45" spans="1:11" ht="22.95" customHeight="1">
      <c r="A45" s="28"/>
      <c r="B45" s="29"/>
      <c r="C45" s="29"/>
      <c r="D45" s="29"/>
      <c r="E45" s="30"/>
      <c r="F45" s="22" t="str">
        <f>IF(OR($A45="",B45="",B45&lt;=0,Séries!Q44=""),"",B45/Séries!Q44-1)</f>
        <v/>
      </c>
      <c r="G45" s="22" t="str">
        <f>IF(OR($A45="",C45="",C45&lt;=0,Séries!R44=""),"",C45/Séries!R44-1)</f>
        <v/>
      </c>
      <c r="H45" s="22" t="str">
        <f>IF(OR($A45="",D45="",D45&lt;=0,Séries!S44=""),"",D45/Séries!S44-1)</f>
        <v/>
      </c>
      <c r="I45" s="22" t="str">
        <f>IF(OR($A45="",E45="",E45&lt;=0,Séries!T44=""),"",E45/Séries!T44-1)</f>
        <v/>
      </c>
      <c r="J45" s="27"/>
      <c r="K45" s="1" t="str">
        <f>IF(COUNTA(A45:E45)=0,"",IF(A45="","Preencha a data",IF(NOT(ISNUMBER(A45)),"Data inválida",IF(OR(A45&lt;36526,A45&gt;73050,A45&lt;&gt;INT(A45)),"Data inválida",IF(A45&lt;=Séries!U44,"Data repetida / fora de ordem",IF(COUNTA(B45:E45)&lt;&gt;COUNT(B45:E45),"Use preços numéricos",IF(OR(AND(ISNUMBER(B45),B45&lt;=0),AND(ISNUMBER(C45),C45&lt;=0),AND(ISNUMBER(D45),D45&lt;=0),AND(ISNUMBER(E45),E45&lt;=0)),"Use preços positivos","")))))))</f>
        <v/>
      </c>
    </row>
    <row r="46" spans="1:11" ht="22.95" customHeight="1">
      <c r="A46" s="28"/>
      <c r="B46" s="29"/>
      <c r="C46" s="29"/>
      <c r="D46" s="29"/>
      <c r="E46" s="30"/>
      <c r="F46" s="22" t="str">
        <f>IF(OR($A46="",B46="",B46&lt;=0,Séries!Q45=""),"",B46/Séries!Q45-1)</f>
        <v/>
      </c>
      <c r="G46" s="22" t="str">
        <f>IF(OR($A46="",C46="",C46&lt;=0,Séries!R45=""),"",C46/Séries!R45-1)</f>
        <v/>
      </c>
      <c r="H46" s="22" t="str">
        <f>IF(OR($A46="",D46="",D46&lt;=0,Séries!S45=""),"",D46/Séries!S45-1)</f>
        <v/>
      </c>
      <c r="I46" s="22" t="str">
        <f>IF(OR($A46="",E46="",E46&lt;=0,Séries!T45=""),"",E46/Séries!T45-1)</f>
        <v/>
      </c>
      <c r="J46" s="27"/>
      <c r="K46" s="1" t="str">
        <f>IF(COUNTA(A46:E46)=0,"",IF(A46="","Preencha a data",IF(NOT(ISNUMBER(A46)),"Data inválida",IF(OR(A46&lt;36526,A46&gt;73050,A46&lt;&gt;INT(A46)),"Data inválida",IF(A46&lt;=Séries!U45,"Data repetida / fora de ordem",IF(COUNTA(B46:E46)&lt;&gt;COUNT(B46:E46),"Use preços numéricos",IF(OR(AND(ISNUMBER(B46),B46&lt;=0),AND(ISNUMBER(C46),C46&lt;=0),AND(ISNUMBER(D46),D46&lt;=0),AND(ISNUMBER(E46),E46&lt;=0)),"Use preços positivos","")))))))</f>
        <v/>
      </c>
    </row>
    <row r="47" spans="1:11" ht="22.95" customHeight="1">
      <c r="A47" s="28"/>
      <c r="B47" s="29"/>
      <c r="C47" s="29"/>
      <c r="D47" s="29"/>
      <c r="E47" s="30"/>
      <c r="F47" s="22" t="str">
        <f>IF(OR($A47="",B47="",B47&lt;=0,Séries!Q46=""),"",B47/Séries!Q46-1)</f>
        <v/>
      </c>
      <c r="G47" s="22" t="str">
        <f>IF(OR($A47="",C47="",C47&lt;=0,Séries!R46=""),"",C47/Séries!R46-1)</f>
        <v/>
      </c>
      <c r="H47" s="22" t="str">
        <f>IF(OR($A47="",D47="",D47&lt;=0,Séries!S46=""),"",D47/Séries!S46-1)</f>
        <v/>
      </c>
      <c r="I47" s="22" t="str">
        <f>IF(OR($A47="",E47="",E47&lt;=0,Séries!T46=""),"",E47/Séries!T46-1)</f>
        <v/>
      </c>
      <c r="J47" s="27"/>
      <c r="K47" s="1" t="str">
        <f>IF(COUNTA(A47:E47)=0,"",IF(A47="","Preencha a data",IF(NOT(ISNUMBER(A47)),"Data inválida",IF(OR(A47&lt;36526,A47&gt;73050,A47&lt;&gt;INT(A47)),"Data inválida",IF(A47&lt;=Séries!U46,"Data repetida / fora de ordem",IF(COUNTA(B47:E47)&lt;&gt;COUNT(B47:E47),"Use preços numéricos",IF(OR(AND(ISNUMBER(B47),B47&lt;=0),AND(ISNUMBER(C47),C47&lt;=0),AND(ISNUMBER(D47),D47&lt;=0),AND(ISNUMBER(E47),E47&lt;=0)),"Use preços positivos","")))))))</f>
        <v/>
      </c>
    </row>
    <row r="48" spans="1:11" ht="22.95" customHeight="1">
      <c r="A48" s="28"/>
      <c r="B48" s="29"/>
      <c r="C48" s="29"/>
      <c r="D48" s="29"/>
      <c r="E48" s="30"/>
      <c r="F48" s="22" t="str">
        <f>IF(OR($A48="",B48="",B48&lt;=0,Séries!Q47=""),"",B48/Séries!Q47-1)</f>
        <v/>
      </c>
      <c r="G48" s="22" t="str">
        <f>IF(OR($A48="",C48="",C48&lt;=0,Séries!R47=""),"",C48/Séries!R47-1)</f>
        <v/>
      </c>
      <c r="H48" s="22" t="str">
        <f>IF(OR($A48="",D48="",D48&lt;=0,Séries!S47=""),"",D48/Séries!S47-1)</f>
        <v/>
      </c>
      <c r="I48" s="22" t="str">
        <f>IF(OR($A48="",E48="",E48&lt;=0,Séries!T47=""),"",E48/Séries!T47-1)</f>
        <v/>
      </c>
      <c r="J48" s="27"/>
      <c r="K48" s="1" t="str">
        <f>IF(COUNTA(A48:E48)=0,"",IF(A48="","Preencha a data",IF(NOT(ISNUMBER(A48)),"Data inválida",IF(OR(A48&lt;36526,A48&gt;73050,A48&lt;&gt;INT(A48)),"Data inválida",IF(A48&lt;=Séries!U47,"Data repetida / fora de ordem",IF(COUNTA(B48:E48)&lt;&gt;COUNT(B48:E48),"Use preços numéricos",IF(OR(AND(ISNUMBER(B48),B48&lt;=0),AND(ISNUMBER(C48),C48&lt;=0),AND(ISNUMBER(D48),D48&lt;=0),AND(ISNUMBER(E48),E48&lt;=0)),"Use preços positivos","")))))))</f>
        <v/>
      </c>
    </row>
    <row r="49" spans="1:11" ht="22.95" customHeight="1">
      <c r="A49" s="28"/>
      <c r="B49" s="29"/>
      <c r="C49" s="29"/>
      <c r="D49" s="29"/>
      <c r="E49" s="30"/>
      <c r="F49" s="22" t="str">
        <f>IF(OR($A49="",B49="",B49&lt;=0,Séries!Q48=""),"",B49/Séries!Q48-1)</f>
        <v/>
      </c>
      <c r="G49" s="22" t="str">
        <f>IF(OR($A49="",C49="",C49&lt;=0,Séries!R48=""),"",C49/Séries!R48-1)</f>
        <v/>
      </c>
      <c r="H49" s="22" t="str">
        <f>IF(OR($A49="",D49="",D49&lt;=0,Séries!S48=""),"",D49/Séries!S48-1)</f>
        <v/>
      </c>
      <c r="I49" s="22" t="str">
        <f>IF(OR($A49="",E49="",E49&lt;=0,Séries!T48=""),"",E49/Séries!T48-1)</f>
        <v/>
      </c>
      <c r="J49" s="27"/>
      <c r="K49" s="1" t="str">
        <f>IF(COUNTA(A49:E49)=0,"",IF(A49="","Preencha a data",IF(NOT(ISNUMBER(A49)),"Data inválida",IF(OR(A49&lt;36526,A49&gt;73050,A49&lt;&gt;INT(A49)),"Data inválida",IF(A49&lt;=Séries!U48,"Data repetida / fora de ordem",IF(COUNTA(B49:E49)&lt;&gt;COUNT(B49:E49),"Use preços numéricos",IF(OR(AND(ISNUMBER(B49),B49&lt;=0),AND(ISNUMBER(C49),C49&lt;=0),AND(ISNUMBER(D49),D49&lt;=0),AND(ISNUMBER(E49),E49&lt;=0)),"Use preços positivos","")))))))</f>
        <v/>
      </c>
    </row>
    <row r="50" spans="1:11" ht="22.95" customHeight="1">
      <c r="A50" s="28"/>
      <c r="B50" s="29"/>
      <c r="C50" s="29"/>
      <c r="D50" s="29"/>
      <c r="E50" s="30"/>
      <c r="F50" s="22" t="str">
        <f>IF(OR($A50="",B50="",B50&lt;=0,Séries!Q49=""),"",B50/Séries!Q49-1)</f>
        <v/>
      </c>
      <c r="G50" s="22" t="str">
        <f>IF(OR($A50="",C50="",C50&lt;=0,Séries!R49=""),"",C50/Séries!R49-1)</f>
        <v/>
      </c>
      <c r="H50" s="22" t="str">
        <f>IF(OR($A50="",D50="",D50&lt;=0,Séries!S49=""),"",D50/Séries!S49-1)</f>
        <v/>
      </c>
      <c r="I50" s="22" t="str">
        <f>IF(OR($A50="",E50="",E50&lt;=0,Séries!T49=""),"",E50/Séries!T49-1)</f>
        <v/>
      </c>
      <c r="J50" s="27"/>
      <c r="K50" s="1" t="str">
        <f>IF(COUNTA(A50:E50)=0,"",IF(A50="","Preencha a data",IF(NOT(ISNUMBER(A50)),"Data inválida",IF(OR(A50&lt;36526,A50&gt;73050,A50&lt;&gt;INT(A50)),"Data inválida",IF(A50&lt;=Séries!U49,"Data repetida / fora de ordem",IF(COUNTA(B50:E50)&lt;&gt;COUNT(B50:E50),"Use preços numéricos",IF(OR(AND(ISNUMBER(B50),B50&lt;=0),AND(ISNUMBER(C50),C50&lt;=0),AND(ISNUMBER(D50),D50&lt;=0),AND(ISNUMBER(E50),E50&lt;=0)),"Use preços positivos","")))))))</f>
        <v/>
      </c>
    </row>
    <row r="51" spans="1:11" ht="22.95" customHeight="1">
      <c r="A51" s="28"/>
      <c r="B51" s="29"/>
      <c r="C51" s="29"/>
      <c r="D51" s="29"/>
      <c r="E51" s="30"/>
      <c r="F51" s="22" t="str">
        <f>IF(OR($A51="",B51="",B51&lt;=0,Séries!Q50=""),"",B51/Séries!Q50-1)</f>
        <v/>
      </c>
      <c r="G51" s="22" t="str">
        <f>IF(OR($A51="",C51="",C51&lt;=0,Séries!R50=""),"",C51/Séries!R50-1)</f>
        <v/>
      </c>
      <c r="H51" s="22" t="str">
        <f>IF(OR($A51="",D51="",D51&lt;=0,Séries!S50=""),"",D51/Séries!S50-1)</f>
        <v/>
      </c>
      <c r="I51" s="22" t="str">
        <f>IF(OR($A51="",E51="",E51&lt;=0,Séries!T50=""),"",E51/Séries!T50-1)</f>
        <v/>
      </c>
      <c r="J51" s="27"/>
      <c r="K51" s="1" t="str">
        <f>IF(COUNTA(A51:E51)=0,"",IF(A51="","Preencha a data",IF(NOT(ISNUMBER(A51)),"Data inválida",IF(OR(A51&lt;36526,A51&gt;73050,A51&lt;&gt;INT(A51)),"Data inválida",IF(A51&lt;=Séries!U50,"Data repetida / fora de ordem",IF(COUNTA(B51:E51)&lt;&gt;COUNT(B51:E51),"Use preços numéricos",IF(OR(AND(ISNUMBER(B51),B51&lt;=0),AND(ISNUMBER(C51),C51&lt;=0),AND(ISNUMBER(D51),D51&lt;=0),AND(ISNUMBER(E51),E51&lt;=0)),"Use preços positivos","")))))))</f>
        <v/>
      </c>
    </row>
    <row r="52" spans="1:11" ht="22.95" customHeight="1">
      <c r="A52" s="28"/>
      <c r="B52" s="29"/>
      <c r="C52" s="29"/>
      <c r="D52" s="29"/>
      <c r="E52" s="30"/>
      <c r="F52" s="22" t="str">
        <f>IF(OR($A52="",B52="",B52&lt;=0,Séries!Q51=""),"",B52/Séries!Q51-1)</f>
        <v/>
      </c>
      <c r="G52" s="22" t="str">
        <f>IF(OR($A52="",C52="",C52&lt;=0,Séries!R51=""),"",C52/Séries!R51-1)</f>
        <v/>
      </c>
      <c r="H52" s="22" t="str">
        <f>IF(OR($A52="",D52="",D52&lt;=0,Séries!S51=""),"",D52/Séries!S51-1)</f>
        <v/>
      </c>
      <c r="I52" s="22" t="str">
        <f>IF(OR($A52="",E52="",E52&lt;=0,Séries!T51=""),"",E52/Séries!T51-1)</f>
        <v/>
      </c>
      <c r="J52" s="27"/>
      <c r="K52" s="1" t="str">
        <f>IF(COUNTA(A52:E52)=0,"",IF(A52="","Preencha a data",IF(NOT(ISNUMBER(A52)),"Data inválida",IF(OR(A52&lt;36526,A52&gt;73050,A52&lt;&gt;INT(A52)),"Data inválida",IF(A52&lt;=Séries!U51,"Data repetida / fora de ordem",IF(COUNTA(B52:E52)&lt;&gt;COUNT(B52:E52),"Use preços numéricos",IF(OR(AND(ISNUMBER(B52),B52&lt;=0),AND(ISNUMBER(C52),C52&lt;=0),AND(ISNUMBER(D52),D52&lt;=0),AND(ISNUMBER(E52),E52&lt;=0)),"Use preços positivos","")))))))</f>
        <v/>
      </c>
    </row>
    <row r="53" spans="1:11" ht="22.95" customHeight="1">
      <c r="A53" s="28"/>
      <c r="B53" s="29"/>
      <c r="C53" s="29"/>
      <c r="D53" s="29"/>
      <c r="E53" s="30"/>
      <c r="F53" s="22" t="str">
        <f>IF(OR($A53="",B53="",B53&lt;=0,Séries!Q52=""),"",B53/Séries!Q52-1)</f>
        <v/>
      </c>
      <c r="G53" s="22" t="str">
        <f>IF(OR($A53="",C53="",C53&lt;=0,Séries!R52=""),"",C53/Séries!R52-1)</f>
        <v/>
      </c>
      <c r="H53" s="22" t="str">
        <f>IF(OR($A53="",D53="",D53&lt;=0,Séries!S52=""),"",D53/Séries!S52-1)</f>
        <v/>
      </c>
      <c r="I53" s="22" t="str">
        <f>IF(OR($A53="",E53="",E53&lt;=0,Séries!T52=""),"",E53/Séries!T52-1)</f>
        <v/>
      </c>
      <c r="J53" s="27"/>
      <c r="K53" s="1" t="str">
        <f>IF(COUNTA(A53:E53)=0,"",IF(A53="","Preencha a data",IF(NOT(ISNUMBER(A53)),"Data inválida",IF(OR(A53&lt;36526,A53&gt;73050,A53&lt;&gt;INT(A53)),"Data inválida",IF(A53&lt;=Séries!U52,"Data repetida / fora de ordem",IF(COUNTA(B53:E53)&lt;&gt;COUNT(B53:E53),"Use preços numéricos",IF(OR(AND(ISNUMBER(B53),B53&lt;=0),AND(ISNUMBER(C53),C53&lt;=0),AND(ISNUMBER(D53),D53&lt;=0),AND(ISNUMBER(E53),E53&lt;=0)),"Use preços positivos","")))))))</f>
        <v/>
      </c>
    </row>
    <row r="54" spans="1:11" ht="22.95" customHeight="1">
      <c r="A54" s="28"/>
      <c r="B54" s="29"/>
      <c r="C54" s="29"/>
      <c r="D54" s="29"/>
      <c r="E54" s="30"/>
      <c r="F54" s="22" t="str">
        <f>IF(OR($A54="",B54="",B54&lt;=0,Séries!Q53=""),"",B54/Séries!Q53-1)</f>
        <v/>
      </c>
      <c r="G54" s="22" t="str">
        <f>IF(OR($A54="",C54="",C54&lt;=0,Séries!R53=""),"",C54/Séries!R53-1)</f>
        <v/>
      </c>
      <c r="H54" s="22" t="str">
        <f>IF(OR($A54="",D54="",D54&lt;=0,Séries!S53=""),"",D54/Séries!S53-1)</f>
        <v/>
      </c>
      <c r="I54" s="22" t="str">
        <f>IF(OR($A54="",E54="",E54&lt;=0,Séries!T53=""),"",E54/Séries!T53-1)</f>
        <v/>
      </c>
      <c r="J54" s="27"/>
      <c r="K54" s="1" t="str">
        <f>IF(COUNTA(A54:E54)=0,"",IF(A54="","Preencha a data",IF(NOT(ISNUMBER(A54)),"Data inválida",IF(OR(A54&lt;36526,A54&gt;73050,A54&lt;&gt;INT(A54)),"Data inválida",IF(A54&lt;=Séries!U53,"Data repetida / fora de ordem",IF(COUNTA(B54:E54)&lt;&gt;COUNT(B54:E54),"Use preços numéricos",IF(OR(AND(ISNUMBER(B54),B54&lt;=0),AND(ISNUMBER(C54),C54&lt;=0),AND(ISNUMBER(D54),D54&lt;=0),AND(ISNUMBER(E54),E54&lt;=0)),"Use preços positivos","")))))))</f>
        <v/>
      </c>
    </row>
    <row r="55" spans="1:11" ht="22.95" customHeight="1">
      <c r="A55" s="28"/>
      <c r="B55" s="29"/>
      <c r="C55" s="29"/>
      <c r="D55" s="29"/>
      <c r="E55" s="30"/>
      <c r="F55" s="22" t="str">
        <f>IF(OR($A55="",B55="",B55&lt;=0,Séries!Q54=""),"",B55/Séries!Q54-1)</f>
        <v/>
      </c>
      <c r="G55" s="22" t="str">
        <f>IF(OR($A55="",C55="",C55&lt;=0,Séries!R54=""),"",C55/Séries!R54-1)</f>
        <v/>
      </c>
      <c r="H55" s="22" t="str">
        <f>IF(OR($A55="",D55="",D55&lt;=0,Séries!S54=""),"",D55/Séries!S54-1)</f>
        <v/>
      </c>
      <c r="I55" s="22" t="str">
        <f>IF(OR($A55="",E55="",E55&lt;=0,Séries!T54=""),"",E55/Séries!T54-1)</f>
        <v/>
      </c>
      <c r="J55" s="27"/>
      <c r="K55" s="1" t="str">
        <f>IF(COUNTA(A55:E55)=0,"",IF(A55="","Preencha a data",IF(NOT(ISNUMBER(A55)),"Data inválida",IF(OR(A55&lt;36526,A55&gt;73050,A55&lt;&gt;INT(A55)),"Data inválida",IF(A55&lt;=Séries!U54,"Data repetida / fora de ordem",IF(COUNTA(B55:E55)&lt;&gt;COUNT(B55:E55),"Use preços numéricos",IF(OR(AND(ISNUMBER(B55),B55&lt;=0),AND(ISNUMBER(C55),C55&lt;=0),AND(ISNUMBER(D55),D55&lt;=0),AND(ISNUMBER(E55),E55&lt;=0)),"Use preços positivos","")))))))</f>
        <v/>
      </c>
    </row>
    <row r="56" spans="1:11" ht="22.95" customHeight="1">
      <c r="A56" s="28"/>
      <c r="B56" s="29"/>
      <c r="C56" s="29"/>
      <c r="D56" s="29"/>
      <c r="E56" s="30"/>
      <c r="F56" s="22" t="str">
        <f>IF(OR($A56="",B56="",B56&lt;=0,Séries!Q55=""),"",B56/Séries!Q55-1)</f>
        <v/>
      </c>
      <c r="G56" s="22" t="str">
        <f>IF(OR($A56="",C56="",C56&lt;=0,Séries!R55=""),"",C56/Séries!R55-1)</f>
        <v/>
      </c>
      <c r="H56" s="22" t="str">
        <f>IF(OR($A56="",D56="",D56&lt;=0,Séries!S55=""),"",D56/Séries!S55-1)</f>
        <v/>
      </c>
      <c r="I56" s="22" t="str">
        <f>IF(OR($A56="",E56="",E56&lt;=0,Séries!T55=""),"",E56/Séries!T55-1)</f>
        <v/>
      </c>
      <c r="J56" s="27"/>
      <c r="K56" s="1" t="str">
        <f>IF(COUNTA(A56:E56)=0,"",IF(A56="","Preencha a data",IF(NOT(ISNUMBER(A56)),"Data inválida",IF(OR(A56&lt;36526,A56&gt;73050,A56&lt;&gt;INT(A56)),"Data inválida",IF(A56&lt;=Séries!U55,"Data repetida / fora de ordem",IF(COUNTA(B56:E56)&lt;&gt;COUNT(B56:E56),"Use preços numéricos",IF(OR(AND(ISNUMBER(B56),B56&lt;=0),AND(ISNUMBER(C56),C56&lt;=0),AND(ISNUMBER(D56),D56&lt;=0),AND(ISNUMBER(E56),E56&lt;=0)),"Use preços positivos","")))))))</f>
        <v/>
      </c>
    </row>
    <row r="57" spans="1:11" ht="22.95" customHeight="1">
      <c r="A57" s="28"/>
      <c r="B57" s="29"/>
      <c r="C57" s="29"/>
      <c r="D57" s="29"/>
      <c r="E57" s="30"/>
      <c r="F57" s="22" t="str">
        <f>IF(OR($A57="",B57="",B57&lt;=0,Séries!Q56=""),"",B57/Séries!Q56-1)</f>
        <v/>
      </c>
      <c r="G57" s="22" t="str">
        <f>IF(OR($A57="",C57="",C57&lt;=0,Séries!R56=""),"",C57/Séries!R56-1)</f>
        <v/>
      </c>
      <c r="H57" s="22" t="str">
        <f>IF(OR($A57="",D57="",D57&lt;=0,Séries!S56=""),"",D57/Séries!S56-1)</f>
        <v/>
      </c>
      <c r="I57" s="22" t="str">
        <f>IF(OR($A57="",E57="",E57&lt;=0,Séries!T56=""),"",E57/Séries!T56-1)</f>
        <v/>
      </c>
      <c r="J57" s="27"/>
      <c r="K57" s="1" t="str">
        <f>IF(COUNTA(A57:E57)=0,"",IF(A57="","Preencha a data",IF(NOT(ISNUMBER(A57)),"Data inválida",IF(OR(A57&lt;36526,A57&gt;73050,A57&lt;&gt;INT(A57)),"Data inválida",IF(A57&lt;=Séries!U56,"Data repetida / fora de ordem",IF(COUNTA(B57:E57)&lt;&gt;COUNT(B57:E57),"Use preços numéricos",IF(OR(AND(ISNUMBER(B57),B57&lt;=0),AND(ISNUMBER(C57),C57&lt;=0),AND(ISNUMBER(D57),D57&lt;=0),AND(ISNUMBER(E57),E57&lt;=0)),"Use preços positivos","")))))))</f>
        <v/>
      </c>
    </row>
    <row r="58" spans="1:11" ht="22.95" customHeight="1">
      <c r="A58" s="28"/>
      <c r="B58" s="29"/>
      <c r="C58" s="29"/>
      <c r="D58" s="29"/>
      <c r="E58" s="30"/>
      <c r="F58" s="22" t="str">
        <f>IF(OR($A58="",B58="",B58&lt;=0,Séries!Q57=""),"",B58/Séries!Q57-1)</f>
        <v/>
      </c>
      <c r="G58" s="22" t="str">
        <f>IF(OR($A58="",C58="",C58&lt;=0,Séries!R57=""),"",C58/Séries!R57-1)</f>
        <v/>
      </c>
      <c r="H58" s="22" t="str">
        <f>IF(OR($A58="",D58="",D58&lt;=0,Séries!S57=""),"",D58/Séries!S57-1)</f>
        <v/>
      </c>
      <c r="I58" s="22" t="str">
        <f>IF(OR($A58="",E58="",E58&lt;=0,Séries!T57=""),"",E58/Séries!T57-1)</f>
        <v/>
      </c>
      <c r="J58" s="27"/>
      <c r="K58" s="1" t="str">
        <f>IF(COUNTA(A58:E58)=0,"",IF(A58="","Preencha a data",IF(NOT(ISNUMBER(A58)),"Data inválida",IF(OR(A58&lt;36526,A58&gt;73050,A58&lt;&gt;INT(A58)),"Data inválida",IF(A58&lt;=Séries!U57,"Data repetida / fora de ordem",IF(COUNTA(B58:E58)&lt;&gt;COUNT(B58:E58),"Use preços numéricos",IF(OR(AND(ISNUMBER(B58),B58&lt;=0),AND(ISNUMBER(C58),C58&lt;=0),AND(ISNUMBER(D58),D58&lt;=0),AND(ISNUMBER(E58),E58&lt;=0)),"Use preços positivos","")))))))</f>
        <v/>
      </c>
    </row>
    <row r="59" spans="1:11" ht="22.95" customHeight="1">
      <c r="A59" s="28"/>
      <c r="B59" s="29"/>
      <c r="C59" s="29"/>
      <c r="D59" s="29"/>
      <c r="E59" s="30"/>
      <c r="F59" s="22" t="str">
        <f>IF(OR($A59="",B59="",B59&lt;=0,Séries!Q58=""),"",B59/Séries!Q58-1)</f>
        <v/>
      </c>
      <c r="G59" s="22" t="str">
        <f>IF(OR($A59="",C59="",C59&lt;=0,Séries!R58=""),"",C59/Séries!R58-1)</f>
        <v/>
      </c>
      <c r="H59" s="22" t="str">
        <f>IF(OR($A59="",D59="",D59&lt;=0,Séries!S58=""),"",D59/Séries!S58-1)</f>
        <v/>
      </c>
      <c r="I59" s="22" t="str">
        <f>IF(OR($A59="",E59="",E59&lt;=0,Séries!T58=""),"",E59/Séries!T58-1)</f>
        <v/>
      </c>
      <c r="J59" s="27"/>
      <c r="K59" s="1" t="str">
        <f>IF(COUNTA(A59:E59)=0,"",IF(A59="","Preencha a data",IF(NOT(ISNUMBER(A59)),"Data inválida",IF(OR(A59&lt;36526,A59&gt;73050,A59&lt;&gt;INT(A59)),"Data inválida",IF(A59&lt;=Séries!U58,"Data repetida / fora de ordem",IF(COUNTA(B59:E59)&lt;&gt;COUNT(B59:E59),"Use preços numéricos",IF(OR(AND(ISNUMBER(B59),B59&lt;=0),AND(ISNUMBER(C59),C59&lt;=0),AND(ISNUMBER(D59),D59&lt;=0),AND(ISNUMBER(E59),E59&lt;=0)),"Use preços positivos","")))))))</f>
        <v/>
      </c>
    </row>
    <row r="60" spans="1:11" ht="22.95" customHeight="1">
      <c r="A60" s="28"/>
      <c r="B60" s="29"/>
      <c r="C60" s="29"/>
      <c r="D60" s="29"/>
      <c r="E60" s="30"/>
      <c r="F60" s="22" t="str">
        <f>IF(OR($A60="",B60="",B60&lt;=0,Séries!Q59=""),"",B60/Séries!Q59-1)</f>
        <v/>
      </c>
      <c r="G60" s="22" t="str">
        <f>IF(OR($A60="",C60="",C60&lt;=0,Séries!R59=""),"",C60/Séries!R59-1)</f>
        <v/>
      </c>
      <c r="H60" s="22" t="str">
        <f>IF(OR($A60="",D60="",D60&lt;=0,Séries!S59=""),"",D60/Séries!S59-1)</f>
        <v/>
      </c>
      <c r="I60" s="22" t="str">
        <f>IF(OR($A60="",E60="",E60&lt;=0,Séries!T59=""),"",E60/Séries!T59-1)</f>
        <v/>
      </c>
      <c r="J60" s="27"/>
      <c r="K60" s="1" t="str">
        <f>IF(COUNTA(A60:E60)=0,"",IF(A60="","Preencha a data",IF(NOT(ISNUMBER(A60)),"Data inválida",IF(OR(A60&lt;36526,A60&gt;73050,A60&lt;&gt;INT(A60)),"Data inválida",IF(A60&lt;=Séries!U59,"Data repetida / fora de ordem",IF(COUNTA(B60:E60)&lt;&gt;COUNT(B60:E60),"Use preços numéricos",IF(OR(AND(ISNUMBER(B60),B60&lt;=0),AND(ISNUMBER(C60),C60&lt;=0),AND(ISNUMBER(D60),D60&lt;=0),AND(ISNUMBER(E60),E60&lt;=0)),"Use preços positivos","")))))))</f>
        <v/>
      </c>
    </row>
    <row r="61" spans="1:11" ht="22.95" customHeight="1">
      <c r="A61" s="28"/>
      <c r="B61" s="29"/>
      <c r="C61" s="29"/>
      <c r="D61" s="29"/>
      <c r="E61" s="30"/>
      <c r="F61" s="22" t="str">
        <f>IF(OR($A61="",B61="",B61&lt;=0,Séries!Q60=""),"",B61/Séries!Q60-1)</f>
        <v/>
      </c>
      <c r="G61" s="22" t="str">
        <f>IF(OR($A61="",C61="",C61&lt;=0,Séries!R60=""),"",C61/Séries!R60-1)</f>
        <v/>
      </c>
      <c r="H61" s="22" t="str">
        <f>IF(OR($A61="",D61="",D61&lt;=0,Séries!S60=""),"",D61/Séries!S60-1)</f>
        <v/>
      </c>
      <c r="I61" s="22" t="str">
        <f>IF(OR($A61="",E61="",E61&lt;=0,Séries!T60=""),"",E61/Séries!T60-1)</f>
        <v/>
      </c>
      <c r="J61" s="27"/>
      <c r="K61" s="1" t="str">
        <f>IF(COUNTA(A61:E61)=0,"",IF(A61="","Preencha a data",IF(NOT(ISNUMBER(A61)),"Data inválida",IF(OR(A61&lt;36526,A61&gt;73050,A61&lt;&gt;INT(A61)),"Data inválida",IF(A61&lt;=Séries!U60,"Data repetida / fora de ordem",IF(COUNTA(B61:E61)&lt;&gt;COUNT(B61:E61),"Use preços numéricos",IF(OR(AND(ISNUMBER(B61),B61&lt;=0),AND(ISNUMBER(C61),C61&lt;=0),AND(ISNUMBER(D61),D61&lt;=0),AND(ISNUMBER(E61),E61&lt;=0)),"Use preços positivos","")))))))</f>
        <v/>
      </c>
    </row>
    <row r="62" spans="1:11" ht="22.95" customHeight="1">
      <c r="A62" s="28"/>
      <c r="B62" s="29"/>
      <c r="C62" s="29"/>
      <c r="D62" s="29"/>
      <c r="E62" s="30"/>
      <c r="F62" s="22" t="str">
        <f>IF(OR($A62="",B62="",B62&lt;=0,Séries!Q61=""),"",B62/Séries!Q61-1)</f>
        <v/>
      </c>
      <c r="G62" s="22" t="str">
        <f>IF(OR($A62="",C62="",C62&lt;=0,Séries!R61=""),"",C62/Séries!R61-1)</f>
        <v/>
      </c>
      <c r="H62" s="22" t="str">
        <f>IF(OR($A62="",D62="",D62&lt;=0,Séries!S61=""),"",D62/Séries!S61-1)</f>
        <v/>
      </c>
      <c r="I62" s="22" t="str">
        <f>IF(OR($A62="",E62="",E62&lt;=0,Séries!T61=""),"",E62/Séries!T61-1)</f>
        <v/>
      </c>
      <c r="J62" s="27"/>
      <c r="K62" s="1" t="str">
        <f>IF(COUNTA(A62:E62)=0,"",IF(A62="","Preencha a data",IF(NOT(ISNUMBER(A62)),"Data inválida",IF(OR(A62&lt;36526,A62&gt;73050,A62&lt;&gt;INT(A62)),"Data inválida",IF(A62&lt;=Séries!U61,"Data repetida / fora de ordem",IF(COUNTA(B62:E62)&lt;&gt;COUNT(B62:E62),"Use preços numéricos",IF(OR(AND(ISNUMBER(B62),B62&lt;=0),AND(ISNUMBER(C62),C62&lt;=0),AND(ISNUMBER(D62),D62&lt;=0),AND(ISNUMBER(E62),E62&lt;=0)),"Use preços positivos","")))))))</f>
        <v/>
      </c>
    </row>
    <row r="63" spans="1:11" ht="22.95" customHeight="1">
      <c r="A63" s="28"/>
      <c r="B63" s="29"/>
      <c r="C63" s="29"/>
      <c r="D63" s="29"/>
      <c r="E63" s="30"/>
      <c r="F63" s="22" t="str">
        <f>IF(OR($A63="",B63="",B63&lt;=0,Séries!Q62=""),"",B63/Séries!Q62-1)</f>
        <v/>
      </c>
      <c r="G63" s="22" t="str">
        <f>IF(OR($A63="",C63="",C63&lt;=0,Séries!R62=""),"",C63/Séries!R62-1)</f>
        <v/>
      </c>
      <c r="H63" s="22" t="str">
        <f>IF(OR($A63="",D63="",D63&lt;=0,Séries!S62=""),"",D63/Séries!S62-1)</f>
        <v/>
      </c>
      <c r="I63" s="22" t="str">
        <f>IF(OR($A63="",E63="",E63&lt;=0,Séries!T62=""),"",E63/Séries!T62-1)</f>
        <v/>
      </c>
      <c r="J63" s="27"/>
      <c r="K63" s="1" t="str">
        <f>IF(COUNTA(A63:E63)=0,"",IF(A63="","Preencha a data",IF(NOT(ISNUMBER(A63)),"Data inválida",IF(OR(A63&lt;36526,A63&gt;73050,A63&lt;&gt;INT(A63)),"Data inválida",IF(A63&lt;=Séries!U62,"Data repetida / fora de ordem",IF(COUNTA(B63:E63)&lt;&gt;COUNT(B63:E63),"Use preços numéricos",IF(OR(AND(ISNUMBER(B63),B63&lt;=0),AND(ISNUMBER(C63),C63&lt;=0),AND(ISNUMBER(D63),D63&lt;=0),AND(ISNUMBER(E63),E63&lt;=0)),"Use preços positivos","")))))))</f>
        <v/>
      </c>
    </row>
    <row r="64" spans="1:11" ht="22.95" customHeight="1">
      <c r="A64" s="28"/>
      <c r="B64" s="29"/>
      <c r="C64" s="29"/>
      <c r="D64" s="29"/>
      <c r="E64" s="30"/>
      <c r="F64" s="22" t="str">
        <f>IF(OR($A64="",B64="",B64&lt;=0,Séries!Q63=""),"",B64/Séries!Q63-1)</f>
        <v/>
      </c>
      <c r="G64" s="22" t="str">
        <f>IF(OR($A64="",C64="",C64&lt;=0,Séries!R63=""),"",C64/Séries!R63-1)</f>
        <v/>
      </c>
      <c r="H64" s="22" t="str">
        <f>IF(OR($A64="",D64="",D64&lt;=0,Séries!S63=""),"",D64/Séries!S63-1)</f>
        <v/>
      </c>
      <c r="I64" s="22" t="str">
        <f>IF(OR($A64="",E64="",E64&lt;=0,Séries!T63=""),"",E64/Séries!T63-1)</f>
        <v/>
      </c>
      <c r="J64" s="27"/>
      <c r="K64" s="1" t="str">
        <f>IF(COUNTA(A64:E64)=0,"",IF(A64="","Preencha a data",IF(NOT(ISNUMBER(A64)),"Data inválida",IF(OR(A64&lt;36526,A64&gt;73050,A64&lt;&gt;INT(A64)),"Data inválida",IF(A64&lt;=Séries!U63,"Data repetida / fora de ordem",IF(COUNTA(B64:E64)&lt;&gt;COUNT(B64:E64),"Use preços numéricos",IF(OR(AND(ISNUMBER(B64),B64&lt;=0),AND(ISNUMBER(C64),C64&lt;=0),AND(ISNUMBER(D64),D64&lt;=0),AND(ISNUMBER(E64),E64&lt;=0)),"Use preços positivos","")))))))</f>
        <v/>
      </c>
    </row>
    <row r="65" spans="1:11" ht="22.95" customHeight="1">
      <c r="A65" s="28"/>
      <c r="B65" s="29"/>
      <c r="C65" s="29"/>
      <c r="D65" s="29"/>
      <c r="E65" s="30"/>
      <c r="F65" s="22" t="str">
        <f>IF(OR($A65="",B65="",B65&lt;=0,Séries!Q64=""),"",B65/Séries!Q64-1)</f>
        <v/>
      </c>
      <c r="G65" s="22" t="str">
        <f>IF(OR($A65="",C65="",C65&lt;=0,Séries!R64=""),"",C65/Séries!R64-1)</f>
        <v/>
      </c>
      <c r="H65" s="22" t="str">
        <f>IF(OR($A65="",D65="",D65&lt;=0,Séries!S64=""),"",D65/Séries!S64-1)</f>
        <v/>
      </c>
      <c r="I65" s="22" t="str">
        <f>IF(OR($A65="",E65="",E65&lt;=0,Séries!T64=""),"",E65/Séries!T64-1)</f>
        <v/>
      </c>
      <c r="J65" s="27"/>
      <c r="K65" s="1" t="str">
        <f>IF(COUNTA(A65:E65)=0,"",IF(A65="","Preencha a data",IF(NOT(ISNUMBER(A65)),"Data inválida",IF(OR(A65&lt;36526,A65&gt;73050,A65&lt;&gt;INT(A65)),"Data inválida",IF(A65&lt;=Séries!U64,"Data repetida / fora de ordem",IF(COUNTA(B65:E65)&lt;&gt;COUNT(B65:E65),"Use preços numéricos",IF(OR(AND(ISNUMBER(B65),B65&lt;=0),AND(ISNUMBER(C65),C65&lt;=0),AND(ISNUMBER(D65),D65&lt;=0),AND(ISNUMBER(E65),E65&lt;=0)),"Use preços positivos","")))))))</f>
        <v/>
      </c>
    </row>
    <row r="66" spans="1:11" ht="22.95" customHeight="1">
      <c r="A66" s="28"/>
      <c r="B66" s="29"/>
      <c r="C66" s="29"/>
      <c r="D66" s="29"/>
      <c r="E66" s="30"/>
      <c r="F66" s="22" t="str">
        <f>IF(OR($A66="",B66="",B66&lt;=0,Séries!Q65=""),"",B66/Séries!Q65-1)</f>
        <v/>
      </c>
      <c r="G66" s="22" t="str">
        <f>IF(OR($A66="",C66="",C66&lt;=0,Séries!R65=""),"",C66/Séries!R65-1)</f>
        <v/>
      </c>
      <c r="H66" s="22" t="str">
        <f>IF(OR($A66="",D66="",D66&lt;=0,Séries!S65=""),"",D66/Séries!S65-1)</f>
        <v/>
      </c>
      <c r="I66" s="22" t="str">
        <f>IF(OR($A66="",E66="",E66&lt;=0,Séries!T65=""),"",E66/Séries!T65-1)</f>
        <v/>
      </c>
      <c r="J66" s="27"/>
      <c r="K66" s="1" t="str">
        <f>IF(COUNTA(A66:E66)=0,"",IF(A66="","Preencha a data",IF(NOT(ISNUMBER(A66)),"Data inválida",IF(OR(A66&lt;36526,A66&gt;73050,A66&lt;&gt;INT(A66)),"Data inválida",IF(A66&lt;=Séries!U65,"Data repetida / fora de ordem",IF(COUNTA(B66:E66)&lt;&gt;COUNT(B66:E66),"Use preços numéricos",IF(OR(AND(ISNUMBER(B66),B66&lt;=0),AND(ISNUMBER(C66),C66&lt;=0),AND(ISNUMBER(D66),D66&lt;=0),AND(ISNUMBER(E66),E66&lt;=0)),"Use preços positivos","")))))))</f>
        <v/>
      </c>
    </row>
    <row r="67" spans="1:11" ht="22.95" customHeight="1">
      <c r="A67" s="28"/>
      <c r="B67" s="29"/>
      <c r="C67" s="29"/>
      <c r="D67" s="29"/>
      <c r="E67" s="30"/>
      <c r="F67" s="22" t="str">
        <f>IF(OR($A67="",B67="",B67&lt;=0,Séries!Q66=""),"",B67/Séries!Q66-1)</f>
        <v/>
      </c>
      <c r="G67" s="22" t="str">
        <f>IF(OR($A67="",C67="",C67&lt;=0,Séries!R66=""),"",C67/Séries!R66-1)</f>
        <v/>
      </c>
      <c r="H67" s="22" t="str">
        <f>IF(OR($A67="",D67="",D67&lt;=0,Séries!S66=""),"",D67/Séries!S66-1)</f>
        <v/>
      </c>
      <c r="I67" s="22" t="str">
        <f>IF(OR($A67="",E67="",E67&lt;=0,Séries!T66=""),"",E67/Séries!T66-1)</f>
        <v/>
      </c>
      <c r="J67" s="27"/>
      <c r="K67" s="1" t="str">
        <f>IF(COUNTA(A67:E67)=0,"",IF(A67="","Preencha a data",IF(NOT(ISNUMBER(A67)),"Data inválida",IF(OR(A67&lt;36526,A67&gt;73050,A67&lt;&gt;INT(A67)),"Data inválida",IF(A67&lt;=Séries!U66,"Data repetida / fora de ordem",IF(COUNTA(B67:E67)&lt;&gt;COUNT(B67:E67),"Use preços numéricos",IF(OR(AND(ISNUMBER(B67),B67&lt;=0),AND(ISNUMBER(C67),C67&lt;=0),AND(ISNUMBER(D67),D67&lt;=0),AND(ISNUMBER(E67),E67&lt;=0)),"Use preços positivos","")))))))</f>
        <v/>
      </c>
    </row>
    <row r="68" spans="1:11" ht="22.95" customHeight="1">
      <c r="A68" s="28"/>
      <c r="B68" s="29"/>
      <c r="C68" s="29"/>
      <c r="D68" s="29"/>
      <c r="E68" s="30"/>
      <c r="F68" s="22" t="str">
        <f>IF(OR($A68="",B68="",B68&lt;=0,Séries!Q67=""),"",B68/Séries!Q67-1)</f>
        <v/>
      </c>
      <c r="G68" s="22" t="str">
        <f>IF(OR($A68="",C68="",C68&lt;=0,Séries!R67=""),"",C68/Séries!R67-1)</f>
        <v/>
      </c>
      <c r="H68" s="22" t="str">
        <f>IF(OR($A68="",D68="",D68&lt;=0,Séries!S67=""),"",D68/Séries!S67-1)</f>
        <v/>
      </c>
      <c r="I68" s="22" t="str">
        <f>IF(OR($A68="",E68="",E68&lt;=0,Séries!T67=""),"",E68/Séries!T67-1)</f>
        <v/>
      </c>
      <c r="J68" s="27"/>
      <c r="K68" s="1" t="str">
        <f>IF(COUNTA(A68:E68)=0,"",IF(A68="","Preencha a data",IF(NOT(ISNUMBER(A68)),"Data inválida",IF(OR(A68&lt;36526,A68&gt;73050,A68&lt;&gt;INT(A68)),"Data inválida",IF(A68&lt;=Séries!U67,"Data repetida / fora de ordem",IF(COUNTA(B68:E68)&lt;&gt;COUNT(B68:E68),"Use preços numéricos",IF(OR(AND(ISNUMBER(B68),B68&lt;=0),AND(ISNUMBER(C68),C68&lt;=0),AND(ISNUMBER(D68),D68&lt;=0),AND(ISNUMBER(E68),E68&lt;=0)),"Use preços positivos","")))))))</f>
        <v/>
      </c>
    </row>
    <row r="69" spans="1:11" ht="22.95" customHeight="1">
      <c r="A69" s="28"/>
      <c r="B69" s="29"/>
      <c r="C69" s="29"/>
      <c r="D69" s="29"/>
      <c r="E69" s="30"/>
      <c r="F69" s="22" t="str">
        <f>IF(OR($A69="",B69="",B69&lt;=0,Séries!Q68=""),"",B69/Séries!Q68-1)</f>
        <v/>
      </c>
      <c r="G69" s="22" t="str">
        <f>IF(OR($A69="",C69="",C69&lt;=0,Séries!R68=""),"",C69/Séries!R68-1)</f>
        <v/>
      </c>
      <c r="H69" s="22" t="str">
        <f>IF(OR($A69="",D69="",D69&lt;=0,Séries!S68=""),"",D69/Séries!S68-1)</f>
        <v/>
      </c>
      <c r="I69" s="22" t="str">
        <f>IF(OR($A69="",E69="",E69&lt;=0,Séries!T68=""),"",E69/Séries!T68-1)</f>
        <v/>
      </c>
      <c r="J69" s="27"/>
      <c r="K69" s="1" t="str">
        <f>IF(COUNTA(A69:E69)=0,"",IF(A69="","Preencha a data",IF(NOT(ISNUMBER(A69)),"Data inválida",IF(OR(A69&lt;36526,A69&gt;73050,A69&lt;&gt;INT(A69)),"Data inválida",IF(A69&lt;=Séries!U68,"Data repetida / fora de ordem",IF(COUNTA(B69:E69)&lt;&gt;COUNT(B69:E69),"Use preços numéricos",IF(OR(AND(ISNUMBER(B69),B69&lt;=0),AND(ISNUMBER(C69),C69&lt;=0),AND(ISNUMBER(D69),D69&lt;=0),AND(ISNUMBER(E69),E69&lt;=0)),"Use preços positivos","")))))))</f>
        <v/>
      </c>
    </row>
    <row r="70" spans="1:11" ht="22.95" customHeight="1">
      <c r="A70" s="28"/>
      <c r="B70" s="29"/>
      <c r="C70" s="29"/>
      <c r="D70" s="29"/>
      <c r="E70" s="30"/>
      <c r="F70" s="22" t="str">
        <f>IF(OR($A70="",B70="",B70&lt;=0,Séries!Q69=""),"",B70/Séries!Q69-1)</f>
        <v/>
      </c>
      <c r="G70" s="22" t="str">
        <f>IF(OR($A70="",C70="",C70&lt;=0,Séries!R69=""),"",C70/Séries!R69-1)</f>
        <v/>
      </c>
      <c r="H70" s="22" t="str">
        <f>IF(OR($A70="",D70="",D70&lt;=0,Séries!S69=""),"",D70/Séries!S69-1)</f>
        <v/>
      </c>
      <c r="I70" s="22" t="str">
        <f>IF(OR($A70="",E70="",E70&lt;=0,Séries!T69=""),"",E70/Séries!T69-1)</f>
        <v/>
      </c>
      <c r="J70" s="27"/>
      <c r="K70" s="1" t="str">
        <f>IF(COUNTA(A70:E70)=0,"",IF(A70="","Preencha a data",IF(NOT(ISNUMBER(A70)),"Data inválida",IF(OR(A70&lt;36526,A70&gt;73050,A70&lt;&gt;INT(A70)),"Data inválida",IF(A70&lt;=Séries!U69,"Data repetida / fora de ordem",IF(COUNTA(B70:E70)&lt;&gt;COUNT(B70:E70),"Use preços numéricos",IF(OR(AND(ISNUMBER(B70),B70&lt;=0),AND(ISNUMBER(C70),C70&lt;=0),AND(ISNUMBER(D70),D70&lt;=0),AND(ISNUMBER(E70),E70&lt;=0)),"Use preços positivos","")))))))</f>
        <v/>
      </c>
    </row>
    <row r="71" spans="1:11" ht="22.95" customHeight="1">
      <c r="A71" s="28"/>
      <c r="B71" s="29"/>
      <c r="C71" s="29"/>
      <c r="D71" s="29"/>
      <c r="E71" s="30"/>
      <c r="F71" s="22" t="str">
        <f>IF(OR($A71="",B71="",B71&lt;=0,Séries!Q70=""),"",B71/Séries!Q70-1)</f>
        <v/>
      </c>
      <c r="G71" s="22" t="str">
        <f>IF(OR($A71="",C71="",C71&lt;=0,Séries!R70=""),"",C71/Séries!R70-1)</f>
        <v/>
      </c>
      <c r="H71" s="22" t="str">
        <f>IF(OR($A71="",D71="",D71&lt;=0,Séries!S70=""),"",D71/Séries!S70-1)</f>
        <v/>
      </c>
      <c r="I71" s="22" t="str">
        <f>IF(OR($A71="",E71="",E71&lt;=0,Séries!T70=""),"",E71/Séries!T70-1)</f>
        <v/>
      </c>
      <c r="J71" s="27"/>
      <c r="K71" s="1" t="str">
        <f>IF(COUNTA(A71:E71)=0,"",IF(A71="","Preencha a data",IF(NOT(ISNUMBER(A71)),"Data inválida",IF(OR(A71&lt;36526,A71&gt;73050,A71&lt;&gt;INT(A71)),"Data inválida",IF(A71&lt;=Séries!U70,"Data repetida / fora de ordem",IF(COUNTA(B71:E71)&lt;&gt;COUNT(B71:E71),"Use preços numéricos",IF(OR(AND(ISNUMBER(B71),B71&lt;=0),AND(ISNUMBER(C71),C71&lt;=0),AND(ISNUMBER(D71),D71&lt;=0),AND(ISNUMBER(E71),E71&lt;=0)),"Use preços positivos","")))))))</f>
        <v/>
      </c>
    </row>
    <row r="72" spans="1:11" ht="22.95" customHeight="1">
      <c r="A72" s="28"/>
      <c r="B72" s="29"/>
      <c r="C72" s="29"/>
      <c r="D72" s="29"/>
      <c r="E72" s="30"/>
      <c r="F72" s="22" t="str">
        <f>IF(OR($A72="",B72="",B72&lt;=0,Séries!Q71=""),"",B72/Séries!Q71-1)</f>
        <v/>
      </c>
      <c r="G72" s="22" t="str">
        <f>IF(OR($A72="",C72="",C72&lt;=0,Séries!R71=""),"",C72/Séries!R71-1)</f>
        <v/>
      </c>
      <c r="H72" s="22" t="str">
        <f>IF(OR($A72="",D72="",D72&lt;=0,Séries!S71=""),"",D72/Séries!S71-1)</f>
        <v/>
      </c>
      <c r="I72" s="22" t="str">
        <f>IF(OR($A72="",E72="",E72&lt;=0,Séries!T71=""),"",E72/Séries!T71-1)</f>
        <v/>
      </c>
      <c r="J72" s="27"/>
      <c r="K72" s="1" t="str">
        <f>IF(COUNTA(A72:E72)=0,"",IF(A72="","Preencha a data",IF(NOT(ISNUMBER(A72)),"Data inválida",IF(OR(A72&lt;36526,A72&gt;73050,A72&lt;&gt;INT(A72)),"Data inválida",IF(A72&lt;=Séries!U71,"Data repetida / fora de ordem",IF(COUNTA(B72:E72)&lt;&gt;COUNT(B72:E72),"Use preços numéricos",IF(OR(AND(ISNUMBER(B72),B72&lt;=0),AND(ISNUMBER(C72),C72&lt;=0),AND(ISNUMBER(D72),D72&lt;=0),AND(ISNUMBER(E72),E72&lt;=0)),"Use preços positivos","")))))))</f>
        <v/>
      </c>
    </row>
    <row r="73" spans="1:11" ht="22.95" customHeight="1">
      <c r="A73" s="28"/>
      <c r="B73" s="29"/>
      <c r="C73" s="29"/>
      <c r="D73" s="29"/>
      <c r="E73" s="30"/>
      <c r="F73" s="22" t="str">
        <f>IF(OR($A73="",B73="",B73&lt;=0,Séries!Q72=""),"",B73/Séries!Q72-1)</f>
        <v/>
      </c>
      <c r="G73" s="22" t="str">
        <f>IF(OR($A73="",C73="",C73&lt;=0,Séries!R72=""),"",C73/Séries!R72-1)</f>
        <v/>
      </c>
      <c r="H73" s="22" t="str">
        <f>IF(OR($A73="",D73="",D73&lt;=0,Séries!S72=""),"",D73/Séries!S72-1)</f>
        <v/>
      </c>
      <c r="I73" s="22" t="str">
        <f>IF(OR($A73="",E73="",E73&lt;=0,Séries!T72=""),"",E73/Séries!T72-1)</f>
        <v/>
      </c>
      <c r="J73" s="27"/>
      <c r="K73" s="1" t="str">
        <f>IF(COUNTA(A73:E73)=0,"",IF(A73="","Preencha a data",IF(NOT(ISNUMBER(A73)),"Data inválida",IF(OR(A73&lt;36526,A73&gt;73050,A73&lt;&gt;INT(A73)),"Data inválida",IF(A73&lt;=Séries!U72,"Data repetida / fora de ordem",IF(COUNTA(B73:E73)&lt;&gt;COUNT(B73:E73),"Use preços numéricos",IF(OR(AND(ISNUMBER(B73),B73&lt;=0),AND(ISNUMBER(C73),C73&lt;=0),AND(ISNUMBER(D73),D73&lt;=0),AND(ISNUMBER(E73),E73&lt;=0)),"Use preços positivos","")))))))</f>
        <v/>
      </c>
    </row>
    <row r="74" spans="1:11" ht="22.95" customHeight="1">
      <c r="A74" s="28"/>
      <c r="B74" s="29"/>
      <c r="C74" s="29"/>
      <c r="D74" s="29"/>
      <c r="E74" s="30"/>
      <c r="F74" s="22" t="str">
        <f>IF(OR($A74="",B74="",B74&lt;=0,Séries!Q73=""),"",B74/Séries!Q73-1)</f>
        <v/>
      </c>
      <c r="G74" s="22" t="str">
        <f>IF(OR($A74="",C74="",C74&lt;=0,Séries!R73=""),"",C74/Séries!R73-1)</f>
        <v/>
      </c>
      <c r="H74" s="22" t="str">
        <f>IF(OR($A74="",D74="",D74&lt;=0,Séries!S73=""),"",D74/Séries!S73-1)</f>
        <v/>
      </c>
      <c r="I74" s="22" t="str">
        <f>IF(OR($A74="",E74="",E74&lt;=0,Séries!T73=""),"",E74/Séries!T73-1)</f>
        <v/>
      </c>
      <c r="J74" s="27"/>
      <c r="K74" s="1" t="str">
        <f>IF(COUNTA(A74:E74)=0,"",IF(A74="","Preencha a data",IF(NOT(ISNUMBER(A74)),"Data inválida",IF(OR(A74&lt;36526,A74&gt;73050,A74&lt;&gt;INT(A74)),"Data inválida",IF(A74&lt;=Séries!U73,"Data repetida / fora de ordem",IF(COUNTA(B74:E74)&lt;&gt;COUNT(B74:E74),"Use preços numéricos",IF(OR(AND(ISNUMBER(B74),B74&lt;=0),AND(ISNUMBER(C74),C74&lt;=0),AND(ISNUMBER(D74),D74&lt;=0),AND(ISNUMBER(E74),E74&lt;=0)),"Use preços positivos","")))))))</f>
        <v/>
      </c>
    </row>
    <row r="75" spans="1:11" ht="22.95" customHeight="1">
      <c r="A75" s="28"/>
      <c r="B75" s="29"/>
      <c r="C75" s="29"/>
      <c r="D75" s="29"/>
      <c r="E75" s="30"/>
      <c r="F75" s="22" t="str">
        <f>IF(OR($A75="",B75="",B75&lt;=0,Séries!Q74=""),"",B75/Séries!Q74-1)</f>
        <v/>
      </c>
      <c r="G75" s="22" t="str">
        <f>IF(OR($A75="",C75="",C75&lt;=0,Séries!R74=""),"",C75/Séries!R74-1)</f>
        <v/>
      </c>
      <c r="H75" s="22" t="str">
        <f>IF(OR($A75="",D75="",D75&lt;=0,Séries!S74=""),"",D75/Séries!S74-1)</f>
        <v/>
      </c>
      <c r="I75" s="22" t="str">
        <f>IF(OR($A75="",E75="",E75&lt;=0,Séries!T74=""),"",E75/Séries!T74-1)</f>
        <v/>
      </c>
      <c r="J75" s="27"/>
      <c r="K75" s="1" t="str">
        <f>IF(COUNTA(A75:E75)=0,"",IF(A75="","Preencha a data",IF(NOT(ISNUMBER(A75)),"Data inválida",IF(OR(A75&lt;36526,A75&gt;73050,A75&lt;&gt;INT(A75)),"Data inválida",IF(A75&lt;=Séries!U74,"Data repetida / fora de ordem",IF(COUNTA(B75:E75)&lt;&gt;COUNT(B75:E75),"Use preços numéricos",IF(OR(AND(ISNUMBER(B75),B75&lt;=0),AND(ISNUMBER(C75),C75&lt;=0),AND(ISNUMBER(D75),D75&lt;=0),AND(ISNUMBER(E75),E75&lt;=0)),"Use preços positivos","")))))))</f>
        <v/>
      </c>
    </row>
    <row r="76" spans="1:11" ht="22.95" customHeight="1">
      <c r="A76" s="28"/>
      <c r="B76" s="29"/>
      <c r="C76" s="29"/>
      <c r="D76" s="29"/>
      <c r="E76" s="30"/>
      <c r="F76" s="22" t="str">
        <f>IF(OR($A76="",B76="",B76&lt;=0,Séries!Q75=""),"",B76/Séries!Q75-1)</f>
        <v/>
      </c>
      <c r="G76" s="22" t="str">
        <f>IF(OR($A76="",C76="",C76&lt;=0,Séries!R75=""),"",C76/Séries!R75-1)</f>
        <v/>
      </c>
      <c r="H76" s="22" t="str">
        <f>IF(OR($A76="",D76="",D76&lt;=0,Séries!S75=""),"",D76/Séries!S75-1)</f>
        <v/>
      </c>
      <c r="I76" s="22" t="str">
        <f>IF(OR($A76="",E76="",E76&lt;=0,Séries!T75=""),"",E76/Séries!T75-1)</f>
        <v/>
      </c>
      <c r="J76" s="27"/>
      <c r="K76" s="1" t="str">
        <f>IF(COUNTA(A76:E76)=0,"",IF(A76="","Preencha a data",IF(NOT(ISNUMBER(A76)),"Data inválida",IF(OR(A76&lt;36526,A76&gt;73050,A76&lt;&gt;INT(A76)),"Data inválida",IF(A76&lt;=Séries!U75,"Data repetida / fora de ordem",IF(COUNTA(B76:E76)&lt;&gt;COUNT(B76:E76),"Use preços numéricos",IF(OR(AND(ISNUMBER(B76),B76&lt;=0),AND(ISNUMBER(C76),C76&lt;=0),AND(ISNUMBER(D76),D76&lt;=0),AND(ISNUMBER(E76),E76&lt;=0)),"Use preços positivos","")))))))</f>
        <v/>
      </c>
    </row>
    <row r="77" spans="1:11" ht="22.95" customHeight="1">
      <c r="A77" s="28"/>
      <c r="B77" s="29"/>
      <c r="C77" s="29"/>
      <c r="D77" s="29"/>
      <c r="E77" s="30"/>
      <c r="F77" s="22" t="str">
        <f>IF(OR($A77="",B77="",B77&lt;=0,Séries!Q76=""),"",B77/Séries!Q76-1)</f>
        <v/>
      </c>
      <c r="G77" s="22" t="str">
        <f>IF(OR($A77="",C77="",C77&lt;=0,Séries!R76=""),"",C77/Séries!R76-1)</f>
        <v/>
      </c>
      <c r="H77" s="22" t="str">
        <f>IF(OR($A77="",D77="",D77&lt;=0,Séries!S76=""),"",D77/Séries!S76-1)</f>
        <v/>
      </c>
      <c r="I77" s="22" t="str">
        <f>IF(OR($A77="",E77="",E77&lt;=0,Séries!T76=""),"",E77/Séries!T76-1)</f>
        <v/>
      </c>
      <c r="J77" s="27"/>
      <c r="K77" s="1" t="str">
        <f>IF(COUNTA(A77:E77)=0,"",IF(A77="","Preencha a data",IF(NOT(ISNUMBER(A77)),"Data inválida",IF(OR(A77&lt;36526,A77&gt;73050,A77&lt;&gt;INT(A77)),"Data inválida",IF(A77&lt;=Séries!U76,"Data repetida / fora de ordem",IF(COUNTA(B77:E77)&lt;&gt;COUNT(B77:E77),"Use preços numéricos",IF(OR(AND(ISNUMBER(B77),B77&lt;=0),AND(ISNUMBER(C77),C77&lt;=0),AND(ISNUMBER(D77),D77&lt;=0),AND(ISNUMBER(E77),E77&lt;=0)),"Use preços positivos","")))))))</f>
        <v/>
      </c>
    </row>
    <row r="78" spans="1:11" ht="22.95" customHeight="1">
      <c r="A78" s="28"/>
      <c r="B78" s="29"/>
      <c r="C78" s="29"/>
      <c r="D78" s="29"/>
      <c r="E78" s="30"/>
      <c r="F78" s="22" t="str">
        <f>IF(OR($A78="",B78="",B78&lt;=0,Séries!Q77=""),"",B78/Séries!Q77-1)</f>
        <v/>
      </c>
      <c r="G78" s="22" t="str">
        <f>IF(OR($A78="",C78="",C78&lt;=0,Séries!R77=""),"",C78/Séries!R77-1)</f>
        <v/>
      </c>
      <c r="H78" s="22" t="str">
        <f>IF(OR($A78="",D78="",D78&lt;=0,Séries!S77=""),"",D78/Séries!S77-1)</f>
        <v/>
      </c>
      <c r="I78" s="22" t="str">
        <f>IF(OR($A78="",E78="",E78&lt;=0,Séries!T77=""),"",E78/Séries!T77-1)</f>
        <v/>
      </c>
      <c r="J78" s="27"/>
      <c r="K78" s="1" t="str">
        <f>IF(COUNTA(A78:E78)=0,"",IF(A78="","Preencha a data",IF(NOT(ISNUMBER(A78)),"Data inválida",IF(OR(A78&lt;36526,A78&gt;73050,A78&lt;&gt;INT(A78)),"Data inválida",IF(A78&lt;=Séries!U77,"Data repetida / fora de ordem",IF(COUNTA(B78:E78)&lt;&gt;COUNT(B78:E78),"Use preços numéricos",IF(OR(AND(ISNUMBER(B78),B78&lt;=0),AND(ISNUMBER(C78),C78&lt;=0),AND(ISNUMBER(D78),D78&lt;=0),AND(ISNUMBER(E78),E78&lt;=0)),"Use preços positivos","")))))))</f>
        <v/>
      </c>
    </row>
    <row r="79" spans="1:11" ht="22.95" customHeight="1">
      <c r="A79" s="28"/>
      <c r="B79" s="29"/>
      <c r="C79" s="29"/>
      <c r="D79" s="29"/>
      <c r="E79" s="30"/>
      <c r="F79" s="22" t="str">
        <f>IF(OR($A79="",B79="",B79&lt;=0,Séries!Q78=""),"",B79/Séries!Q78-1)</f>
        <v/>
      </c>
      <c r="G79" s="22" t="str">
        <f>IF(OR($A79="",C79="",C79&lt;=0,Séries!R78=""),"",C79/Séries!R78-1)</f>
        <v/>
      </c>
      <c r="H79" s="22" t="str">
        <f>IF(OR($A79="",D79="",D79&lt;=0,Séries!S78=""),"",D79/Séries!S78-1)</f>
        <v/>
      </c>
      <c r="I79" s="22" t="str">
        <f>IF(OR($A79="",E79="",E79&lt;=0,Séries!T78=""),"",E79/Séries!T78-1)</f>
        <v/>
      </c>
      <c r="J79" s="27"/>
      <c r="K79" s="1" t="str">
        <f>IF(COUNTA(A79:E79)=0,"",IF(A79="","Preencha a data",IF(NOT(ISNUMBER(A79)),"Data inválida",IF(OR(A79&lt;36526,A79&gt;73050,A79&lt;&gt;INT(A79)),"Data inválida",IF(A79&lt;=Séries!U78,"Data repetida / fora de ordem",IF(COUNTA(B79:E79)&lt;&gt;COUNT(B79:E79),"Use preços numéricos",IF(OR(AND(ISNUMBER(B79),B79&lt;=0),AND(ISNUMBER(C79),C79&lt;=0),AND(ISNUMBER(D79),D79&lt;=0),AND(ISNUMBER(E79),E79&lt;=0)),"Use preços positivos","")))))))</f>
        <v/>
      </c>
    </row>
    <row r="80" spans="1:11" ht="22.95" customHeight="1">
      <c r="A80" s="28"/>
      <c r="B80" s="29"/>
      <c r="C80" s="29"/>
      <c r="D80" s="29"/>
      <c r="E80" s="30"/>
      <c r="F80" s="22" t="str">
        <f>IF(OR($A80="",B80="",B80&lt;=0,Séries!Q79=""),"",B80/Séries!Q79-1)</f>
        <v/>
      </c>
      <c r="G80" s="22" t="str">
        <f>IF(OR($A80="",C80="",C80&lt;=0,Séries!R79=""),"",C80/Séries!R79-1)</f>
        <v/>
      </c>
      <c r="H80" s="22" t="str">
        <f>IF(OR($A80="",D80="",D80&lt;=0,Séries!S79=""),"",D80/Séries!S79-1)</f>
        <v/>
      </c>
      <c r="I80" s="22" t="str">
        <f>IF(OR($A80="",E80="",E80&lt;=0,Séries!T79=""),"",E80/Séries!T79-1)</f>
        <v/>
      </c>
      <c r="J80" s="27"/>
      <c r="K80" s="1" t="str">
        <f>IF(COUNTA(A80:E80)=0,"",IF(A80="","Preencha a data",IF(NOT(ISNUMBER(A80)),"Data inválida",IF(OR(A80&lt;36526,A80&gt;73050,A80&lt;&gt;INT(A80)),"Data inválida",IF(A80&lt;=Séries!U79,"Data repetida / fora de ordem",IF(COUNTA(B80:E80)&lt;&gt;COUNT(B80:E80),"Use preços numéricos",IF(OR(AND(ISNUMBER(B80),B80&lt;=0),AND(ISNUMBER(C80),C80&lt;=0),AND(ISNUMBER(D80),D80&lt;=0),AND(ISNUMBER(E80),E80&lt;=0)),"Use preços positivos","")))))))</f>
        <v/>
      </c>
    </row>
    <row r="81" spans="1:11" ht="22.95" customHeight="1">
      <c r="A81" s="28"/>
      <c r="B81" s="29"/>
      <c r="C81" s="29"/>
      <c r="D81" s="29"/>
      <c r="E81" s="30"/>
      <c r="F81" s="22" t="str">
        <f>IF(OR($A81="",B81="",B81&lt;=0,Séries!Q80=""),"",B81/Séries!Q80-1)</f>
        <v/>
      </c>
      <c r="G81" s="22" t="str">
        <f>IF(OR($A81="",C81="",C81&lt;=0,Séries!R80=""),"",C81/Séries!R80-1)</f>
        <v/>
      </c>
      <c r="H81" s="22" t="str">
        <f>IF(OR($A81="",D81="",D81&lt;=0,Séries!S80=""),"",D81/Séries!S80-1)</f>
        <v/>
      </c>
      <c r="I81" s="22" t="str">
        <f>IF(OR($A81="",E81="",E81&lt;=0,Séries!T80=""),"",E81/Séries!T80-1)</f>
        <v/>
      </c>
      <c r="J81" s="27"/>
      <c r="K81" s="1" t="str">
        <f>IF(COUNTA(A81:E81)=0,"",IF(A81="","Preencha a data",IF(NOT(ISNUMBER(A81)),"Data inválida",IF(OR(A81&lt;36526,A81&gt;73050,A81&lt;&gt;INT(A81)),"Data inválida",IF(A81&lt;=Séries!U80,"Data repetida / fora de ordem",IF(COUNTA(B81:E81)&lt;&gt;COUNT(B81:E81),"Use preços numéricos",IF(OR(AND(ISNUMBER(B81),B81&lt;=0),AND(ISNUMBER(C81),C81&lt;=0),AND(ISNUMBER(D81),D81&lt;=0),AND(ISNUMBER(E81),E81&lt;=0)),"Use preços positivos","")))))))</f>
        <v/>
      </c>
    </row>
    <row r="82" spans="1:11" ht="22.95" customHeight="1">
      <c r="A82" s="28"/>
      <c r="B82" s="29"/>
      <c r="C82" s="29"/>
      <c r="D82" s="29"/>
      <c r="E82" s="30"/>
      <c r="F82" s="22" t="str">
        <f>IF(OR($A82="",B82="",B82&lt;=0,Séries!Q81=""),"",B82/Séries!Q81-1)</f>
        <v/>
      </c>
      <c r="G82" s="22" t="str">
        <f>IF(OR($A82="",C82="",C82&lt;=0,Séries!R81=""),"",C82/Séries!R81-1)</f>
        <v/>
      </c>
      <c r="H82" s="22" t="str">
        <f>IF(OR($A82="",D82="",D82&lt;=0,Séries!S81=""),"",D82/Séries!S81-1)</f>
        <v/>
      </c>
      <c r="I82" s="22" t="str">
        <f>IF(OR($A82="",E82="",E82&lt;=0,Séries!T81=""),"",E82/Séries!T81-1)</f>
        <v/>
      </c>
      <c r="J82" s="27"/>
      <c r="K82" s="1" t="str">
        <f>IF(COUNTA(A82:E82)=0,"",IF(A82="","Preencha a data",IF(NOT(ISNUMBER(A82)),"Data inválida",IF(OR(A82&lt;36526,A82&gt;73050,A82&lt;&gt;INT(A82)),"Data inválida",IF(A82&lt;=Séries!U81,"Data repetida / fora de ordem",IF(COUNTA(B82:E82)&lt;&gt;COUNT(B82:E82),"Use preços numéricos",IF(OR(AND(ISNUMBER(B82),B82&lt;=0),AND(ISNUMBER(C82),C82&lt;=0),AND(ISNUMBER(D82),D82&lt;=0),AND(ISNUMBER(E82),E82&lt;=0)),"Use preços positivos","")))))))</f>
        <v/>
      </c>
    </row>
    <row r="83" spans="1:11" ht="22.95" customHeight="1">
      <c r="A83" s="28"/>
      <c r="B83" s="29"/>
      <c r="C83" s="29"/>
      <c r="D83" s="29"/>
      <c r="E83" s="30"/>
      <c r="F83" s="22" t="str">
        <f>IF(OR($A83="",B83="",B83&lt;=0,Séries!Q82=""),"",B83/Séries!Q82-1)</f>
        <v/>
      </c>
      <c r="G83" s="22" t="str">
        <f>IF(OR($A83="",C83="",C83&lt;=0,Séries!R82=""),"",C83/Séries!R82-1)</f>
        <v/>
      </c>
      <c r="H83" s="22" t="str">
        <f>IF(OR($A83="",D83="",D83&lt;=0,Séries!S82=""),"",D83/Séries!S82-1)</f>
        <v/>
      </c>
      <c r="I83" s="22" t="str">
        <f>IF(OR($A83="",E83="",E83&lt;=0,Séries!T82=""),"",E83/Séries!T82-1)</f>
        <v/>
      </c>
      <c r="J83" s="27"/>
      <c r="K83" s="1" t="str">
        <f>IF(COUNTA(A83:E83)=0,"",IF(A83="","Preencha a data",IF(NOT(ISNUMBER(A83)),"Data inválida",IF(OR(A83&lt;36526,A83&gt;73050,A83&lt;&gt;INT(A83)),"Data inválida",IF(A83&lt;=Séries!U82,"Data repetida / fora de ordem",IF(COUNTA(B83:E83)&lt;&gt;COUNT(B83:E83),"Use preços numéricos",IF(OR(AND(ISNUMBER(B83),B83&lt;=0),AND(ISNUMBER(C83),C83&lt;=0),AND(ISNUMBER(D83),D83&lt;=0),AND(ISNUMBER(E83),E83&lt;=0)),"Use preços positivos","")))))))</f>
        <v/>
      </c>
    </row>
    <row r="84" spans="1:11" ht="22.95" customHeight="1">
      <c r="A84" s="28"/>
      <c r="B84" s="29"/>
      <c r="C84" s="29"/>
      <c r="D84" s="29"/>
      <c r="E84" s="30"/>
      <c r="F84" s="22" t="str">
        <f>IF(OR($A84="",B84="",B84&lt;=0,Séries!Q83=""),"",B84/Séries!Q83-1)</f>
        <v/>
      </c>
      <c r="G84" s="22" t="str">
        <f>IF(OR($A84="",C84="",C84&lt;=0,Séries!R83=""),"",C84/Séries!R83-1)</f>
        <v/>
      </c>
      <c r="H84" s="22" t="str">
        <f>IF(OR($A84="",D84="",D84&lt;=0,Séries!S83=""),"",D84/Séries!S83-1)</f>
        <v/>
      </c>
      <c r="I84" s="22" t="str">
        <f>IF(OR($A84="",E84="",E84&lt;=0,Séries!T83=""),"",E84/Séries!T83-1)</f>
        <v/>
      </c>
      <c r="J84" s="27"/>
      <c r="K84" s="1" t="str">
        <f>IF(COUNTA(A84:E84)=0,"",IF(A84="","Preencha a data",IF(NOT(ISNUMBER(A84)),"Data inválida",IF(OR(A84&lt;36526,A84&gt;73050,A84&lt;&gt;INT(A84)),"Data inválida",IF(A84&lt;=Séries!U83,"Data repetida / fora de ordem",IF(COUNTA(B84:E84)&lt;&gt;COUNT(B84:E84),"Use preços numéricos",IF(OR(AND(ISNUMBER(B84),B84&lt;=0),AND(ISNUMBER(C84),C84&lt;=0),AND(ISNUMBER(D84),D84&lt;=0),AND(ISNUMBER(E84),E84&lt;=0)),"Use preços positivos","")))))))</f>
        <v/>
      </c>
    </row>
    <row r="85" spans="1:11" ht="22.95" customHeight="1">
      <c r="A85" s="28"/>
      <c r="B85" s="29"/>
      <c r="C85" s="29"/>
      <c r="D85" s="29"/>
      <c r="E85" s="30"/>
      <c r="F85" s="22" t="str">
        <f>IF(OR($A85="",B85="",B85&lt;=0,Séries!Q84=""),"",B85/Séries!Q84-1)</f>
        <v/>
      </c>
      <c r="G85" s="22" t="str">
        <f>IF(OR($A85="",C85="",C85&lt;=0,Séries!R84=""),"",C85/Séries!R84-1)</f>
        <v/>
      </c>
      <c r="H85" s="22" t="str">
        <f>IF(OR($A85="",D85="",D85&lt;=0,Séries!S84=""),"",D85/Séries!S84-1)</f>
        <v/>
      </c>
      <c r="I85" s="22" t="str">
        <f>IF(OR($A85="",E85="",E85&lt;=0,Séries!T84=""),"",E85/Séries!T84-1)</f>
        <v/>
      </c>
      <c r="J85" s="27"/>
      <c r="K85" s="1" t="str">
        <f>IF(COUNTA(A85:E85)=0,"",IF(A85="","Preencha a data",IF(NOT(ISNUMBER(A85)),"Data inválida",IF(OR(A85&lt;36526,A85&gt;73050,A85&lt;&gt;INT(A85)),"Data inválida",IF(A85&lt;=Séries!U84,"Data repetida / fora de ordem",IF(COUNTA(B85:E85)&lt;&gt;COUNT(B85:E85),"Use preços numéricos",IF(OR(AND(ISNUMBER(B85),B85&lt;=0),AND(ISNUMBER(C85),C85&lt;=0),AND(ISNUMBER(D85),D85&lt;=0),AND(ISNUMBER(E85),E85&lt;=0)),"Use preços positivos","")))))))</f>
        <v/>
      </c>
    </row>
    <row r="86" spans="1:11" ht="22.95" customHeight="1">
      <c r="A86" s="28"/>
      <c r="B86" s="29"/>
      <c r="C86" s="29"/>
      <c r="D86" s="29"/>
      <c r="E86" s="30"/>
      <c r="F86" s="22" t="str">
        <f>IF(OR($A86="",B86="",B86&lt;=0,Séries!Q85=""),"",B86/Séries!Q85-1)</f>
        <v/>
      </c>
      <c r="G86" s="22" t="str">
        <f>IF(OR($A86="",C86="",C86&lt;=0,Séries!R85=""),"",C86/Séries!R85-1)</f>
        <v/>
      </c>
      <c r="H86" s="22" t="str">
        <f>IF(OR($A86="",D86="",D86&lt;=0,Séries!S85=""),"",D86/Séries!S85-1)</f>
        <v/>
      </c>
      <c r="I86" s="22" t="str">
        <f>IF(OR($A86="",E86="",E86&lt;=0,Séries!T85=""),"",E86/Séries!T85-1)</f>
        <v/>
      </c>
      <c r="J86" s="27"/>
      <c r="K86" s="1" t="str">
        <f>IF(COUNTA(A86:E86)=0,"",IF(A86="","Preencha a data",IF(NOT(ISNUMBER(A86)),"Data inválida",IF(OR(A86&lt;36526,A86&gt;73050,A86&lt;&gt;INT(A86)),"Data inválida",IF(A86&lt;=Séries!U85,"Data repetida / fora de ordem",IF(COUNTA(B86:E86)&lt;&gt;COUNT(B86:E86),"Use preços numéricos",IF(OR(AND(ISNUMBER(B86),B86&lt;=0),AND(ISNUMBER(C86),C86&lt;=0),AND(ISNUMBER(D86),D86&lt;=0),AND(ISNUMBER(E86),E86&lt;=0)),"Use preços positivos","")))))))</f>
        <v/>
      </c>
    </row>
    <row r="87" spans="1:11" ht="22.95" customHeight="1">
      <c r="A87" s="28"/>
      <c r="B87" s="29"/>
      <c r="C87" s="29"/>
      <c r="D87" s="29"/>
      <c r="E87" s="30"/>
      <c r="F87" s="22" t="str">
        <f>IF(OR($A87="",B87="",B87&lt;=0,Séries!Q86=""),"",B87/Séries!Q86-1)</f>
        <v/>
      </c>
      <c r="G87" s="22" t="str">
        <f>IF(OR($A87="",C87="",C87&lt;=0,Séries!R86=""),"",C87/Séries!R86-1)</f>
        <v/>
      </c>
      <c r="H87" s="22" t="str">
        <f>IF(OR($A87="",D87="",D87&lt;=0,Séries!S86=""),"",D87/Séries!S86-1)</f>
        <v/>
      </c>
      <c r="I87" s="22" t="str">
        <f>IF(OR($A87="",E87="",E87&lt;=0,Séries!T86=""),"",E87/Séries!T86-1)</f>
        <v/>
      </c>
      <c r="J87" s="27"/>
      <c r="K87" s="1" t="str">
        <f>IF(COUNTA(A87:E87)=0,"",IF(A87="","Preencha a data",IF(NOT(ISNUMBER(A87)),"Data inválida",IF(OR(A87&lt;36526,A87&gt;73050,A87&lt;&gt;INT(A87)),"Data inválida",IF(A87&lt;=Séries!U86,"Data repetida / fora de ordem",IF(COUNTA(B87:E87)&lt;&gt;COUNT(B87:E87),"Use preços numéricos",IF(OR(AND(ISNUMBER(B87),B87&lt;=0),AND(ISNUMBER(C87),C87&lt;=0),AND(ISNUMBER(D87),D87&lt;=0),AND(ISNUMBER(E87),E87&lt;=0)),"Use preços positivos","")))))))</f>
        <v/>
      </c>
    </row>
    <row r="88" spans="1:11" ht="22.95" customHeight="1">
      <c r="A88" s="28"/>
      <c r="B88" s="29"/>
      <c r="C88" s="29"/>
      <c r="D88" s="29"/>
      <c r="E88" s="30"/>
      <c r="F88" s="22" t="str">
        <f>IF(OR($A88="",B88="",B88&lt;=0,Séries!Q87=""),"",B88/Séries!Q87-1)</f>
        <v/>
      </c>
      <c r="G88" s="22" t="str">
        <f>IF(OR($A88="",C88="",C88&lt;=0,Séries!R87=""),"",C88/Séries!R87-1)</f>
        <v/>
      </c>
      <c r="H88" s="22" t="str">
        <f>IF(OR($A88="",D88="",D88&lt;=0,Séries!S87=""),"",D88/Séries!S87-1)</f>
        <v/>
      </c>
      <c r="I88" s="22" t="str">
        <f>IF(OR($A88="",E88="",E88&lt;=0,Séries!T87=""),"",E88/Séries!T87-1)</f>
        <v/>
      </c>
      <c r="J88" s="27"/>
      <c r="K88" s="1" t="str">
        <f>IF(COUNTA(A88:E88)=0,"",IF(A88="","Preencha a data",IF(NOT(ISNUMBER(A88)),"Data inválida",IF(OR(A88&lt;36526,A88&gt;73050,A88&lt;&gt;INT(A88)),"Data inválida",IF(A88&lt;=Séries!U87,"Data repetida / fora de ordem",IF(COUNTA(B88:E88)&lt;&gt;COUNT(B88:E88),"Use preços numéricos",IF(OR(AND(ISNUMBER(B88),B88&lt;=0),AND(ISNUMBER(C88),C88&lt;=0),AND(ISNUMBER(D88),D88&lt;=0),AND(ISNUMBER(E88),E88&lt;=0)),"Use preços positivos","")))))))</f>
        <v/>
      </c>
    </row>
    <row r="89" spans="1:11" ht="22.95" customHeight="1">
      <c r="A89" s="28"/>
      <c r="B89" s="29"/>
      <c r="C89" s="29"/>
      <c r="D89" s="29"/>
      <c r="E89" s="30"/>
      <c r="F89" s="22" t="str">
        <f>IF(OR($A89="",B89="",B89&lt;=0,Séries!Q88=""),"",B89/Séries!Q88-1)</f>
        <v/>
      </c>
      <c r="G89" s="22" t="str">
        <f>IF(OR($A89="",C89="",C89&lt;=0,Séries!R88=""),"",C89/Séries!R88-1)</f>
        <v/>
      </c>
      <c r="H89" s="22" t="str">
        <f>IF(OR($A89="",D89="",D89&lt;=0,Séries!S88=""),"",D89/Séries!S88-1)</f>
        <v/>
      </c>
      <c r="I89" s="22" t="str">
        <f>IF(OR($A89="",E89="",E89&lt;=0,Séries!T88=""),"",E89/Séries!T88-1)</f>
        <v/>
      </c>
      <c r="J89" s="27"/>
      <c r="K89" s="1" t="str">
        <f>IF(COUNTA(A89:E89)=0,"",IF(A89="","Preencha a data",IF(NOT(ISNUMBER(A89)),"Data inválida",IF(OR(A89&lt;36526,A89&gt;73050,A89&lt;&gt;INT(A89)),"Data inválida",IF(A89&lt;=Séries!U88,"Data repetida / fora de ordem",IF(COUNTA(B89:E89)&lt;&gt;COUNT(B89:E89),"Use preços numéricos",IF(OR(AND(ISNUMBER(B89),B89&lt;=0),AND(ISNUMBER(C89),C89&lt;=0),AND(ISNUMBER(D89),D89&lt;=0),AND(ISNUMBER(E89),E89&lt;=0)),"Use preços positivos","")))))))</f>
        <v/>
      </c>
    </row>
    <row r="90" spans="1:11" ht="22.95" customHeight="1">
      <c r="A90" s="28"/>
      <c r="B90" s="29"/>
      <c r="C90" s="29"/>
      <c r="D90" s="29"/>
      <c r="E90" s="30"/>
      <c r="F90" s="22" t="str">
        <f>IF(OR($A90="",B90="",B90&lt;=0,Séries!Q89=""),"",B90/Séries!Q89-1)</f>
        <v/>
      </c>
      <c r="G90" s="22" t="str">
        <f>IF(OR($A90="",C90="",C90&lt;=0,Séries!R89=""),"",C90/Séries!R89-1)</f>
        <v/>
      </c>
      <c r="H90" s="22" t="str">
        <f>IF(OR($A90="",D90="",D90&lt;=0,Séries!S89=""),"",D90/Séries!S89-1)</f>
        <v/>
      </c>
      <c r="I90" s="22" t="str">
        <f>IF(OR($A90="",E90="",E90&lt;=0,Séries!T89=""),"",E90/Séries!T89-1)</f>
        <v/>
      </c>
      <c r="J90" s="27"/>
      <c r="K90" s="1" t="str">
        <f>IF(COUNTA(A90:E90)=0,"",IF(A90="","Preencha a data",IF(NOT(ISNUMBER(A90)),"Data inválida",IF(OR(A90&lt;36526,A90&gt;73050,A90&lt;&gt;INT(A90)),"Data inválida",IF(A90&lt;=Séries!U89,"Data repetida / fora de ordem",IF(COUNTA(B90:E90)&lt;&gt;COUNT(B90:E90),"Use preços numéricos",IF(OR(AND(ISNUMBER(B90),B90&lt;=0),AND(ISNUMBER(C90),C90&lt;=0),AND(ISNUMBER(D90),D90&lt;=0),AND(ISNUMBER(E90),E90&lt;=0)),"Use preços positivos","")))))))</f>
        <v/>
      </c>
    </row>
    <row r="91" spans="1:11" ht="22.95" customHeight="1">
      <c r="A91" s="28"/>
      <c r="B91" s="29"/>
      <c r="C91" s="29"/>
      <c r="D91" s="29"/>
      <c r="E91" s="30"/>
      <c r="F91" s="22" t="str">
        <f>IF(OR($A91="",B91="",B91&lt;=0,Séries!Q90=""),"",B91/Séries!Q90-1)</f>
        <v/>
      </c>
      <c r="G91" s="22" t="str">
        <f>IF(OR($A91="",C91="",C91&lt;=0,Séries!R90=""),"",C91/Séries!R90-1)</f>
        <v/>
      </c>
      <c r="H91" s="22" t="str">
        <f>IF(OR($A91="",D91="",D91&lt;=0,Séries!S90=""),"",D91/Séries!S90-1)</f>
        <v/>
      </c>
      <c r="I91" s="22" t="str">
        <f>IF(OR($A91="",E91="",E91&lt;=0,Séries!T90=""),"",E91/Séries!T90-1)</f>
        <v/>
      </c>
      <c r="J91" s="27"/>
      <c r="K91" s="1" t="str">
        <f>IF(COUNTA(A91:E91)=0,"",IF(A91="","Preencha a data",IF(NOT(ISNUMBER(A91)),"Data inválida",IF(OR(A91&lt;36526,A91&gt;73050,A91&lt;&gt;INT(A91)),"Data inválida",IF(A91&lt;=Séries!U90,"Data repetida / fora de ordem",IF(COUNTA(B91:E91)&lt;&gt;COUNT(B91:E91),"Use preços numéricos",IF(OR(AND(ISNUMBER(B91),B91&lt;=0),AND(ISNUMBER(C91),C91&lt;=0),AND(ISNUMBER(D91),D91&lt;=0),AND(ISNUMBER(E91),E91&lt;=0)),"Use preços positivos","")))))))</f>
        <v/>
      </c>
    </row>
    <row r="92" spans="1:11" ht="22.95" customHeight="1">
      <c r="A92" s="28"/>
      <c r="B92" s="29"/>
      <c r="C92" s="29"/>
      <c r="D92" s="29"/>
      <c r="E92" s="30"/>
      <c r="F92" s="22" t="str">
        <f>IF(OR($A92="",B92="",B92&lt;=0,Séries!Q91=""),"",B92/Séries!Q91-1)</f>
        <v/>
      </c>
      <c r="G92" s="22" t="str">
        <f>IF(OR($A92="",C92="",C92&lt;=0,Séries!R91=""),"",C92/Séries!R91-1)</f>
        <v/>
      </c>
      <c r="H92" s="22" t="str">
        <f>IF(OR($A92="",D92="",D92&lt;=0,Séries!S91=""),"",D92/Séries!S91-1)</f>
        <v/>
      </c>
      <c r="I92" s="22" t="str">
        <f>IF(OR($A92="",E92="",E92&lt;=0,Séries!T91=""),"",E92/Séries!T91-1)</f>
        <v/>
      </c>
      <c r="J92" s="27"/>
      <c r="K92" s="1" t="str">
        <f>IF(COUNTA(A92:E92)=0,"",IF(A92="","Preencha a data",IF(NOT(ISNUMBER(A92)),"Data inválida",IF(OR(A92&lt;36526,A92&gt;73050,A92&lt;&gt;INT(A92)),"Data inválida",IF(A92&lt;=Séries!U91,"Data repetida / fora de ordem",IF(COUNTA(B92:E92)&lt;&gt;COUNT(B92:E92),"Use preços numéricos",IF(OR(AND(ISNUMBER(B92),B92&lt;=0),AND(ISNUMBER(C92),C92&lt;=0),AND(ISNUMBER(D92),D92&lt;=0),AND(ISNUMBER(E92),E92&lt;=0)),"Use preços positivos","")))))))</f>
        <v/>
      </c>
    </row>
    <row r="93" spans="1:11" ht="22.95" customHeight="1">
      <c r="A93" s="28"/>
      <c r="B93" s="29"/>
      <c r="C93" s="29"/>
      <c r="D93" s="29"/>
      <c r="E93" s="30"/>
      <c r="F93" s="22" t="str">
        <f>IF(OR($A93="",B93="",B93&lt;=0,Séries!Q92=""),"",B93/Séries!Q92-1)</f>
        <v/>
      </c>
      <c r="G93" s="22" t="str">
        <f>IF(OR($A93="",C93="",C93&lt;=0,Séries!R92=""),"",C93/Séries!R92-1)</f>
        <v/>
      </c>
      <c r="H93" s="22" t="str">
        <f>IF(OR($A93="",D93="",D93&lt;=0,Séries!S92=""),"",D93/Séries!S92-1)</f>
        <v/>
      </c>
      <c r="I93" s="22" t="str">
        <f>IF(OR($A93="",E93="",E93&lt;=0,Séries!T92=""),"",E93/Séries!T92-1)</f>
        <v/>
      </c>
      <c r="J93" s="27"/>
      <c r="K93" s="1" t="str">
        <f>IF(COUNTA(A93:E93)=0,"",IF(A93="","Preencha a data",IF(NOT(ISNUMBER(A93)),"Data inválida",IF(OR(A93&lt;36526,A93&gt;73050,A93&lt;&gt;INT(A93)),"Data inválida",IF(A93&lt;=Séries!U92,"Data repetida / fora de ordem",IF(COUNTA(B93:E93)&lt;&gt;COUNT(B93:E93),"Use preços numéricos",IF(OR(AND(ISNUMBER(B93),B93&lt;=0),AND(ISNUMBER(C93),C93&lt;=0),AND(ISNUMBER(D93),D93&lt;=0),AND(ISNUMBER(E93),E93&lt;=0)),"Use preços positivos","")))))))</f>
        <v/>
      </c>
    </row>
    <row r="94" spans="1:11" ht="22.95" customHeight="1">
      <c r="A94" s="28"/>
      <c r="B94" s="29"/>
      <c r="C94" s="29"/>
      <c r="D94" s="29"/>
      <c r="E94" s="30"/>
      <c r="F94" s="22" t="str">
        <f>IF(OR($A94="",B94="",B94&lt;=0,Séries!Q93=""),"",B94/Séries!Q93-1)</f>
        <v/>
      </c>
      <c r="G94" s="22" t="str">
        <f>IF(OR($A94="",C94="",C94&lt;=0,Séries!R93=""),"",C94/Séries!R93-1)</f>
        <v/>
      </c>
      <c r="H94" s="22" t="str">
        <f>IF(OR($A94="",D94="",D94&lt;=0,Séries!S93=""),"",D94/Séries!S93-1)</f>
        <v/>
      </c>
      <c r="I94" s="22" t="str">
        <f>IF(OR($A94="",E94="",E94&lt;=0,Séries!T93=""),"",E94/Séries!T93-1)</f>
        <v/>
      </c>
      <c r="J94" s="27"/>
      <c r="K94" s="1" t="str">
        <f>IF(COUNTA(A94:E94)=0,"",IF(A94="","Preencha a data",IF(NOT(ISNUMBER(A94)),"Data inválida",IF(OR(A94&lt;36526,A94&gt;73050,A94&lt;&gt;INT(A94)),"Data inválida",IF(A94&lt;=Séries!U93,"Data repetida / fora de ordem",IF(COUNTA(B94:E94)&lt;&gt;COUNT(B94:E94),"Use preços numéricos",IF(OR(AND(ISNUMBER(B94),B94&lt;=0),AND(ISNUMBER(C94),C94&lt;=0),AND(ISNUMBER(D94),D94&lt;=0),AND(ISNUMBER(E94),E94&lt;=0)),"Use preços positivos","")))))))</f>
        <v/>
      </c>
    </row>
    <row r="95" spans="1:11" ht="22.95" customHeight="1">
      <c r="A95" s="28"/>
      <c r="B95" s="29"/>
      <c r="C95" s="29"/>
      <c r="D95" s="29"/>
      <c r="E95" s="30"/>
      <c r="F95" s="22" t="str">
        <f>IF(OR($A95="",B95="",B95&lt;=0,Séries!Q94=""),"",B95/Séries!Q94-1)</f>
        <v/>
      </c>
      <c r="G95" s="22" t="str">
        <f>IF(OR($A95="",C95="",C95&lt;=0,Séries!R94=""),"",C95/Séries!R94-1)</f>
        <v/>
      </c>
      <c r="H95" s="22" t="str">
        <f>IF(OR($A95="",D95="",D95&lt;=0,Séries!S94=""),"",D95/Séries!S94-1)</f>
        <v/>
      </c>
      <c r="I95" s="22" t="str">
        <f>IF(OR($A95="",E95="",E95&lt;=0,Séries!T94=""),"",E95/Séries!T94-1)</f>
        <v/>
      </c>
      <c r="J95" s="27"/>
      <c r="K95" s="1" t="str">
        <f>IF(COUNTA(A95:E95)=0,"",IF(A95="","Preencha a data",IF(NOT(ISNUMBER(A95)),"Data inválida",IF(OR(A95&lt;36526,A95&gt;73050,A95&lt;&gt;INT(A95)),"Data inválida",IF(A95&lt;=Séries!U94,"Data repetida / fora de ordem",IF(COUNTA(B95:E95)&lt;&gt;COUNT(B95:E95),"Use preços numéricos",IF(OR(AND(ISNUMBER(B95),B95&lt;=0),AND(ISNUMBER(C95),C95&lt;=0),AND(ISNUMBER(D95),D95&lt;=0),AND(ISNUMBER(E95),E95&lt;=0)),"Use preços positivos","")))))))</f>
        <v/>
      </c>
    </row>
    <row r="96" spans="1:11" ht="22.95" customHeight="1">
      <c r="A96" s="28"/>
      <c r="B96" s="29"/>
      <c r="C96" s="29"/>
      <c r="D96" s="29"/>
      <c r="E96" s="30"/>
      <c r="F96" s="22" t="str">
        <f>IF(OR($A96="",B96="",B96&lt;=0,Séries!Q95=""),"",B96/Séries!Q95-1)</f>
        <v/>
      </c>
      <c r="G96" s="22" t="str">
        <f>IF(OR($A96="",C96="",C96&lt;=0,Séries!R95=""),"",C96/Séries!R95-1)</f>
        <v/>
      </c>
      <c r="H96" s="22" t="str">
        <f>IF(OR($A96="",D96="",D96&lt;=0,Séries!S95=""),"",D96/Séries!S95-1)</f>
        <v/>
      </c>
      <c r="I96" s="22" t="str">
        <f>IF(OR($A96="",E96="",E96&lt;=0,Séries!T95=""),"",E96/Séries!T95-1)</f>
        <v/>
      </c>
      <c r="J96" s="27"/>
      <c r="K96" s="1" t="str">
        <f>IF(COUNTA(A96:E96)=0,"",IF(A96="","Preencha a data",IF(NOT(ISNUMBER(A96)),"Data inválida",IF(OR(A96&lt;36526,A96&gt;73050,A96&lt;&gt;INT(A96)),"Data inválida",IF(A96&lt;=Séries!U95,"Data repetida / fora de ordem",IF(COUNTA(B96:E96)&lt;&gt;COUNT(B96:E96),"Use preços numéricos",IF(OR(AND(ISNUMBER(B96),B96&lt;=0),AND(ISNUMBER(C96),C96&lt;=0),AND(ISNUMBER(D96),D96&lt;=0),AND(ISNUMBER(E96),E96&lt;=0)),"Use preços positivos","")))))))</f>
        <v/>
      </c>
    </row>
    <row r="97" spans="1:11" ht="22.95" customHeight="1">
      <c r="A97" s="28"/>
      <c r="B97" s="29"/>
      <c r="C97" s="29"/>
      <c r="D97" s="29"/>
      <c r="E97" s="30"/>
      <c r="F97" s="22" t="str">
        <f>IF(OR($A97="",B97="",B97&lt;=0,Séries!Q96=""),"",B97/Séries!Q96-1)</f>
        <v/>
      </c>
      <c r="G97" s="22" t="str">
        <f>IF(OR($A97="",C97="",C97&lt;=0,Séries!R96=""),"",C97/Séries!R96-1)</f>
        <v/>
      </c>
      <c r="H97" s="22" t="str">
        <f>IF(OR($A97="",D97="",D97&lt;=0,Séries!S96=""),"",D97/Séries!S96-1)</f>
        <v/>
      </c>
      <c r="I97" s="22" t="str">
        <f>IF(OR($A97="",E97="",E97&lt;=0,Séries!T96=""),"",E97/Séries!T96-1)</f>
        <v/>
      </c>
      <c r="J97" s="27"/>
      <c r="K97" s="1" t="str">
        <f>IF(COUNTA(A97:E97)=0,"",IF(A97="","Preencha a data",IF(NOT(ISNUMBER(A97)),"Data inválida",IF(OR(A97&lt;36526,A97&gt;73050,A97&lt;&gt;INT(A97)),"Data inválida",IF(A97&lt;=Séries!U96,"Data repetida / fora de ordem",IF(COUNTA(B97:E97)&lt;&gt;COUNT(B97:E97),"Use preços numéricos",IF(OR(AND(ISNUMBER(B97),B97&lt;=0),AND(ISNUMBER(C97),C97&lt;=0),AND(ISNUMBER(D97),D97&lt;=0),AND(ISNUMBER(E97),E97&lt;=0)),"Use preços positivos","")))))))</f>
        <v/>
      </c>
    </row>
    <row r="98" spans="1:11" ht="22.95" customHeight="1">
      <c r="A98" s="28"/>
      <c r="B98" s="29"/>
      <c r="C98" s="29"/>
      <c r="D98" s="29"/>
      <c r="E98" s="30"/>
      <c r="F98" s="22" t="str">
        <f>IF(OR($A98="",B98="",B98&lt;=0,Séries!Q97=""),"",B98/Séries!Q97-1)</f>
        <v/>
      </c>
      <c r="G98" s="22" t="str">
        <f>IF(OR($A98="",C98="",C98&lt;=0,Séries!R97=""),"",C98/Séries!R97-1)</f>
        <v/>
      </c>
      <c r="H98" s="22" t="str">
        <f>IF(OR($A98="",D98="",D98&lt;=0,Séries!S97=""),"",D98/Séries!S97-1)</f>
        <v/>
      </c>
      <c r="I98" s="22" t="str">
        <f>IF(OR($A98="",E98="",E98&lt;=0,Séries!T97=""),"",E98/Séries!T97-1)</f>
        <v/>
      </c>
      <c r="J98" s="27"/>
      <c r="K98" s="1" t="str">
        <f>IF(COUNTA(A98:E98)=0,"",IF(A98="","Preencha a data",IF(NOT(ISNUMBER(A98)),"Data inválida",IF(OR(A98&lt;36526,A98&gt;73050,A98&lt;&gt;INT(A98)),"Data inválida",IF(A98&lt;=Séries!U97,"Data repetida / fora de ordem",IF(COUNTA(B98:E98)&lt;&gt;COUNT(B98:E98),"Use preços numéricos",IF(OR(AND(ISNUMBER(B98),B98&lt;=0),AND(ISNUMBER(C98),C98&lt;=0),AND(ISNUMBER(D98),D98&lt;=0),AND(ISNUMBER(E98),E98&lt;=0)),"Use preços positivos","")))))))</f>
        <v/>
      </c>
    </row>
    <row r="99" spans="1:11" ht="22.95" customHeight="1">
      <c r="A99" s="28"/>
      <c r="B99" s="29"/>
      <c r="C99" s="29"/>
      <c r="D99" s="29"/>
      <c r="E99" s="30"/>
      <c r="F99" s="22" t="str">
        <f>IF(OR($A99="",B99="",B99&lt;=0,Séries!Q98=""),"",B99/Séries!Q98-1)</f>
        <v/>
      </c>
      <c r="G99" s="22" t="str">
        <f>IF(OR($A99="",C99="",C99&lt;=0,Séries!R98=""),"",C99/Séries!R98-1)</f>
        <v/>
      </c>
      <c r="H99" s="22" t="str">
        <f>IF(OR($A99="",D99="",D99&lt;=0,Séries!S98=""),"",D99/Séries!S98-1)</f>
        <v/>
      </c>
      <c r="I99" s="22" t="str">
        <f>IF(OR($A99="",E99="",E99&lt;=0,Séries!T98=""),"",E99/Séries!T98-1)</f>
        <v/>
      </c>
      <c r="J99" s="27"/>
      <c r="K99" s="1" t="str">
        <f>IF(COUNTA(A99:E99)=0,"",IF(A99="","Preencha a data",IF(NOT(ISNUMBER(A99)),"Data inválida",IF(OR(A99&lt;36526,A99&gt;73050,A99&lt;&gt;INT(A99)),"Data inválida",IF(A99&lt;=Séries!U98,"Data repetida / fora de ordem",IF(COUNTA(B99:E99)&lt;&gt;COUNT(B99:E99),"Use preços numéricos",IF(OR(AND(ISNUMBER(B99),B99&lt;=0),AND(ISNUMBER(C99),C99&lt;=0),AND(ISNUMBER(D99),D99&lt;=0),AND(ISNUMBER(E99),E99&lt;=0)),"Use preços positivos","")))))))</f>
        <v/>
      </c>
    </row>
    <row r="100" spans="1:11" ht="22.95" customHeight="1">
      <c r="A100" s="28"/>
      <c r="B100" s="29"/>
      <c r="C100" s="29"/>
      <c r="D100" s="29"/>
      <c r="E100" s="30"/>
      <c r="F100" s="22" t="str">
        <f>IF(OR($A100="",B100="",B100&lt;=0,Séries!Q99=""),"",B100/Séries!Q99-1)</f>
        <v/>
      </c>
      <c r="G100" s="22" t="str">
        <f>IF(OR($A100="",C100="",C100&lt;=0,Séries!R99=""),"",C100/Séries!R99-1)</f>
        <v/>
      </c>
      <c r="H100" s="22" t="str">
        <f>IF(OR($A100="",D100="",D100&lt;=0,Séries!S99=""),"",D100/Séries!S99-1)</f>
        <v/>
      </c>
      <c r="I100" s="22" t="str">
        <f>IF(OR($A100="",E100="",E100&lt;=0,Séries!T99=""),"",E100/Séries!T99-1)</f>
        <v/>
      </c>
      <c r="J100" s="27"/>
      <c r="K100" s="1" t="str">
        <f>IF(COUNTA(A100:E100)=0,"",IF(A100="","Preencha a data",IF(NOT(ISNUMBER(A100)),"Data inválida",IF(OR(A100&lt;36526,A100&gt;73050,A100&lt;&gt;INT(A100)),"Data inválida",IF(A100&lt;=Séries!U99,"Data repetida / fora de ordem",IF(COUNTA(B100:E100)&lt;&gt;COUNT(B100:E100),"Use preços numéricos",IF(OR(AND(ISNUMBER(B100),B100&lt;=0),AND(ISNUMBER(C100),C100&lt;=0),AND(ISNUMBER(D100),D100&lt;=0),AND(ISNUMBER(E100),E100&lt;=0)),"Use preços positivos","")))))))</f>
        <v/>
      </c>
    </row>
    <row r="101" spans="1:11" ht="22.95" customHeight="1">
      <c r="A101" s="28"/>
      <c r="B101" s="29"/>
      <c r="C101" s="29"/>
      <c r="D101" s="29"/>
      <c r="E101" s="30"/>
      <c r="F101" s="22" t="str">
        <f>IF(OR($A101="",B101="",B101&lt;=0,Séries!Q100=""),"",B101/Séries!Q100-1)</f>
        <v/>
      </c>
      <c r="G101" s="22" t="str">
        <f>IF(OR($A101="",C101="",C101&lt;=0,Séries!R100=""),"",C101/Séries!R100-1)</f>
        <v/>
      </c>
      <c r="H101" s="22" t="str">
        <f>IF(OR($A101="",D101="",D101&lt;=0,Séries!S100=""),"",D101/Séries!S100-1)</f>
        <v/>
      </c>
      <c r="I101" s="22" t="str">
        <f>IF(OR($A101="",E101="",E101&lt;=0,Séries!T100=""),"",E101/Séries!T100-1)</f>
        <v/>
      </c>
      <c r="J101" s="27"/>
      <c r="K101" s="1" t="str">
        <f>IF(COUNTA(A101:E101)=0,"",IF(A101="","Preencha a data",IF(NOT(ISNUMBER(A101)),"Data inválida",IF(OR(A101&lt;36526,A101&gt;73050,A101&lt;&gt;INT(A101)),"Data inválida",IF(A101&lt;=Séries!U100,"Data repetida / fora de ordem",IF(COUNTA(B101:E101)&lt;&gt;COUNT(B101:E101),"Use preços numéricos",IF(OR(AND(ISNUMBER(B101),B101&lt;=0),AND(ISNUMBER(C101),C101&lt;=0),AND(ISNUMBER(D101),D101&lt;=0),AND(ISNUMBER(E101),E101&lt;=0)),"Use preços positivos","")))))))</f>
        <v/>
      </c>
    </row>
    <row r="102" spans="1:11" ht="22.95" customHeight="1">
      <c r="A102" s="28"/>
      <c r="B102" s="29"/>
      <c r="C102" s="29"/>
      <c r="D102" s="29"/>
      <c r="E102" s="30"/>
      <c r="F102" s="22" t="str">
        <f>IF(OR($A102="",B102="",B102&lt;=0,Séries!Q101=""),"",B102/Séries!Q101-1)</f>
        <v/>
      </c>
      <c r="G102" s="22" t="str">
        <f>IF(OR($A102="",C102="",C102&lt;=0,Séries!R101=""),"",C102/Séries!R101-1)</f>
        <v/>
      </c>
      <c r="H102" s="22" t="str">
        <f>IF(OR($A102="",D102="",D102&lt;=0,Séries!S101=""),"",D102/Séries!S101-1)</f>
        <v/>
      </c>
      <c r="I102" s="22" t="str">
        <f>IF(OR($A102="",E102="",E102&lt;=0,Séries!T101=""),"",E102/Séries!T101-1)</f>
        <v/>
      </c>
      <c r="J102" s="27"/>
      <c r="K102" s="1" t="str">
        <f>IF(COUNTA(A102:E102)=0,"",IF(A102="","Preencha a data",IF(NOT(ISNUMBER(A102)),"Data inválida",IF(OR(A102&lt;36526,A102&gt;73050,A102&lt;&gt;INT(A102)),"Data inválida",IF(A102&lt;=Séries!U101,"Data repetida / fora de ordem",IF(COUNTA(B102:E102)&lt;&gt;COUNT(B102:E102),"Use preços numéricos",IF(OR(AND(ISNUMBER(B102),B102&lt;=0),AND(ISNUMBER(C102),C102&lt;=0),AND(ISNUMBER(D102),D102&lt;=0),AND(ISNUMBER(E102),E102&lt;=0)),"Use preços positivos","")))))))</f>
        <v/>
      </c>
    </row>
    <row r="103" spans="1:11" ht="22.95" customHeight="1">
      <c r="A103" s="28"/>
      <c r="B103" s="29"/>
      <c r="C103" s="29"/>
      <c r="D103" s="29"/>
      <c r="E103" s="30"/>
      <c r="F103" s="22" t="str">
        <f>IF(OR($A103="",B103="",B103&lt;=0,Séries!Q102=""),"",B103/Séries!Q102-1)</f>
        <v/>
      </c>
      <c r="G103" s="22" t="str">
        <f>IF(OR($A103="",C103="",C103&lt;=0,Séries!R102=""),"",C103/Séries!R102-1)</f>
        <v/>
      </c>
      <c r="H103" s="22" t="str">
        <f>IF(OR($A103="",D103="",D103&lt;=0,Séries!S102=""),"",D103/Séries!S102-1)</f>
        <v/>
      </c>
      <c r="I103" s="22" t="str">
        <f>IF(OR($A103="",E103="",E103&lt;=0,Séries!T102=""),"",E103/Séries!T102-1)</f>
        <v/>
      </c>
      <c r="J103" s="27"/>
      <c r="K103" s="1" t="str">
        <f>IF(COUNTA(A103:E103)=0,"",IF(A103="","Preencha a data",IF(NOT(ISNUMBER(A103)),"Data inválida",IF(OR(A103&lt;36526,A103&gt;73050,A103&lt;&gt;INT(A103)),"Data inválida",IF(A103&lt;=Séries!U102,"Data repetida / fora de ordem",IF(COUNTA(B103:E103)&lt;&gt;COUNT(B103:E103),"Use preços numéricos",IF(OR(AND(ISNUMBER(B103),B103&lt;=0),AND(ISNUMBER(C103),C103&lt;=0),AND(ISNUMBER(D103),D103&lt;=0),AND(ISNUMBER(E103),E103&lt;=0)),"Use preços positivos","")))))))</f>
        <v/>
      </c>
    </row>
    <row r="104" spans="1:11" ht="22.95" customHeight="1">
      <c r="A104" s="28"/>
      <c r="B104" s="29"/>
      <c r="C104" s="29"/>
      <c r="D104" s="29"/>
      <c r="E104" s="30"/>
      <c r="F104" s="22" t="str">
        <f>IF(OR($A104="",B104="",B104&lt;=0,Séries!Q103=""),"",B104/Séries!Q103-1)</f>
        <v/>
      </c>
      <c r="G104" s="22" t="str">
        <f>IF(OR($A104="",C104="",C104&lt;=0,Séries!R103=""),"",C104/Séries!R103-1)</f>
        <v/>
      </c>
      <c r="H104" s="22" t="str">
        <f>IF(OR($A104="",D104="",D104&lt;=0,Séries!S103=""),"",D104/Séries!S103-1)</f>
        <v/>
      </c>
      <c r="I104" s="22" t="str">
        <f>IF(OR($A104="",E104="",E104&lt;=0,Séries!T103=""),"",E104/Séries!T103-1)</f>
        <v/>
      </c>
      <c r="J104" s="27"/>
      <c r="K104" s="1" t="str">
        <f>IF(COUNTA(A104:E104)=0,"",IF(A104="","Preencha a data",IF(NOT(ISNUMBER(A104)),"Data inválida",IF(OR(A104&lt;36526,A104&gt;73050,A104&lt;&gt;INT(A104)),"Data inválida",IF(A104&lt;=Séries!U103,"Data repetida / fora de ordem",IF(COUNTA(B104:E104)&lt;&gt;COUNT(B104:E104),"Use preços numéricos",IF(OR(AND(ISNUMBER(B104),B104&lt;=0),AND(ISNUMBER(C104),C104&lt;=0),AND(ISNUMBER(D104),D104&lt;=0),AND(ISNUMBER(E104),E104&lt;=0)),"Use preços positivos","")))))))</f>
        <v/>
      </c>
    </row>
    <row r="105" spans="1:11" ht="22.95" customHeight="1">
      <c r="A105" s="28"/>
      <c r="B105" s="29"/>
      <c r="C105" s="29"/>
      <c r="D105" s="29"/>
      <c r="E105" s="30"/>
      <c r="F105" s="22" t="str">
        <f>IF(OR($A105="",B105="",B105&lt;=0,Séries!Q104=""),"",B105/Séries!Q104-1)</f>
        <v/>
      </c>
      <c r="G105" s="22" t="str">
        <f>IF(OR($A105="",C105="",C105&lt;=0,Séries!R104=""),"",C105/Séries!R104-1)</f>
        <v/>
      </c>
      <c r="H105" s="22" t="str">
        <f>IF(OR($A105="",D105="",D105&lt;=0,Séries!S104=""),"",D105/Séries!S104-1)</f>
        <v/>
      </c>
      <c r="I105" s="22" t="str">
        <f>IF(OR($A105="",E105="",E105&lt;=0,Séries!T104=""),"",E105/Séries!T104-1)</f>
        <v/>
      </c>
      <c r="J105" s="27"/>
      <c r="K105" s="1" t="str">
        <f>IF(COUNTA(A105:E105)=0,"",IF(A105="","Preencha a data",IF(NOT(ISNUMBER(A105)),"Data inválida",IF(OR(A105&lt;36526,A105&gt;73050,A105&lt;&gt;INT(A105)),"Data inválida",IF(A105&lt;=Séries!U104,"Data repetida / fora de ordem",IF(COUNTA(B105:E105)&lt;&gt;COUNT(B105:E105),"Use preços numéricos",IF(OR(AND(ISNUMBER(B105),B105&lt;=0),AND(ISNUMBER(C105),C105&lt;=0),AND(ISNUMBER(D105),D105&lt;=0),AND(ISNUMBER(E105),E105&lt;=0)),"Use preços positivos","")))))))</f>
        <v/>
      </c>
    </row>
    <row r="106" spans="1:11" ht="22.95" customHeight="1">
      <c r="A106" s="28"/>
      <c r="B106" s="29"/>
      <c r="C106" s="29"/>
      <c r="D106" s="29"/>
      <c r="E106" s="30"/>
      <c r="F106" s="22" t="str">
        <f>IF(OR($A106="",B106="",B106&lt;=0,Séries!Q105=""),"",B106/Séries!Q105-1)</f>
        <v/>
      </c>
      <c r="G106" s="22" t="str">
        <f>IF(OR($A106="",C106="",C106&lt;=0,Séries!R105=""),"",C106/Séries!R105-1)</f>
        <v/>
      </c>
      <c r="H106" s="22" t="str">
        <f>IF(OR($A106="",D106="",D106&lt;=0,Séries!S105=""),"",D106/Séries!S105-1)</f>
        <v/>
      </c>
      <c r="I106" s="22" t="str">
        <f>IF(OR($A106="",E106="",E106&lt;=0,Séries!T105=""),"",E106/Séries!T105-1)</f>
        <v/>
      </c>
      <c r="J106" s="27"/>
      <c r="K106" s="1" t="str">
        <f>IF(COUNTA(A106:E106)=0,"",IF(A106="","Preencha a data",IF(NOT(ISNUMBER(A106)),"Data inválida",IF(OR(A106&lt;36526,A106&gt;73050,A106&lt;&gt;INT(A106)),"Data inválida",IF(A106&lt;=Séries!U105,"Data repetida / fora de ordem",IF(COUNTA(B106:E106)&lt;&gt;COUNT(B106:E106),"Use preços numéricos",IF(OR(AND(ISNUMBER(B106),B106&lt;=0),AND(ISNUMBER(C106),C106&lt;=0),AND(ISNUMBER(D106),D106&lt;=0),AND(ISNUMBER(E106),E106&lt;=0)),"Use preços positivos","")))))))</f>
        <v/>
      </c>
    </row>
    <row r="107" spans="1:11" ht="22.95" customHeight="1">
      <c r="A107" s="28"/>
      <c r="B107" s="29"/>
      <c r="C107" s="29"/>
      <c r="D107" s="29"/>
      <c r="E107" s="30"/>
      <c r="F107" s="22" t="str">
        <f>IF(OR($A107="",B107="",B107&lt;=0,Séries!Q106=""),"",B107/Séries!Q106-1)</f>
        <v/>
      </c>
      <c r="G107" s="22" t="str">
        <f>IF(OR($A107="",C107="",C107&lt;=0,Séries!R106=""),"",C107/Séries!R106-1)</f>
        <v/>
      </c>
      <c r="H107" s="22" t="str">
        <f>IF(OR($A107="",D107="",D107&lt;=0,Séries!S106=""),"",D107/Séries!S106-1)</f>
        <v/>
      </c>
      <c r="I107" s="22" t="str">
        <f>IF(OR($A107="",E107="",E107&lt;=0,Séries!T106=""),"",E107/Séries!T106-1)</f>
        <v/>
      </c>
      <c r="J107" s="27"/>
      <c r="K107" s="1" t="str">
        <f>IF(COUNTA(A107:E107)=0,"",IF(A107="","Preencha a data",IF(NOT(ISNUMBER(A107)),"Data inválida",IF(OR(A107&lt;36526,A107&gt;73050,A107&lt;&gt;INT(A107)),"Data inválida",IF(A107&lt;=Séries!U106,"Data repetida / fora de ordem",IF(COUNTA(B107:E107)&lt;&gt;COUNT(B107:E107),"Use preços numéricos",IF(OR(AND(ISNUMBER(B107),B107&lt;=0),AND(ISNUMBER(C107),C107&lt;=0),AND(ISNUMBER(D107),D107&lt;=0),AND(ISNUMBER(E107),E107&lt;=0)),"Use preços positivos","")))))))</f>
        <v/>
      </c>
    </row>
    <row r="108" spans="1:11" ht="22.95" customHeight="1">
      <c r="A108" s="28"/>
      <c r="B108" s="29"/>
      <c r="C108" s="29"/>
      <c r="D108" s="29"/>
      <c r="E108" s="30"/>
      <c r="F108" s="22" t="str">
        <f>IF(OR($A108="",B108="",B108&lt;=0,Séries!Q107=""),"",B108/Séries!Q107-1)</f>
        <v/>
      </c>
      <c r="G108" s="22" t="str">
        <f>IF(OR($A108="",C108="",C108&lt;=0,Séries!R107=""),"",C108/Séries!R107-1)</f>
        <v/>
      </c>
      <c r="H108" s="22" t="str">
        <f>IF(OR($A108="",D108="",D108&lt;=0,Séries!S107=""),"",D108/Séries!S107-1)</f>
        <v/>
      </c>
      <c r="I108" s="22" t="str">
        <f>IF(OR($A108="",E108="",E108&lt;=0,Séries!T107=""),"",E108/Séries!T107-1)</f>
        <v/>
      </c>
      <c r="J108" s="27"/>
      <c r="K108" s="1" t="str">
        <f>IF(COUNTA(A108:E108)=0,"",IF(A108="","Preencha a data",IF(NOT(ISNUMBER(A108)),"Data inválida",IF(OR(A108&lt;36526,A108&gt;73050,A108&lt;&gt;INT(A108)),"Data inválida",IF(A108&lt;=Séries!U107,"Data repetida / fora de ordem",IF(COUNTA(B108:E108)&lt;&gt;COUNT(B108:E108),"Use preços numéricos",IF(OR(AND(ISNUMBER(B108),B108&lt;=0),AND(ISNUMBER(C108),C108&lt;=0),AND(ISNUMBER(D108),D108&lt;=0),AND(ISNUMBER(E108),E108&lt;=0)),"Use preços positivos","")))))))</f>
        <v/>
      </c>
    </row>
    <row r="109" spans="1:11" ht="22.95" customHeight="1">
      <c r="A109" s="28"/>
      <c r="B109" s="29"/>
      <c r="C109" s="29"/>
      <c r="D109" s="29"/>
      <c r="E109" s="30"/>
      <c r="F109" s="22" t="str">
        <f>IF(OR($A109="",B109="",B109&lt;=0,Séries!Q108=""),"",B109/Séries!Q108-1)</f>
        <v/>
      </c>
      <c r="G109" s="22" t="str">
        <f>IF(OR($A109="",C109="",C109&lt;=0,Séries!R108=""),"",C109/Séries!R108-1)</f>
        <v/>
      </c>
      <c r="H109" s="22" t="str">
        <f>IF(OR($A109="",D109="",D109&lt;=0,Séries!S108=""),"",D109/Séries!S108-1)</f>
        <v/>
      </c>
      <c r="I109" s="22" t="str">
        <f>IF(OR($A109="",E109="",E109&lt;=0,Séries!T108=""),"",E109/Séries!T108-1)</f>
        <v/>
      </c>
      <c r="J109" s="27"/>
      <c r="K109" s="1" t="str">
        <f>IF(COUNTA(A109:E109)=0,"",IF(A109="","Preencha a data",IF(NOT(ISNUMBER(A109)),"Data inválida",IF(OR(A109&lt;36526,A109&gt;73050,A109&lt;&gt;INT(A109)),"Data inválida",IF(A109&lt;=Séries!U108,"Data repetida / fora de ordem",IF(COUNTA(B109:E109)&lt;&gt;COUNT(B109:E109),"Use preços numéricos",IF(OR(AND(ISNUMBER(B109),B109&lt;=0),AND(ISNUMBER(C109),C109&lt;=0),AND(ISNUMBER(D109),D109&lt;=0),AND(ISNUMBER(E109),E109&lt;=0)),"Use preços positivos","")))))))</f>
        <v/>
      </c>
    </row>
    <row r="110" spans="1:11" ht="22.95" customHeight="1">
      <c r="A110" s="28"/>
      <c r="B110" s="29"/>
      <c r="C110" s="29"/>
      <c r="D110" s="29"/>
      <c r="E110" s="30"/>
      <c r="F110" s="22" t="str">
        <f>IF(OR($A110="",B110="",B110&lt;=0,Séries!Q109=""),"",B110/Séries!Q109-1)</f>
        <v/>
      </c>
      <c r="G110" s="22" t="str">
        <f>IF(OR($A110="",C110="",C110&lt;=0,Séries!R109=""),"",C110/Séries!R109-1)</f>
        <v/>
      </c>
      <c r="H110" s="22" t="str">
        <f>IF(OR($A110="",D110="",D110&lt;=0,Séries!S109=""),"",D110/Séries!S109-1)</f>
        <v/>
      </c>
      <c r="I110" s="22" t="str">
        <f>IF(OR($A110="",E110="",E110&lt;=0,Séries!T109=""),"",E110/Séries!T109-1)</f>
        <v/>
      </c>
      <c r="J110" s="27"/>
      <c r="K110" s="1" t="str">
        <f>IF(COUNTA(A110:E110)=0,"",IF(A110="","Preencha a data",IF(NOT(ISNUMBER(A110)),"Data inválida",IF(OR(A110&lt;36526,A110&gt;73050,A110&lt;&gt;INT(A110)),"Data inválida",IF(A110&lt;=Séries!U109,"Data repetida / fora de ordem",IF(COUNTA(B110:E110)&lt;&gt;COUNT(B110:E110),"Use preços numéricos",IF(OR(AND(ISNUMBER(B110),B110&lt;=0),AND(ISNUMBER(C110),C110&lt;=0),AND(ISNUMBER(D110),D110&lt;=0),AND(ISNUMBER(E110),E110&lt;=0)),"Use preços positivos","")))))))</f>
        <v/>
      </c>
    </row>
    <row r="111" spans="1:11" ht="22.95" customHeight="1">
      <c r="A111" s="28"/>
      <c r="B111" s="29"/>
      <c r="C111" s="29"/>
      <c r="D111" s="29"/>
      <c r="E111" s="30"/>
      <c r="F111" s="22" t="str">
        <f>IF(OR($A111="",B111="",B111&lt;=0,Séries!Q110=""),"",B111/Séries!Q110-1)</f>
        <v/>
      </c>
      <c r="G111" s="22" t="str">
        <f>IF(OR($A111="",C111="",C111&lt;=0,Séries!R110=""),"",C111/Séries!R110-1)</f>
        <v/>
      </c>
      <c r="H111" s="22" t="str">
        <f>IF(OR($A111="",D111="",D111&lt;=0,Séries!S110=""),"",D111/Séries!S110-1)</f>
        <v/>
      </c>
      <c r="I111" s="22" t="str">
        <f>IF(OR($A111="",E111="",E111&lt;=0,Séries!T110=""),"",E111/Séries!T110-1)</f>
        <v/>
      </c>
      <c r="J111" s="27"/>
      <c r="K111" s="1" t="str">
        <f>IF(COUNTA(A111:E111)=0,"",IF(A111="","Preencha a data",IF(NOT(ISNUMBER(A111)),"Data inválida",IF(OR(A111&lt;36526,A111&gt;73050,A111&lt;&gt;INT(A111)),"Data inválida",IF(A111&lt;=Séries!U110,"Data repetida / fora de ordem",IF(COUNTA(B111:E111)&lt;&gt;COUNT(B111:E111),"Use preços numéricos",IF(OR(AND(ISNUMBER(B111),B111&lt;=0),AND(ISNUMBER(C111),C111&lt;=0),AND(ISNUMBER(D111),D111&lt;=0),AND(ISNUMBER(E111),E111&lt;=0)),"Use preços positivos","")))))))</f>
        <v/>
      </c>
    </row>
    <row r="112" spans="1:11" ht="22.95" customHeight="1">
      <c r="A112" s="28"/>
      <c r="B112" s="29"/>
      <c r="C112" s="29"/>
      <c r="D112" s="29"/>
      <c r="E112" s="30"/>
      <c r="F112" s="22" t="str">
        <f>IF(OR($A112="",B112="",B112&lt;=0,Séries!Q111=""),"",B112/Séries!Q111-1)</f>
        <v/>
      </c>
      <c r="G112" s="22" t="str">
        <f>IF(OR($A112="",C112="",C112&lt;=0,Séries!R111=""),"",C112/Séries!R111-1)</f>
        <v/>
      </c>
      <c r="H112" s="22" t="str">
        <f>IF(OR($A112="",D112="",D112&lt;=0,Séries!S111=""),"",D112/Séries!S111-1)</f>
        <v/>
      </c>
      <c r="I112" s="22" t="str">
        <f>IF(OR($A112="",E112="",E112&lt;=0,Séries!T111=""),"",E112/Séries!T111-1)</f>
        <v/>
      </c>
      <c r="J112" s="27"/>
      <c r="K112" s="1" t="str">
        <f>IF(COUNTA(A112:E112)=0,"",IF(A112="","Preencha a data",IF(NOT(ISNUMBER(A112)),"Data inválida",IF(OR(A112&lt;36526,A112&gt;73050,A112&lt;&gt;INT(A112)),"Data inválida",IF(A112&lt;=Séries!U111,"Data repetida / fora de ordem",IF(COUNTA(B112:E112)&lt;&gt;COUNT(B112:E112),"Use preços numéricos",IF(OR(AND(ISNUMBER(B112),B112&lt;=0),AND(ISNUMBER(C112),C112&lt;=0),AND(ISNUMBER(D112),D112&lt;=0),AND(ISNUMBER(E112),E112&lt;=0)),"Use preços positivos","")))))))</f>
        <v/>
      </c>
    </row>
    <row r="113" spans="1:11" ht="22.95" customHeight="1">
      <c r="A113" s="28"/>
      <c r="B113" s="29"/>
      <c r="C113" s="29"/>
      <c r="D113" s="29"/>
      <c r="E113" s="30"/>
      <c r="F113" s="22" t="str">
        <f>IF(OR($A113="",B113="",B113&lt;=0,Séries!Q112=""),"",B113/Séries!Q112-1)</f>
        <v/>
      </c>
      <c r="G113" s="22" t="str">
        <f>IF(OR($A113="",C113="",C113&lt;=0,Séries!R112=""),"",C113/Séries!R112-1)</f>
        <v/>
      </c>
      <c r="H113" s="22" t="str">
        <f>IF(OR($A113="",D113="",D113&lt;=0,Séries!S112=""),"",D113/Séries!S112-1)</f>
        <v/>
      </c>
      <c r="I113" s="22" t="str">
        <f>IF(OR($A113="",E113="",E113&lt;=0,Séries!T112=""),"",E113/Séries!T112-1)</f>
        <v/>
      </c>
      <c r="J113" s="27"/>
      <c r="K113" s="1" t="str">
        <f>IF(COUNTA(A113:E113)=0,"",IF(A113="","Preencha a data",IF(NOT(ISNUMBER(A113)),"Data inválida",IF(OR(A113&lt;36526,A113&gt;73050,A113&lt;&gt;INT(A113)),"Data inválida",IF(A113&lt;=Séries!U112,"Data repetida / fora de ordem",IF(COUNTA(B113:E113)&lt;&gt;COUNT(B113:E113),"Use preços numéricos",IF(OR(AND(ISNUMBER(B113),B113&lt;=0),AND(ISNUMBER(C113),C113&lt;=0),AND(ISNUMBER(D113),D113&lt;=0),AND(ISNUMBER(E113),E113&lt;=0)),"Use preços positivos","")))))))</f>
        <v/>
      </c>
    </row>
    <row r="114" spans="1:11" ht="22.95" customHeight="1">
      <c r="A114" s="28"/>
      <c r="B114" s="29"/>
      <c r="C114" s="29"/>
      <c r="D114" s="29"/>
      <c r="E114" s="30"/>
      <c r="F114" s="22" t="str">
        <f>IF(OR($A114="",B114="",B114&lt;=0,Séries!Q113=""),"",B114/Séries!Q113-1)</f>
        <v/>
      </c>
      <c r="G114" s="22" t="str">
        <f>IF(OR($A114="",C114="",C114&lt;=0,Séries!R113=""),"",C114/Séries!R113-1)</f>
        <v/>
      </c>
      <c r="H114" s="22" t="str">
        <f>IF(OR($A114="",D114="",D114&lt;=0,Séries!S113=""),"",D114/Séries!S113-1)</f>
        <v/>
      </c>
      <c r="I114" s="22" t="str">
        <f>IF(OR($A114="",E114="",E114&lt;=0,Séries!T113=""),"",E114/Séries!T113-1)</f>
        <v/>
      </c>
      <c r="J114" s="27"/>
      <c r="K114" s="1" t="str">
        <f>IF(COUNTA(A114:E114)=0,"",IF(A114="","Preencha a data",IF(NOT(ISNUMBER(A114)),"Data inválida",IF(OR(A114&lt;36526,A114&gt;73050,A114&lt;&gt;INT(A114)),"Data inválida",IF(A114&lt;=Séries!U113,"Data repetida / fora de ordem",IF(COUNTA(B114:E114)&lt;&gt;COUNT(B114:E114),"Use preços numéricos",IF(OR(AND(ISNUMBER(B114),B114&lt;=0),AND(ISNUMBER(C114),C114&lt;=0),AND(ISNUMBER(D114),D114&lt;=0),AND(ISNUMBER(E114),E114&lt;=0)),"Use preços positivos","")))))))</f>
        <v/>
      </c>
    </row>
    <row r="115" spans="1:11" ht="22.95" customHeight="1">
      <c r="A115" s="28"/>
      <c r="B115" s="29"/>
      <c r="C115" s="29"/>
      <c r="D115" s="29"/>
      <c r="E115" s="30"/>
      <c r="F115" s="22" t="str">
        <f>IF(OR($A115="",B115="",B115&lt;=0,Séries!Q114=""),"",B115/Séries!Q114-1)</f>
        <v/>
      </c>
      <c r="G115" s="22" t="str">
        <f>IF(OR($A115="",C115="",C115&lt;=0,Séries!R114=""),"",C115/Séries!R114-1)</f>
        <v/>
      </c>
      <c r="H115" s="22" t="str">
        <f>IF(OR($A115="",D115="",D115&lt;=0,Séries!S114=""),"",D115/Séries!S114-1)</f>
        <v/>
      </c>
      <c r="I115" s="22" t="str">
        <f>IF(OR($A115="",E115="",E115&lt;=0,Séries!T114=""),"",E115/Séries!T114-1)</f>
        <v/>
      </c>
      <c r="J115" s="27"/>
      <c r="K115" s="1" t="str">
        <f>IF(COUNTA(A115:E115)=0,"",IF(A115="","Preencha a data",IF(NOT(ISNUMBER(A115)),"Data inválida",IF(OR(A115&lt;36526,A115&gt;73050,A115&lt;&gt;INT(A115)),"Data inválida",IF(A115&lt;=Séries!U114,"Data repetida / fora de ordem",IF(COUNTA(B115:E115)&lt;&gt;COUNT(B115:E115),"Use preços numéricos",IF(OR(AND(ISNUMBER(B115),B115&lt;=0),AND(ISNUMBER(C115),C115&lt;=0),AND(ISNUMBER(D115),D115&lt;=0),AND(ISNUMBER(E115),E115&lt;=0)),"Use preços positivos","")))))))</f>
        <v/>
      </c>
    </row>
    <row r="116" spans="1:11" ht="22.95" customHeight="1">
      <c r="A116" s="28"/>
      <c r="B116" s="29"/>
      <c r="C116" s="29"/>
      <c r="D116" s="29"/>
      <c r="E116" s="30"/>
      <c r="F116" s="22" t="str">
        <f>IF(OR($A116="",B116="",B116&lt;=0,Séries!Q115=""),"",B116/Séries!Q115-1)</f>
        <v/>
      </c>
      <c r="G116" s="22" t="str">
        <f>IF(OR($A116="",C116="",C116&lt;=0,Séries!R115=""),"",C116/Séries!R115-1)</f>
        <v/>
      </c>
      <c r="H116" s="22" t="str">
        <f>IF(OR($A116="",D116="",D116&lt;=0,Séries!S115=""),"",D116/Séries!S115-1)</f>
        <v/>
      </c>
      <c r="I116" s="22" t="str">
        <f>IF(OR($A116="",E116="",E116&lt;=0,Séries!T115=""),"",E116/Séries!T115-1)</f>
        <v/>
      </c>
      <c r="J116" s="27"/>
      <c r="K116" s="1" t="str">
        <f>IF(COUNTA(A116:E116)=0,"",IF(A116="","Preencha a data",IF(NOT(ISNUMBER(A116)),"Data inválida",IF(OR(A116&lt;36526,A116&gt;73050,A116&lt;&gt;INT(A116)),"Data inválida",IF(A116&lt;=Séries!U115,"Data repetida / fora de ordem",IF(COUNTA(B116:E116)&lt;&gt;COUNT(B116:E116),"Use preços numéricos",IF(OR(AND(ISNUMBER(B116),B116&lt;=0),AND(ISNUMBER(C116),C116&lt;=0),AND(ISNUMBER(D116),D116&lt;=0),AND(ISNUMBER(E116),E116&lt;=0)),"Use preços positivos","")))))))</f>
        <v/>
      </c>
    </row>
    <row r="117" spans="1:11" ht="22.95" customHeight="1">
      <c r="A117" s="28"/>
      <c r="B117" s="29"/>
      <c r="C117" s="29"/>
      <c r="D117" s="29"/>
      <c r="E117" s="30"/>
      <c r="F117" s="22" t="str">
        <f>IF(OR($A117="",B117="",B117&lt;=0,Séries!Q116=""),"",B117/Séries!Q116-1)</f>
        <v/>
      </c>
      <c r="G117" s="22" t="str">
        <f>IF(OR($A117="",C117="",C117&lt;=0,Séries!R116=""),"",C117/Séries!R116-1)</f>
        <v/>
      </c>
      <c r="H117" s="22" t="str">
        <f>IF(OR($A117="",D117="",D117&lt;=0,Séries!S116=""),"",D117/Séries!S116-1)</f>
        <v/>
      </c>
      <c r="I117" s="22" t="str">
        <f>IF(OR($A117="",E117="",E117&lt;=0,Séries!T116=""),"",E117/Séries!T116-1)</f>
        <v/>
      </c>
      <c r="J117" s="27"/>
      <c r="K117" s="1" t="str">
        <f>IF(COUNTA(A117:E117)=0,"",IF(A117="","Preencha a data",IF(NOT(ISNUMBER(A117)),"Data inválida",IF(OR(A117&lt;36526,A117&gt;73050,A117&lt;&gt;INT(A117)),"Data inválida",IF(A117&lt;=Séries!U116,"Data repetida / fora de ordem",IF(COUNTA(B117:E117)&lt;&gt;COUNT(B117:E117),"Use preços numéricos",IF(OR(AND(ISNUMBER(B117),B117&lt;=0),AND(ISNUMBER(C117),C117&lt;=0),AND(ISNUMBER(D117),D117&lt;=0),AND(ISNUMBER(E117),E117&lt;=0)),"Use preços positivos","")))))))</f>
        <v/>
      </c>
    </row>
    <row r="118" spans="1:11" ht="22.95" customHeight="1">
      <c r="A118" s="28"/>
      <c r="B118" s="29"/>
      <c r="C118" s="29"/>
      <c r="D118" s="29"/>
      <c r="E118" s="30"/>
      <c r="F118" s="22" t="str">
        <f>IF(OR($A118="",B118="",B118&lt;=0,Séries!Q117=""),"",B118/Séries!Q117-1)</f>
        <v/>
      </c>
      <c r="G118" s="22" t="str">
        <f>IF(OR($A118="",C118="",C118&lt;=0,Séries!R117=""),"",C118/Séries!R117-1)</f>
        <v/>
      </c>
      <c r="H118" s="22" t="str">
        <f>IF(OR($A118="",D118="",D118&lt;=0,Séries!S117=""),"",D118/Séries!S117-1)</f>
        <v/>
      </c>
      <c r="I118" s="22" t="str">
        <f>IF(OR($A118="",E118="",E118&lt;=0,Séries!T117=""),"",E118/Séries!T117-1)</f>
        <v/>
      </c>
      <c r="J118" s="27"/>
      <c r="K118" s="1" t="str">
        <f>IF(COUNTA(A118:E118)=0,"",IF(A118="","Preencha a data",IF(NOT(ISNUMBER(A118)),"Data inválida",IF(OR(A118&lt;36526,A118&gt;73050,A118&lt;&gt;INT(A118)),"Data inválida",IF(A118&lt;=Séries!U117,"Data repetida / fora de ordem",IF(COUNTA(B118:E118)&lt;&gt;COUNT(B118:E118),"Use preços numéricos",IF(OR(AND(ISNUMBER(B118),B118&lt;=0),AND(ISNUMBER(C118),C118&lt;=0),AND(ISNUMBER(D118),D118&lt;=0),AND(ISNUMBER(E118),E118&lt;=0)),"Use preços positivos","")))))))</f>
        <v/>
      </c>
    </row>
    <row r="119" spans="1:11" ht="22.95" customHeight="1">
      <c r="A119" s="28"/>
      <c r="B119" s="29"/>
      <c r="C119" s="29"/>
      <c r="D119" s="29"/>
      <c r="E119" s="30"/>
      <c r="F119" s="22" t="str">
        <f>IF(OR($A119="",B119="",B119&lt;=0,Séries!Q118=""),"",B119/Séries!Q118-1)</f>
        <v/>
      </c>
      <c r="G119" s="22" t="str">
        <f>IF(OR($A119="",C119="",C119&lt;=0,Séries!R118=""),"",C119/Séries!R118-1)</f>
        <v/>
      </c>
      <c r="H119" s="22" t="str">
        <f>IF(OR($A119="",D119="",D119&lt;=0,Séries!S118=""),"",D119/Séries!S118-1)</f>
        <v/>
      </c>
      <c r="I119" s="22" t="str">
        <f>IF(OR($A119="",E119="",E119&lt;=0,Séries!T118=""),"",E119/Séries!T118-1)</f>
        <v/>
      </c>
      <c r="J119" s="27"/>
      <c r="K119" s="1" t="str">
        <f>IF(COUNTA(A119:E119)=0,"",IF(A119="","Preencha a data",IF(NOT(ISNUMBER(A119)),"Data inválida",IF(OR(A119&lt;36526,A119&gt;73050,A119&lt;&gt;INT(A119)),"Data inválida",IF(A119&lt;=Séries!U118,"Data repetida / fora de ordem",IF(COUNTA(B119:E119)&lt;&gt;COUNT(B119:E119),"Use preços numéricos",IF(OR(AND(ISNUMBER(B119),B119&lt;=0),AND(ISNUMBER(C119),C119&lt;=0),AND(ISNUMBER(D119),D119&lt;=0),AND(ISNUMBER(E119),E119&lt;=0)),"Use preços positivos","")))))))</f>
        <v/>
      </c>
    </row>
    <row r="120" spans="1:11" ht="22.95" customHeight="1">
      <c r="A120" s="28"/>
      <c r="B120" s="29"/>
      <c r="C120" s="29"/>
      <c r="D120" s="29"/>
      <c r="E120" s="30"/>
      <c r="F120" s="22" t="str">
        <f>IF(OR($A120="",B120="",B120&lt;=0,Séries!Q119=""),"",B120/Séries!Q119-1)</f>
        <v/>
      </c>
      <c r="G120" s="22" t="str">
        <f>IF(OR($A120="",C120="",C120&lt;=0,Séries!R119=""),"",C120/Séries!R119-1)</f>
        <v/>
      </c>
      <c r="H120" s="22" t="str">
        <f>IF(OR($A120="",D120="",D120&lt;=0,Séries!S119=""),"",D120/Séries!S119-1)</f>
        <v/>
      </c>
      <c r="I120" s="22" t="str">
        <f>IF(OR($A120="",E120="",E120&lt;=0,Séries!T119=""),"",E120/Séries!T119-1)</f>
        <v/>
      </c>
      <c r="J120" s="27"/>
      <c r="K120" s="1" t="str">
        <f>IF(COUNTA(A120:E120)=0,"",IF(A120="","Preencha a data",IF(NOT(ISNUMBER(A120)),"Data inválida",IF(OR(A120&lt;36526,A120&gt;73050,A120&lt;&gt;INT(A120)),"Data inválida",IF(A120&lt;=Séries!U119,"Data repetida / fora de ordem",IF(COUNTA(B120:E120)&lt;&gt;COUNT(B120:E120),"Use preços numéricos",IF(OR(AND(ISNUMBER(B120),B120&lt;=0),AND(ISNUMBER(C120),C120&lt;=0),AND(ISNUMBER(D120),D120&lt;=0),AND(ISNUMBER(E120),E120&lt;=0)),"Use preços positivos","")))))))</f>
        <v/>
      </c>
    </row>
    <row r="121" spans="1:11" ht="22.95" customHeight="1">
      <c r="A121" s="28"/>
      <c r="B121" s="29"/>
      <c r="C121" s="29"/>
      <c r="D121" s="29"/>
      <c r="E121" s="30"/>
      <c r="F121" s="22" t="str">
        <f>IF(OR($A121="",B121="",B121&lt;=0,Séries!Q120=""),"",B121/Séries!Q120-1)</f>
        <v/>
      </c>
      <c r="G121" s="22" t="str">
        <f>IF(OR($A121="",C121="",C121&lt;=0,Séries!R120=""),"",C121/Séries!R120-1)</f>
        <v/>
      </c>
      <c r="H121" s="22" t="str">
        <f>IF(OR($A121="",D121="",D121&lt;=0,Séries!S120=""),"",D121/Séries!S120-1)</f>
        <v/>
      </c>
      <c r="I121" s="22" t="str">
        <f>IF(OR($A121="",E121="",E121&lt;=0,Séries!T120=""),"",E121/Séries!T120-1)</f>
        <v/>
      </c>
      <c r="J121" s="27"/>
      <c r="K121" s="1" t="str">
        <f>IF(COUNTA(A121:E121)=0,"",IF(A121="","Preencha a data",IF(NOT(ISNUMBER(A121)),"Data inválida",IF(OR(A121&lt;36526,A121&gt;73050,A121&lt;&gt;INT(A121)),"Data inválida",IF(A121&lt;=Séries!U120,"Data repetida / fora de ordem",IF(COUNTA(B121:E121)&lt;&gt;COUNT(B121:E121),"Use preços numéricos",IF(OR(AND(ISNUMBER(B121),B121&lt;=0),AND(ISNUMBER(C121),C121&lt;=0),AND(ISNUMBER(D121),D121&lt;=0),AND(ISNUMBER(E121),E121&lt;=0)),"Use preços positivos","")))))))</f>
        <v/>
      </c>
    </row>
    <row r="122" spans="1:11" ht="22.95" customHeight="1">
      <c r="A122" s="28"/>
      <c r="B122" s="29"/>
      <c r="C122" s="29"/>
      <c r="D122" s="29"/>
      <c r="E122" s="30"/>
      <c r="F122" s="22" t="str">
        <f>IF(OR($A122="",B122="",B122&lt;=0,Séries!Q121=""),"",B122/Séries!Q121-1)</f>
        <v/>
      </c>
      <c r="G122" s="22" t="str">
        <f>IF(OR($A122="",C122="",C122&lt;=0,Séries!R121=""),"",C122/Séries!R121-1)</f>
        <v/>
      </c>
      <c r="H122" s="22" t="str">
        <f>IF(OR($A122="",D122="",D122&lt;=0,Séries!S121=""),"",D122/Séries!S121-1)</f>
        <v/>
      </c>
      <c r="I122" s="22" t="str">
        <f>IF(OR($A122="",E122="",E122&lt;=0,Séries!T121=""),"",E122/Séries!T121-1)</f>
        <v/>
      </c>
      <c r="J122" s="27"/>
      <c r="K122" s="1" t="str">
        <f>IF(COUNTA(A122:E122)=0,"",IF(A122="","Preencha a data",IF(NOT(ISNUMBER(A122)),"Data inválida",IF(OR(A122&lt;36526,A122&gt;73050,A122&lt;&gt;INT(A122)),"Data inválida",IF(A122&lt;=Séries!U121,"Data repetida / fora de ordem",IF(COUNTA(B122:E122)&lt;&gt;COUNT(B122:E122),"Use preços numéricos",IF(OR(AND(ISNUMBER(B122),B122&lt;=0),AND(ISNUMBER(C122),C122&lt;=0),AND(ISNUMBER(D122),D122&lt;=0),AND(ISNUMBER(E122),E122&lt;=0)),"Use preços positivos","")))))))</f>
        <v/>
      </c>
    </row>
    <row r="123" spans="1:11" ht="22.95" customHeight="1">
      <c r="A123" s="28"/>
      <c r="B123" s="29"/>
      <c r="C123" s="29"/>
      <c r="D123" s="29"/>
      <c r="E123" s="30"/>
      <c r="F123" s="22" t="str">
        <f>IF(OR($A123="",B123="",B123&lt;=0,Séries!Q122=""),"",B123/Séries!Q122-1)</f>
        <v/>
      </c>
      <c r="G123" s="22" t="str">
        <f>IF(OR($A123="",C123="",C123&lt;=0,Séries!R122=""),"",C123/Séries!R122-1)</f>
        <v/>
      </c>
      <c r="H123" s="22" t="str">
        <f>IF(OR($A123="",D123="",D123&lt;=0,Séries!S122=""),"",D123/Séries!S122-1)</f>
        <v/>
      </c>
      <c r="I123" s="22" t="str">
        <f>IF(OR($A123="",E123="",E123&lt;=0,Séries!T122=""),"",E123/Séries!T122-1)</f>
        <v/>
      </c>
      <c r="J123" s="27"/>
      <c r="K123" s="1" t="str">
        <f>IF(COUNTA(A123:E123)=0,"",IF(A123="","Preencha a data",IF(NOT(ISNUMBER(A123)),"Data inválida",IF(OR(A123&lt;36526,A123&gt;73050,A123&lt;&gt;INT(A123)),"Data inválida",IF(A123&lt;=Séries!U122,"Data repetida / fora de ordem",IF(COUNTA(B123:E123)&lt;&gt;COUNT(B123:E123),"Use preços numéricos",IF(OR(AND(ISNUMBER(B123),B123&lt;=0),AND(ISNUMBER(C123),C123&lt;=0),AND(ISNUMBER(D123),D123&lt;=0),AND(ISNUMBER(E123),E123&lt;=0)),"Use preços positivos","")))))))</f>
        <v/>
      </c>
    </row>
    <row r="124" spans="1:11" ht="22.95" customHeight="1">
      <c r="A124" s="28"/>
      <c r="B124" s="29"/>
      <c r="C124" s="29"/>
      <c r="D124" s="29"/>
      <c r="E124" s="30"/>
      <c r="F124" s="22" t="str">
        <f>IF(OR($A124="",B124="",B124&lt;=0,Séries!Q123=""),"",B124/Séries!Q123-1)</f>
        <v/>
      </c>
      <c r="G124" s="22" t="str">
        <f>IF(OR($A124="",C124="",C124&lt;=0,Séries!R123=""),"",C124/Séries!R123-1)</f>
        <v/>
      </c>
      <c r="H124" s="22" t="str">
        <f>IF(OR($A124="",D124="",D124&lt;=0,Séries!S123=""),"",D124/Séries!S123-1)</f>
        <v/>
      </c>
      <c r="I124" s="22" t="str">
        <f>IF(OR($A124="",E124="",E124&lt;=0,Séries!T123=""),"",E124/Séries!T123-1)</f>
        <v/>
      </c>
      <c r="J124" s="27"/>
      <c r="K124" s="1" t="str">
        <f>IF(COUNTA(A124:E124)=0,"",IF(A124="","Preencha a data",IF(NOT(ISNUMBER(A124)),"Data inválida",IF(OR(A124&lt;36526,A124&gt;73050,A124&lt;&gt;INT(A124)),"Data inválida",IF(A124&lt;=Séries!U123,"Data repetida / fora de ordem",IF(COUNTA(B124:E124)&lt;&gt;COUNT(B124:E124),"Use preços numéricos",IF(OR(AND(ISNUMBER(B124),B124&lt;=0),AND(ISNUMBER(C124),C124&lt;=0),AND(ISNUMBER(D124),D124&lt;=0),AND(ISNUMBER(E124),E124&lt;=0)),"Use preços positivos","")))))))</f>
        <v/>
      </c>
    </row>
    <row r="125" spans="1:11" ht="22.95" customHeight="1">
      <c r="A125" s="28"/>
      <c r="B125" s="29"/>
      <c r="C125" s="29"/>
      <c r="D125" s="29"/>
      <c r="E125" s="30"/>
      <c r="F125" s="22" t="str">
        <f>IF(OR($A125="",B125="",B125&lt;=0,Séries!Q124=""),"",B125/Séries!Q124-1)</f>
        <v/>
      </c>
      <c r="G125" s="22" t="str">
        <f>IF(OR($A125="",C125="",C125&lt;=0,Séries!R124=""),"",C125/Séries!R124-1)</f>
        <v/>
      </c>
      <c r="H125" s="22" t="str">
        <f>IF(OR($A125="",D125="",D125&lt;=0,Séries!S124=""),"",D125/Séries!S124-1)</f>
        <v/>
      </c>
      <c r="I125" s="22" t="str">
        <f>IF(OR($A125="",E125="",E125&lt;=0,Séries!T124=""),"",E125/Séries!T124-1)</f>
        <v/>
      </c>
      <c r="J125" s="27"/>
      <c r="K125" s="1" t="str">
        <f>IF(COUNTA(A125:E125)=0,"",IF(A125="","Preencha a data",IF(NOT(ISNUMBER(A125)),"Data inválida",IF(OR(A125&lt;36526,A125&gt;73050,A125&lt;&gt;INT(A125)),"Data inválida",IF(A125&lt;=Séries!U124,"Data repetida / fora de ordem",IF(COUNTA(B125:E125)&lt;&gt;COUNT(B125:E125),"Use preços numéricos",IF(OR(AND(ISNUMBER(B125),B125&lt;=0),AND(ISNUMBER(C125),C125&lt;=0),AND(ISNUMBER(D125),D125&lt;=0),AND(ISNUMBER(E125),E125&lt;=0)),"Use preços positivos","")))))))</f>
        <v/>
      </c>
    </row>
    <row r="126" spans="1:11" ht="22.95" customHeight="1">
      <c r="A126" s="28"/>
      <c r="B126" s="29"/>
      <c r="C126" s="29"/>
      <c r="D126" s="29"/>
      <c r="E126" s="30"/>
      <c r="F126" s="22" t="str">
        <f>IF(OR($A126="",B126="",B126&lt;=0,Séries!Q125=""),"",B126/Séries!Q125-1)</f>
        <v/>
      </c>
      <c r="G126" s="22" t="str">
        <f>IF(OR($A126="",C126="",C126&lt;=0,Séries!R125=""),"",C126/Séries!R125-1)</f>
        <v/>
      </c>
      <c r="H126" s="22" t="str">
        <f>IF(OR($A126="",D126="",D126&lt;=0,Séries!S125=""),"",D126/Séries!S125-1)</f>
        <v/>
      </c>
      <c r="I126" s="22" t="str">
        <f>IF(OR($A126="",E126="",E126&lt;=0,Séries!T125=""),"",E126/Séries!T125-1)</f>
        <v/>
      </c>
      <c r="J126" s="27"/>
      <c r="K126" s="1" t="str">
        <f>IF(COUNTA(A126:E126)=0,"",IF(A126="","Preencha a data",IF(NOT(ISNUMBER(A126)),"Data inválida",IF(OR(A126&lt;36526,A126&gt;73050,A126&lt;&gt;INT(A126)),"Data inválida",IF(A126&lt;=Séries!U125,"Data repetida / fora de ordem",IF(COUNTA(B126:E126)&lt;&gt;COUNT(B126:E126),"Use preços numéricos",IF(OR(AND(ISNUMBER(B126),B126&lt;=0),AND(ISNUMBER(C126),C126&lt;=0),AND(ISNUMBER(D126),D126&lt;=0),AND(ISNUMBER(E126),E126&lt;=0)),"Use preços positivos","")))))))</f>
        <v/>
      </c>
    </row>
    <row r="127" spans="1:11" ht="22.95" customHeight="1">
      <c r="A127" s="28"/>
      <c r="B127" s="29"/>
      <c r="C127" s="29"/>
      <c r="D127" s="29"/>
      <c r="E127" s="30"/>
      <c r="F127" s="22" t="str">
        <f>IF(OR($A127="",B127="",B127&lt;=0,Séries!Q126=""),"",B127/Séries!Q126-1)</f>
        <v/>
      </c>
      <c r="G127" s="22" t="str">
        <f>IF(OR($A127="",C127="",C127&lt;=0,Séries!R126=""),"",C127/Séries!R126-1)</f>
        <v/>
      </c>
      <c r="H127" s="22" t="str">
        <f>IF(OR($A127="",D127="",D127&lt;=0,Séries!S126=""),"",D127/Séries!S126-1)</f>
        <v/>
      </c>
      <c r="I127" s="22" t="str">
        <f>IF(OR($A127="",E127="",E127&lt;=0,Séries!T126=""),"",E127/Séries!T126-1)</f>
        <v/>
      </c>
      <c r="J127" s="27"/>
      <c r="K127" s="1" t="str">
        <f>IF(COUNTA(A127:E127)=0,"",IF(A127="","Preencha a data",IF(NOT(ISNUMBER(A127)),"Data inválida",IF(OR(A127&lt;36526,A127&gt;73050,A127&lt;&gt;INT(A127)),"Data inválida",IF(A127&lt;=Séries!U126,"Data repetida / fora de ordem",IF(COUNTA(B127:E127)&lt;&gt;COUNT(B127:E127),"Use preços numéricos",IF(OR(AND(ISNUMBER(B127),B127&lt;=0),AND(ISNUMBER(C127),C127&lt;=0),AND(ISNUMBER(D127),D127&lt;=0),AND(ISNUMBER(E127),E127&lt;=0)),"Use preços positivos","")))))))</f>
        <v/>
      </c>
    </row>
    <row r="128" spans="1:11" ht="22.95" customHeight="1">
      <c r="A128" s="28"/>
      <c r="B128" s="29"/>
      <c r="C128" s="29"/>
      <c r="D128" s="29"/>
      <c r="E128" s="30"/>
      <c r="F128" s="22" t="str">
        <f>IF(OR($A128="",B128="",B128&lt;=0,Séries!Q127=""),"",B128/Séries!Q127-1)</f>
        <v/>
      </c>
      <c r="G128" s="22" t="str">
        <f>IF(OR($A128="",C128="",C128&lt;=0,Séries!R127=""),"",C128/Séries!R127-1)</f>
        <v/>
      </c>
      <c r="H128" s="22" t="str">
        <f>IF(OR($A128="",D128="",D128&lt;=0,Séries!S127=""),"",D128/Séries!S127-1)</f>
        <v/>
      </c>
      <c r="I128" s="22" t="str">
        <f>IF(OR($A128="",E128="",E128&lt;=0,Séries!T127=""),"",E128/Séries!T127-1)</f>
        <v/>
      </c>
      <c r="J128" s="27"/>
      <c r="K128" s="1" t="str">
        <f>IF(COUNTA(A128:E128)=0,"",IF(A128="","Preencha a data",IF(NOT(ISNUMBER(A128)),"Data inválida",IF(OR(A128&lt;36526,A128&gt;73050,A128&lt;&gt;INT(A128)),"Data inválida",IF(A128&lt;=Séries!U127,"Data repetida / fora de ordem",IF(COUNTA(B128:E128)&lt;&gt;COUNT(B128:E128),"Use preços numéricos",IF(OR(AND(ISNUMBER(B128),B128&lt;=0),AND(ISNUMBER(C128),C128&lt;=0),AND(ISNUMBER(D128),D128&lt;=0),AND(ISNUMBER(E128),E128&lt;=0)),"Use preços positivos","")))))))</f>
        <v/>
      </c>
    </row>
    <row r="129" spans="1:11" ht="22.95" customHeight="1">
      <c r="A129" s="28"/>
      <c r="B129" s="29"/>
      <c r="C129" s="29"/>
      <c r="D129" s="29"/>
      <c r="E129" s="30"/>
      <c r="F129" s="22" t="str">
        <f>IF(OR($A129="",B129="",B129&lt;=0,Séries!Q128=""),"",B129/Séries!Q128-1)</f>
        <v/>
      </c>
      <c r="G129" s="22" t="str">
        <f>IF(OR($A129="",C129="",C129&lt;=0,Séries!R128=""),"",C129/Séries!R128-1)</f>
        <v/>
      </c>
      <c r="H129" s="22" t="str">
        <f>IF(OR($A129="",D129="",D129&lt;=0,Séries!S128=""),"",D129/Séries!S128-1)</f>
        <v/>
      </c>
      <c r="I129" s="22" t="str">
        <f>IF(OR($A129="",E129="",E129&lt;=0,Séries!T128=""),"",E129/Séries!T128-1)</f>
        <v/>
      </c>
      <c r="J129" s="27"/>
      <c r="K129" s="1" t="str">
        <f>IF(COUNTA(A129:E129)=0,"",IF(A129="","Preencha a data",IF(NOT(ISNUMBER(A129)),"Data inválida",IF(OR(A129&lt;36526,A129&gt;73050,A129&lt;&gt;INT(A129)),"Data inválida",IF(A129&lt;=Séries!U128,"Data repetida / fora de ordem",IF(COUNTA(B129:E129)&lt;&gt;COUNT(B129:E129),"Use preços numéricos",IF(OR(AND(ISNUMBER(B129),B129&lt;=0),AND(ISNUMBER(C129),C129&lt;=0),AND(ISNUMBER(D129),D129&lt;=0),AND(ISNUMBER(E129),E129&lt;=0)),"Use preços positivos","")))))))</f>
        <v/>
      </c>
    </row>
    <row r="130" spans="1:11" ht="22.95" customHeight="1">
      <c r="A130" s="28"/>
      <c r="B130" s="29"/>
      <c r="C130" s="29"/>
      <c r="D130" s="29"/>
      <c r="E130" s="30"/>
      <c r="F130" s="22" t="str">
        <f>IF(OR($A130="",B130="",B130&lt;=0,Séries!Q129=""),"",B130/Séries!Q129-1)</f>
        <v/>
      </c>
      <c r="G130" s="22" t="str">
        <f>IF(OR($A130="",C130="",C130&lt;=0,Séries!R129=""),"",C130/Séries!R129-1)</f>
        <v/>
      </c>
      <c r="H130" s="22" t="str">
        <f>IF(OR($A130="",D130="",D130&lt;=0,Séries!S129=""),"",D130/Séries!S129-1)</f>
        <v/>
      </c>
      <c r="I130" s="22" t="str">
        <f>IF(OR($A130="",E130="",E130&lt;=0,Séries!T129=""),"",E130/Séries!T129-1)</f>
        <v/>
      </c>
      <c r="J130" s="27"/>
      <c r="K130" s="1" t="str">
        <f>IF(COUNTA(A130:E130)=0,"",IF(A130="","Preencha a data",IF(NOT(ISNUMBER(A130)),"Data inválida",IF(OR(A130&lt;36526,A130&gt;73050,A130&lt;&gt;INT(A130)),"Data inválida",IF(A130&lt;=Séries!U129,"Data repetida / fora de ordem",IF(COUNTA(B130:E130)&lt;&gt;COUNT(B130:E130),"Use preços numéricos",IF(OR(AND(ISNUMBER(B130),B130&lt;=0),AND(ISNUMBER(C130),C130&lt;=0),AND(ISNUMBER(D130),D130&lt;=0),AND(ISNUMBER(E130),E130&lt;=0)),"Use preços positivos","")))))))</f>
        <v/>
      </c>
    </row>
    <row r="131" spans="1:11" ht="22.95" customHeight="1">
      <c r="A131" s="28"/>
      <c r="B131" s="29"/>
      <c r="C131" s="29"/>
      <c r="D131" s="29"/>
      <c r="E131" s="30"/>
      <c r="F131" s="22" t="str">
        <f>IF(OR($A131="",B131="",B131&lt;=0,Séries!Q130=""),"",B131/Séries!Q130-1)</f>
        <v/>
      </c>
      <c r="G131" s="22" t="str">
        <f>IF(OR($A131="",C131="",C131&lt;=0,Séries!R130=""),"",C131/Séries!R130-1)</f>
        <v/>
      </c>
      <c r="H131" s="22" t="str">
        <f>IF(OR($A131="",D131="",D131&lt;=0,Séries!S130=""),"",D131/Séries!S130-1)</f>
        <v/>
      </c>
      <c r="I131" s="22" t="str">
        <f>IF(OR($A131="",E131="",E131&lt;=0,Séries!T130=""),"",E131/Séries!T130-1)</f>
        <v/>
      </c>
      <c r="J131" s="27"/>
      <c r="K131" s="1" t="str">
        <f>IF(COUNTA(A131:E131)=0,"",IF(A131="","Preencha a data",IF(NOT(ISNUMBER(A131)),"Data inválida",IF(OR(A131&lt;36526,A131&gt;73050,A131&lt;&gt;INT(A131)),"Data inválida",IF(A131&lt;=Séries!U130,"Data repetida / fora de ordem",IF(COUNTA(B131:E131)&lt;&gt;COUNT(B131:E131),"Use preços numéricos",IF(OR(AND(ISNUMBER(B131),B131&lt;=0),AND(ISNUMBER(C131),C131&lt;=0),AND(ISNUMBER(D131),D131&lt;=0),AND(ISNUMBER(E131),E131&lt;=0)),"Use preços positivos","")))))))</f>
        <v/>
      </c>
    </row>
    <row r="132" spans="1:11" ht="22.95" customHeight="1">
      <c r="A132" s="28"/>
      <c r="B132" s="29"/>
      <c r="C132" s="29"/>
      <c r="D132" s="29"/>
      <c r="E132" s="30"/>
      <c r="F132" s="22" t="str">
        <f>IF(OR($A132="",B132="",B132&lt;=0,Séries!Q131=""),"",B132/Séries!Q131-1)</f>
        <v/>
      </c>
      <c r="G132" s="22" t="str">
        <f>IF(OR($A132="",C132="",C132&lt;=0,Séries!R131=""),"",C132/Séries!R131-1)</f>
        <v/>
      </c>
      <c r="H132" s="22" t="str">
        <f>IF(OR($A132="",D132="",D132&lt;=0,Séries!S131=""),"",D132/Séries!S131-1)</f>
        <v/>
      </c>
      <c r="I132" s="22" t="str">
        <f>IF(OR($A132="",E132="",E132&lt;=0,Séries!T131=""),"",E132/Séries!T131-1)</f>
        <v/>
      </c>
      <c r="J132" s="27"/>
      <c r="K132" s="1" t="str">
        <f>IF(COUNTA(A132:E132)=0,"",IF(A132="","Preencha a data",IF(NOT(ISNUMBER(A132)),"Data inválida",IF(OR(A132&lt;36526,A132&gt;73050,A132&lt;&gt;INT(A132)),"Data inválida",IF(A132&lt;=Séries!U131,"Data repetida / fora de ordem",IF(COUNTA(B132:E132)&lt;&gt;COUNT(B132:E132),"Use preços numéricos",IF(OR(AND(ISNUMBER(B132),B132&lt;=0),AND(ISNUMBER(C132),C132&lt;=0),AND(ISNUMBER(D132),D132&lt;=0),AND(ISNUMBER(E132),E132&lt;=0)),"Use preços positivos","")))))))</f>
        <v/>
      </c>
    </row>
    <row r="133" spans="1:11" ht="22.95" customHeight="1">
      <c r="A133" s="28"/>
      <c r="B133" s="29"/>
      <c r="C133" s="29"/>
      <c r="D133" s="29"/>
      <c r="E133" s="30"/>
      <c r="F133" s="22" t="str">
        <f>IF(OR($A133="",B133="",B133&lt;=0,Séries!Q132=""),"",B133/Séries!Q132-1)</f>
        <v/>
      </c>
      <c r="G133" s="22" t="str">
        <f>IF(OR($A133="",C133="",C133&lt;=0,Séries!R132=""),"",C133/Séries!R132-1)</f>
        <v/>
      </c>
      <c r="H133" s="22" t="str">
        <f>IF(OR($A133="",D133="",D133&lt;=0,Séries!S132=""),"",D133/Séries!S132-1)</f>
        <v/>
      </c>
      <c r="I133" s="22" t="str">
        <f>IF(OR($A133="",E133="",E133&lt;=0,Séries!T132=""),"",E133/Séries!T132-1)</f>
        <v/>
      </c>
      <c r="J133" s="27"/>
      <c r="K133" s="1" t="str">
        <f>IF(COUNTA(A133:E133)=0,"",IF(A133="","Preencha a data",IF(NOT(ISNUMBER(A133)),"Data inválida",IF(OR(A133&lt;36526,A133&gt;73050,A133&lt;&gt;INT(A133)),"Data inválida",IF(A133&lt;=Séries!U132,"Data repetida / fora de ordem",IF(COUNTA(B133:E133)&lt;&gt;COUNT(B133:E133),"Use preços numéricos",IF(OR(AND(ISNUMBER(B133),B133&lt;=0),AND(ISNUMBER(C133),C133&lt;=0),AND(ISNUMBER(D133),D133&lt;=0),AND(ISNUMBER(E133),E133&lt;=0)),"Use preços positivos","")))))))</f>
        <v/>
      </c>
    </row>
    <row r="134" spans="1:11" ht="22.95" customHeight="1">
      <c r="A134" s="28"/>
      <c r="B134" s="29"/>
      <c r="C134" s="29"/>
      <c r="D134" s="29"/>
      <c r="E134" s="30"/>
      <c r="F134" s="22" t="str">
        <f>IF(OR($A134="",B134="",B134&lt;=0,Séries!Q133=""),"",B134/Séries!Q133-1)</f>
        <v/>
      </c>
      <c r="G134" s="22" t="str">
        <f>IF(OR($A134="",C134="",C134&lt;=0,Séries!R133=""),"",C134/Séries!R133-1)</f>
        <v/>
      </c>
      <c r="H134" s="22" t="str">
        <f>IF(OR($A134="",D134="",D134&lt;=0,Séries!S133=""),"",D134/Séries!S133-1)</f>
        <v/>
      </c>
      <c r="I134" s="22" t="str">
        <f>IF(OR($A134="",E134="",E134&lt;=0,Séries!T133=""),"",E134/Séries!T133-1)</f>
        <v/>
      </c>
      <c r="J134" s="27"/>
      <c r="K134" s="1" t="str">
        <f>IF(COUNTA(A134:E134)=0,"",IF(A134="","Preencha a data",IF(NOT(ISNUMBER(A134)),"Data inválida",IF(OR(A134&lt;36526,A134&gt;73050,A134&lt;&gt;INT(A134)),"Data inválida",IF(A134&lt;=Séries!U133,"Data repetida / fora de ordem",IF(COUNTA(B134:E134)&lt;&gt;COUNT(B134:E134),"Use preços numéricos",IF(OR(AND(ISNUMBER(B134),B134&lt;=0),AND(ISNUMBER(C134),C134&lt;=0),AND(ISNUMBER(D134),D134&lt;=0),AND(ISNUMBER(E134),E134&lt;=0)),"Use preços positivos","")))))))</f>
        <v/>
      </c>
    </row>
    <row r="135" spans="1:11" ht="22.95" customHeight="1">
      <c r="A135" s="28"/>
      <c r="B135" s="29"/>
      <c r="C135" s="29"/>
      <c r="D135" s="29"/>
      <c r="E135" s="30"/>
      <c r="F135" s="22" t="str">
        <f>IF(OR($A135="",B135="",B135&lt;=0,Séries!Q134=""),"",B135/Séries!Q134-1)</f>
        <v/>
      </c>
      <c r="G135" s="22" t="str">
        <f>IF(OR($A135="",C135="",C135&lt;=0,Séries!R134=""),"",C135/Séries!R134-1)</f>
        <v/>
      </c>
      <c r="H135" s="22" t="str">
        <f>IF(OR($A135="",D135="",D135&lt;=0,Séries!S134=""),"",D135/Séries!S134-1)</f>
        <v/>
      </c>
      <c r="I135" s="22" t="str">
        <f>IF(OR($A135="",E135="",E135&lt;=0,Séries!T134=""),"",E135/Séries!T134-1)</f>
        <v/>
      </c>
      <c r="J135" s="27"/>
      <c r="K135" s="1" t="str">
        <f>IF(COUNTA(A135:E135)=0,"",IF(A135="","Preencha a data",IF(NOT(ISNUMBER(A135)),"Data inválida",IF(OR(A135&lt;36526,A135&gt;73050,A135&lt;&gt;INT(A135)),"Data inválida",IF(A135&lt;=Séries!U134,"Data repetida / fora de ordem",IF(COUNTA(B135:E135)&lt;&gt;COUNT(B135:E135),"Use preços numéricos",IF(OR(AND(ISNUMBER(B135),B135&lt;=0),AND(ISNUMBER(C135),C135&lt;=0),AND(ISNUMBER(D135),D135&lt;=0),AND(ISNUMBER(E135),E135&lt;=0)),"Use preços positivos","")))))))</f>
        <v/>
      </c>
    </row>
    <row r="136" spans="1:11" ht="22.95" customHeight="1">
      <c r="A136" s="28"/>
      <c r="B136" s="29"/>
      <c r="C136" s="29"/>
      <c r="D136" s="29"/>
      <c r="E136" s="30"/>
      <c r="F136" s="22" t="str">
        <f>IF(OR($A136="",B136="",B136&lt;=0,Séries!Q135=""),"",B136/Séries!Q135-1)</f>
        <v/>
      </c>
      <c r="G136" s="22" t="str">
        <f>IF(OR($A136="",C136="",C136&lt;=0,Séries!R135=""),"",C136/Séries!R135-1)</f>
        <v/>
      </c>
      <c r="H136" s="22" t="str">
        <f>IF(OR($A136="",D136="",D136&lt;=0,Séries!S135=""),"",D136/Séries!S135-1)</f>
        <v/>
      </c>
      <c r="I136" s="22" t="str">
        <f>IF(OR($A136="",E136="",E136&lt;=0,Séries!T135=""),"",E136/Séries!T135-1)</f>
        <v/>
      </c>
      <c r="J136" s="27"/>
      <c r="K136" s="1" t="str">
        <f>IF(COUNTA(A136:E136)=0,"",IF(A136="","Preencha a data",IF(NOT(ISNUMBER(A136)),"Data inválida",IF(OR(A136&lt;36526,A136&gt;73050,A136&lt;&gt;INT(A136)),"Data inválida",IF(A136&lt;=Séries!U135,"Data repetida / fora de ordem",IF(COUNTA(B136:E136)&lt;&gt;COUNT(B136:E136),"Use preços numéricos",IF(OR(AND(ISNUMBER(B136),B136&lt;=0),AND(ISNUMBER(C136),C136&lt;=0),AND(ISNUMBER(D136),D136&lt;=0),AND(ISNUMBER(E136),E136&lt;=0)),"Use preços positivos","")))))))</f>
        <v/>
      </c>
    </row>
    <row r="137" spans="1:11" ht="22.95" customHeight="1">
      <c r="A137" s="28"/>
      <c r="B137" s="29"/>
      <c r="C137" s="29"/>
      <c r="D137" s="29"/>
      <c r="E137" s="30"/>
      <c r="F137" s="22" t="str">
        <f>IF(OR($A137="",B137="",B137&lt;=0,Séries!Q136=""),"",B137/Séries!Q136-1)</f>
        <v/>
      </c>
      <c r="G137" s="22" t="str">
        <f>IF(OR($A137="",C137="",C137&lt;=0,Séries!R136=""),"",C137/Séries!R136-1)</f>
        <v/>
      </c>
      <c r="H137" s="22" t="str">
        <f>IF(OR($A137="",D137="",D137&lt;=0,Séries!S136=""),"",D137/Séries!S136-1)</f>
        <v/>
      </c>
      <c r="I137" s="22" t="str">
        <f>IF(OR($A137="",E137="",E137&lt;=0,Séries!T136=""),"",E137/Séries!T136-1)</f>
        <v/>
      </c>
      <c r="J137" s="27"/>
      <c r="K137" s="1" t="str">
        <f>IF(COUNTA(A137:E137)=0,"",IF(A137="","Preencha a data",IF(NOT(ISNUMBER(A137)),"Data inválida",IF(OR(A137&lt;36526,A137&gt;73050,A137&lt;&gt;INT(A137)),"Data inválida",IF(A137&lt;=Séries!U136,"Data repetida / fora de ordem",IF(COUNTA(B137:E137)&lt;&gt;COUNT(B137:E137),"Use preços numéricos",IF(OR(AND(ISNUMBER(B137),B137&lt;=0),AND(ISNUMBER(C137),C137&lt;=0),AND(ISNUMBER(D137),D137&lt;=0),AND(ISNUMBER(E137),E137&lt;=0)),"Use preços positivos","")))))))</f>
        <v/>
      </c>
    </row>
    <row r="138" spans="1:11" ht="22.95" customHeight="1">
      <c r="A138" s="28"/>
      <c r="B138" s="29"/>
      <c r="C138" s="29"/>
      <c r="D138" s="29"/>
      <c r="E138" s="30"/>
      <c r="F138" s="22" t="str">
        <f>IF(OR($A138="",B138="",B138&lt;=0,Séries!Q137=""),"",B138/Séries!Q137-1)</f>
        <v/>
      </c>
      <c r="G138" s="22" t="str">
        <f>IF(OR($A138="",C138="",C138&lt;=0,Séries!R137=""),"",C138/Séries!R137-1)</f>
        <v/>
      </c>
      <c r="H138" s="22" t="str">
        <f>IF(OR($A138="",D138="",D138&lt;=0,Séries!S137=""),"",D138/Séries!S137-1)</f>
        <v/>
      </c>
      <c r="I138" s="22" t="str">
        <f>IF(OR($A138="",E138="",E138&lt;=0,Séries!T137=""),"",E138/Séries!T137-1)</f>
        <v/>
      </c>
      <c r="J138" s="27"/>
      <c r="K138" s="1" t="str">
        <f>IF(COUNTA(A138:E138)=0,"",IF(A138="","Preencha a data",IF(NOT(ISNUMBER(A138)),"Data inválida",IF(OR(A138&lt;36526,A138&gt;73050,A138&lt;&gt;INT(A138)),"Data inválida",IF(A138&lt;=Séries!U137,"Data repetida / fora de ordem",IF(COUNTA(B138:E138)&lt;&gt;COUNT(B138:E138),"Use preços numéricos",IF(OR(AND(ISNUMBER(B138),B138&lt;=0),AND(ISNUMBER(C138),C138&lt;=0),AND(ISNUMBER(D138),D138&lt;=0),AND(ISNUMBER(E138),E138&lt;=0)),"Use preços positivos","")))))))</f>
        <v/>
      </c>
    </row>
    <row r="139" spans="1:11" ht="22.95" customHeight="1">
      <c r="A139" s="28"/>
      <c r="B139" s="29"/>
      <c r="C139" s="29"/>
      <c r="D139" s="29"/>
      <c r="E139" s="30"/>
      <c r="F139" s="22" t="str">
        <f>IF(OR($A139="",B139="",B139&lt;=0,Séries!Q138=""),"",B139/Séries!Q138-1)</f>
        <v/>
      </c>
      <c r="G139" s="22" t="str">
        <f>IF(OR($A139="",C139="",C139&lt;=0,Séries!R138=""),"",C139/Séries!R138-1)</f>
        <v/>
      </c>
      <c r="H139" s="22" t="str">
        <f>IF(OR($A139="",D139="",D139&lt;=0,Séries!S138=""),"",D139/Séries!S138-1)</f>
        <v/>
      </c>
      <c r="I139" s="22" t="str">
        <f>IF(OR($A139="",E139="",E139&lt;=0,Séries!T138=""),"",E139/Séries!T138-1)</f>
        <v/>
      </c>
      <c r="J139" s="27"/>
      <c r="K139" s="1" t="str">
        <f>IF(COUNTA(A139:E139)=0,"",IF(A139="","Preencha a data",IF(NOT(ISNUMBER(A139)),"Data inválida",IF(OR(A139&lt;36526,A139&gt;73050,A139&lt;&gt;INT(A139)),"Data inválida",IF(A139&lt;=Séries!U138,"Data repetida / fora de ordem",IF(COUNTA(B139:E139)&lt;&gt;COUNT(B139:E139),"Use preços numéricos",IF(OR(AND(ISNUMBER(B139),B139&lt;=0),AND(ISNUMBER(C139),C139&lt;=0),AND(ISNUMBER(D139),D139&lt;=0),AND(ISNUMBER(E139),E139&lt;=0)),"Use preços positivos","")))))))</f>
        <v/>
      </c>
    </row>
    <row r="140" spans="1:11" ht="22.95" customHeight="1">
      <c r="A140" s="28"/>
      <c r="B140" s="29"/>
      <c r="C140" s="29"/>
      <c r="D140" s="29"/>
      <c r="E140" s="30"/>
      <c r="F140" s="22" t="str">
        <f>IF(OR($A140="",B140="",B140&lt;=0,Séries!Q139=""),"",B140/Séries!Q139-1)</f>
        <v/>
      </c>
      <c r="G140" s="22" t="str">
        <f>IF(OR($A140="",C140="",C140&lt;=0,Séries!R139=""),"",C140/Séries!R139-1)</f>
        <v/>
      </c>
      <c r="H140" s="22" t="str">
        <f>IF(OR($A140="",D140="",D140&lt;=0,Séries!S139=""),"",D140/Séries!S139-1)</f>
        <v/>
      </c>
      <c r="I140" s="22" t="str">
        <f>IF(OR($A140="",E140="",E140&lt;=0,Séries!T139=""),"",E140/Séries!T139-1)</f>
        <v/>
      </c>
      <c r="J140" s="27"/>
      <c r="K140" s="1" t="str">
        <f>IF(COUNTA(A140:E140)=0,"",IF(A140="","Preencha a data",IF(NOT(ISNUMBER(A140)),"Data inválida",IF(OR(A140&lt;36526,A140&gt;73050,A140&lt;&gt;INT(A140)),"Data inválida",IF(A140&lt;=Séries!U139,"Data repetida / fora de ordem",IF(COUNTA(B140:E140)&lt;&gt;COUNT(B140:E140),"Use preços numéricos",IF(OR(AND(ISNUMBER(B140),B140&lt;=0),AND(ISNUMBER(C140),C140&lt;=0),AND(ISNUMBER(D140),D140&lt;=0),AND(ISNUMBER(E140),E140&lt;=0)),"Use preços positivos","")))))))</f>
        <v/>
      </c>
    </row>
    <row r="141" spans="1:11" ht="22.95" customHeight="1">
      <c r="A141" s="28"/>
      <c r="B141" s="29"/>
      <c r="C141" s="29"/>
      <c r="D141" s="29"/>
      <c r="E141" s="30"/>
      <c r="F141" s="22" t="str">
        <f>IF(OR($A141="",B141="",B141&lt;=0,Séries!Q140=""),"",B141/Séries!Q140-1)</f>
        <v/>
      </c>
      <c r="G141" s="22" t="str">
        <f>IF(OR($A141="",C141="",C141&lt;=0,Séries!R140=""),"",C141/Séries!R140-1)</f>
        <v/>
      </c>
      <c r="H141" s="22" t="str">
        <f>IF(OR($A141="",D141="",D141&lt;=0,Séries!S140=""),"",D141/Séries!S140-1)</f>
        <v/>
      </c>
      <c r="I141" s="22" t="str">
        <f>IF(OR($A141="",E141="",E141&lt;=0,Séries!T140=""),"",E141/Séries!T140-1)</f>
        <v/>
      </c>
      <c r="J141" s="27"/>
      <c r="K141" s="1" t="str">
        <f>IF(COUNTA(A141:E141)=0,"",IF(A141="","Preencha a data",IF(NOT(ISNUMBER(A141)),"Data inválida",IF(OR(A141&lt;36526,A141&gt;73050,A141&lt;&gt;INT(A141)),"Data inválida",IF(A141&lt;=Séries!U140,"Data repetida / fora de ordem",IF(COUNTA(B141:E141)&lt;&gt;COUNT(B141:E141),"Use preços numéricos",IF(OR(AND(ISNUMBER(B141),B141&lt;=0),AND(ISNUMBER(C141),C141&lt;=0),AND(ISNUMBER(D141),D141&lt;=0),AND(ISNUMBER(E141),E141&lt;=0)),"Use preços positivos","")))))))</f>
        <v/>
      </c>
    </row>
    <row r="142" spans="1:11" ht="22.95" customHeight="1">
      <c r="A142" s="28"/>
      <c r="B142" s="29"/>
      <c r="C142" s="29"/>
      <c r="D142" s="29"/>
      <c r="E142" s="30"/>
      <c r="F142" s="22" t="str">
        <f>IF(OR($A142="",B142="",B142&lt;=0,Séries!Q141=""),"",B142/Séries!Q141-1)</f>
        <v/>
      </c>
      <c r="G142" s="22" t="str">
        <f>IF(OR($A142="",C142="",C142&lt;=0,Séries!R141=""),"",C142/Séries!R141-1)</f>
        <v/>
      </c>
      <c r="H142" s="22" t="str">
        <f>IF(OR($A142="",D142="",D142&lt;=0,Séries!S141=""),"",D142/Séries!S141-1)</f>
        <v/>
      </c>
      <c r="I142" s="22" t="str">
        <f>IF(OR($A142="",E142="",E142&lt;=0,Séries!T141=""),"",E142/Séries!T141-1)</f>
        <v/>
      </c>
      <c r="J142" s="27"/>
      <c r="K142" s="1" t="str">
        <f>IF(COUNTA(A142:E142)=0,"",IF(A142="","Preencha a data",IF(NOT(ISNUMBER(A142)),"Data inválida",IF(OR(A142&lt;36526,A142&gt;73050,A142&lt;&gt;INT(A142)),"Data inválida",IF(A142&lt;=Séries!U141,"Data repetida / fora de ordem",IF(COUNTA(B142:E142)&lt;&gt;COUNT(B142:E142),"Use preços numéricos",IF(OR(AND(ISNUMBER(B142),B142&lt;=0),AND(ISNUMBER(C142),C142&lt;=0),AND(ISNUMBER(D142),D142&lt;=0),AND(ISNUMBER(E142),E142&lt;=0)),"Use preços positivos","")))))))</f>
        <v/>
      </c>
    </row>
    <row r="143" spans="1:11" ht="22.95" customHeight="1">
      <c r="A143" s="28"/>
      <c r="B143" s="29"/>
      <c r="C143" s="29"/>
      <c r="D143" s="29"/>
      <c r="E143" s="30"/>
      <c r="F143" s="22" t="str">
        <f>IF(OR($A143="",B143="",B143&lt;=0,Séries!Q142=""),"",B143/Séries!Q142-1)</f>
        <v/>
      </c>
      <c r="G143" s="22" t="str">
        <f>IF(OR($A143="",C143="",C143&lt;=0,Séries!R142=""),"",C143/Séries!R142-1)</f>
        <v/>
      </c>
      <c r="H143" s="22" t="str">
        <f>IF(OR($A143="",D143="",D143&lt;=0,Séries!S142=""),"",D143/Séries!S142-1)</f>
        <v/>
      </c>
      <c r="I143" s="22" t="str">
        <f>IF(OR($A143="",E143="",E143&lt;=0,Séries!T142=""),"",E143/Séries!T142-1)</f>
        <v/>
      </c>
      <c r="J143" s="27"/>
      <c r="K143" s="1" t="str">
        <f>IF(COUNTA(A143:E143)=0,"",IF(A143="","Preencha a data",IF(NOT(ISNUMBER(A143)),"Data inválida",IF(OR(A143&lt;36526,A143&gt;73050,A143&lt;&gt;INT(A143)),"Data inválida",IF(A143&lt;=Séries!U142,"Data repetida / fora de ordem",IF(COUNTA(B143:E143)&lt;&gt;COUNT(B143:E143),"Use preços numéricos",IF(OR(AND(ISNUMBER(B143),B143&lt;=0),AND(ISNUMBER(C143),C143&lt;=0),AND(ISNUMBER(D143),D143&lt;=0),AND(ISNUMBER(E143),E143&lt;=0)),"Use preços positivos","")))))))</f>
        <v/>
      </c>
    </row>
    <row r="144" spans="1:11" ht="22.95" customHeight="1">
      <c r="A144" s="28"/>
      <c r="B144" s="29"/>
      <c r="C144" s="29"/>
      <c r="D144" s="29"/>
      <c r="E144" s="30"/>
      <c r="F144" s="22" t="str">
        <f>IF(OR($A144="",B144="",B144&lt;=0,Séries!Q143=""),"",B144/Séries!Q143-1)</f>
        <v/>
      </c>
      <c r="G144" s="22" t="str">
        <f>IF(OR($A144="",C144="",C144&lt;=0,Séries!R143=""),"",C144/Séries!R143-1)</f>
        <v/>
      </c>
      <c r="H144" s="22" t="str">
        <f>IF(OR($A144="",D144="",D144&lt;=0,Séries!S143=""),"",D144/Séries!S143-1)</f>
        <v/>
      </c>
      <c r="I144" s="22" t="str">
        <f>IF(OR($A144="",E144="",E144&lt;=0,Séries!T143=""),"",E144/Séries!T143-1)</f>
        <v/>
      </c>
      <c r="J144" s="27"/>
      <c r="K144" s="1" t="str">
        <f>IF(COUNTA(A144:E144)=0,"",IF(A144="","Preencha a data",IF(NOT(ISNUMBER(A144)),"Data inválida",IF(OR(A144&lt;36526,A144&gt;73050,A144&lt;&gt;INT(A144)),"Data inválida",IF(A144&lt;=Séries!U143,"Data repetida / fora de ordem",IF(COUNTA(B144:E144)&lt;&gt;COUNT(B144:E144),"Use preços numéricos",IF(OR(AND(ISNUMBER(B144),B144&lt;=0),AND(ISNUMBER(C144),C144&lt;=0),AND(ISNUMBER(D144),D144&lt;=0),AND(ISNUMBER(E144),E144&lt;=0)),"Use preços positivos","")))))))</f>
        <v/>
      </c>
    </row>
    <row r="145" spans="1:11" ht="22.95" customHeight="1">
      <c r="A145" s="28"/>
      <c r="B145" s="29"/>
      <c r="C145" s="29"/>
      <c r="D145" s="29"/>
      <c r="E145" s="30"/>
      <c r="F145" s="22" t="str">
        <f>IF(OR($A145="",B145="",B145&lt;=0,Séries!Q144=""),"",B145/Séries!Q144-1)</f>
        <v/>
      </c>
      <c r="G145" s="22" t="str">
        <f>IF(OR($A145="",C145="",C145&lt;=0,Séries!R144=""),"",C145/Séries!R144-1)</f>
        <v/>
      </c>
      <c r="H145" s="22" t="str">
        <f>IF(OR($A145="",D145="",D145&lt;=0,Séries!S144=""),"",D145/Séries!S144-1)</f>
        <v/>
      </c>
      <c r="I145" s="22" t="str">
        <f>IF(OR($A145="",E145="",E145&lt;=0,Séries!T144=""),"",E145/Séries!T144-1)</f>
        <v/>
      </c>
      <c r="J145" s="27"/>
      <c r="K145" s="1" t="str">
        <f>IF(COUNTA(A145:E145)=0,"",IF(A145="","Preencha a data",IF(NOT(ISNUMBER(A145)),"Data inválida",IF(OR(A145&lt;36526,A145&gt;73050,A145&lt;&gt;INT(A145)),"Data inválida",IF(A145&lt;=Séries!U144,"Data repetida / fora de ordem",IF(COUNTA(B145:E145)&lt;&gt;COUNT(B145:E145),"Use preços numéricos",IF(OR(AND(ISNUMBER(B145),B145&lt;=0),AND(ISNUMBER(C145),C145&lt;=0),AND(ISNUMBER(D145),D145&lt;=0),AND(ISNUMBER(E145),E145&lt;=0)),"Use preços positivos","")))))))</f>
        <v/>
      </c>
    </row>
    <row r="146" spans="1:11" ht="22.95" customHeight="1">
      <c r="A146" s="28"/>
      <c r="B146" s="29"/>
      <c r="C146" s="29"/>
      <c r="D146" s="29"/>
      <c r="E146" s="30"/>
      <c r="F146" s="22" t="str">
        <f>IF(OR($A146="",B146="",B146&lt;=0,Séries!Q145=""),"",B146/Séries!Q145-1)</f>
        <v/>
      </c>
      <c r="G146" s="22" t="str">
        <f>IF(OR($A146="",C146="",C146&lt;=0,Séries!R145=""),"",C146/Séries!R145-1)</f>
        <v/>
      </c>
      <c r="H146" s="22" t="str">
        <f>IF(OR($A146="",D146="",D146&lt;=0,Séries!S145=""),"",D146/Séries!S145-1)</f>
        <v/>
      </c>
      <c r="I146" s="22" t="str">
        <f>IF(OR($A146="",E146="",E146&lt;=0,Séries!T145=""),"",E146/Séries!T145-1)</f>
        <v/>
      </c>
      <c r="J146" s="27"/>
      <c r="K146" s="1" t="str">
        <f>IF(COUNTA(A146:E146)=0,"",IF(A146="","Preencha a data",IF(NOT(ISNUMBER(A146)),"Data inválida",IF(OR(A146&lt;36526,A146&gt;73050,A146&lt;&gt;INT(A146)),"Data inválida",IF(A146&lt;=Séries!U145,"Data repetida / fora de ordem",IF(COUNTA(B146:E146)&lt;&gt;COUNT(B146:E146),"Use preços numéricos",IF(OR(AND(ISNUMBER(B146),B146&lt;=0),AND(ISNUMBER(C146),C146&lt;=0),AND(ISNUMBER(D146),D146&lt;=0),AND(ISNUMBER(E146),E146&lt;=0)),"Use preços positivos","")))))))</f>
        <v/>
      </c>
    </row>
    <row r="147" spans="1:11" ht="22.95" customHeight="1">
      <c r="A147" s="28"/>
      <c r="B147" s="29"/>
      <c r="C147" s="29"/>
      <c r="D147" s="29"/>
      <c r="E147" s="30"/>
      <c r="F147" s="22" t="str">
        <f>IF(OR($A147="",B147="",B147&lt;=0,Séries!Q146=""),"",B147/Séries!Q146-1)</f>
        <v/>
      </c>
      <c r="G147" s="22" t="str">
        <f>IF(OR($A147="",C147="",C147&lt;=0,Séries!R146=""),"",C147/Séries!R146-1)</f>
        <v/>
      </c>
      <c r="H147" s="22" t="str">
        <f>IF(OR($A147="",D147="",D147&lt;=0,Séries!S146=""),"",D147/Séries!S146-1)</f>
        <v/>
      </c>
      <c r="I147" s="22" t="str">
        <f>IF(OR($A147="",E147="",E147&lt;=0,Séries!T146=""),"",E147/Séries!T146-1)</f>
        <v/>
      </c>
      <c r="J147" s="27"/>
      <c r="K147" s="1" t="str">
        <f>IF(COUNTA(A147:E147)=0,"",IF(A147="","Preencha a data",IF(NOT(ISNUMBER(A147)),"Data inválida",IF(OR(A147&lt;36526,A147&gt;73050,A147&lt;&gt;INT(A147)),"Data inválida",IF(A147&lt;=Séries!U146,"Data repetida / fora de ordem",IF(COUNTA(B147:E147)&lt;&gt;COUNT(B147:E147),"Use preços numéricos",IF(OR(AND(ISNUMBER(B147),B147&lt;=0),AND(ISNUMBER(C147),C147&lt;=0),AND(ISNUMBER(D147),D147&lt;=0),AND(ISNUMBER(E147),E147&lt;=0)),"Use preços positivos","")))))))</f>
        <v/>
      </c>
    </row>
    <row r="148" spans="1:11" ht="22.95" customHeight="1">
      <c r="A148" s="28"/>
      <c r="B148" s="29"/>
      <c r="C148" s="29"/>
      <c r="D148" s="29"/>
      <c r="E148" s="30"/>
      <c r="F148" s="22" t="str">
        <f>IF(OR($A148="",B148="",B148&lt;=0,Séries!Q147=""),"",B148/Séries!Q147-1)</f>
        <v/>
      </c>
      <c r="G148" s="22" t="str">
        <f>IF(OR($A148="",C148="",C148&lt;=0,Séries!R147=""),"",C148/Séries!R147-1)</f>
        <v/>
      </c>
      <c r="H148" s="22" t="str">
        <f>IF(OR($A148="",D148="",D148&lt;=0,Séries!S147=""),"",D148/Séries!S147-1)</f>
        <v/>
      </c>
      <c r="I148" s="22" t="str">
        <f>IF(OR($A148="",E148="",E148&lt;=0,Séries!T147=""),"",E148/Séries!T147-1)</f>
        <v/>
      </c>
      <c r="J148" s="27"/>
      <c r="K148" s="1" t="str">
        <f>IF(COUNTA(A148:E148)=0,"",IF(A148="","Preencha a data",IF(NOT(ISNUMBER(A148)),"Data inválida",IF(OR(A148&lt;36526,A148&gt;73050,A148&lt;&gt;INT(A148)),"Data inválida",IF(A148&lt;=Séries!U147,"Data repetida / fora de ordem",IF(COUNTA(B148:E148)&lt;&gt;COUNT(B148:E148),"Use preços numéricos",IF(OR(AND(ISNUMBER(B148),B148&lt;=0),AND(ISNUMBER(C148),C148&lt;=0),AND(ISNUMBER(D148),D148&lt;=0),AND(ISNUMBER(E148),E148&lt;=0)),"Use preços positivos","")))))))</f>
        <v/>
      </c>
    </row>
    <row r="149" spans="1:11" ht="22.95" customHeight="1">
      <c r="A149" s="28"/>
      <c r="B149" s="29"/>
      <c r="C149" s="29"/>
      <c r="D149" s="29"/>
      <c r="E149" s="30"/>
      <c r="F149" s="22" t="str">
        <f>IF(OR($A149="",B149="",B149&lt;=0,Séries!Q148=""),"",B149/Séries!Q148-1)</f>
        <v/>
      </c>
      <c r="G149" s="22" t="str">
        <f>IF(OR($A149="",C149="",C149&lt;=0,Séries!R148=""),"",C149/Séries!R148-1)</f>
        <v/>
      </c>
      <c r="H149" s="22" t="str">
        <f>IF(OR($A149="",D149="",D149&lt;=0,Séries!S148=""),"",D149/Séries!S148-1)</f>
        <v/>
      </c>
      <c r="I149" s="22" t="str">
        <f>IF(OR($A149="",E149="",E149&lt;=0,Séries!T148=""),"",E149/Séries!T148-1)</f>
        <v/>
      </c>
      <c r="J149" s="27"/>
      <c r="K149" s="1" t="str">
        <f>IF(COUNTA(A149:E149)=0,"",IF(A149="","Preencha a data",IF(NOT(ISNUMBER(A149)),"Data inválida",IF(OR(A149&lt;36526,A149&gt;73050,A149&lt;&gt;INT(A149)),"Data inválida",IF(A149&lt;=Séries!U148,"Data repetida / fora de ordem",IF(COUNTA(B149:E149)&lt;&gt;COUNT(B149:E149),"Use preços numéricos",IF(OR(AND(ISNUMBER(B149),B149&lt;=0),AND(ISNUMBER(C149),C149&lt;=0),AND(ISNUMBER(D149),D149&lt;=0),AND(ISNUMBER(E149),E149&lt;=0)),"Use preços positivos","")))))))</f>
        <v/>
      </c>
    </row>
    <row r="150" spans="1:11" ht="22.95" customHeight="1">
      <c r="A150" s="28"/>
      <c r="B150" s="29"/>
      <c r="C150" s="29"/>
      <c r="D150" s="29"/>
      <c r="E150" s="30"/>
      <c r="F150" s="22" t="str">
        <f>IF(OR($A150="",B150="",B150&lt;=0,Séries!Q149=""),"",B150/Séries!Q149-1)</f>
        <v/>
      </c>
      <c r="G150" s="22" t="str">
        <f>IF(OR($A150="",C150="",C150&lt;=0,Séries!R149=""),"",C150/Séries!R149-1)</f>
        <v/>
      </c>
      <c r="H150" s="22" t="str">
        <f>IF(OR($A150="",D150="",D150&lt;=0,Séries!S149=""),"",D150/Séries!S149-1)</f>
        <v/>
      </c>
      <c r="I150" s="22" t="str">
        <f>IF(OR($A150="",E150="",E150&lt;=0,Séries!T149=""),"",E150/Séries!T149-1)</f>
        <v/>
      </c>
      <c r="J150" s="27"/>
      <c r="K150" s="1" t="str">
        <f>IF(COUNTA(A150:E150)=0,"",IF(A150="","Preencha a data",IF(NOT(ISNUMBER(A150)),"Data inválida",IF(OR(A150&lt;36526,A150&gt;73050,A150&lt;&gt;INT(A150)),"Data inválida",IF(A150&lt;=Séries!U149,"Data repetida / fora de ordem",IF(COUNTA(B150:E150)&lt;&gt;COUNT(B150:E150),"Use preços numéricos",IF(OR(AND(ISNUMBER(B150),B150&lt;=0),AND(ISNUMBER(C150),C150&lt;=0),AND(ISNUMBER(D150),D150&lt;=0),AND(ISNUMBER(E150),E150&lt;=0)),"Use preços positivos","")))))))</f>
        <v/>
      </c>
    </row>
    <row r="151" spans="1:11" ht="22.95" customHeight="1">
      <c r="A151" s="28"/>
      <c r="B151" s="29"/>
      <c r="C151" s="29"/>
      <c r="D151" s="29"/>
      <c r="E151" s="30"/>
      <c r="F151" s="22" t="str">
        <f>IF(OR($A151="",B151="",B151&lt;=0,Séries!Q150=""),"",B151/Séries!Q150-1)</f>
        <v/>
      </c>
      <c r="G151" s="22" t="str">
        <f>IF(OR($A151="",C151="",C151&lt;=0,Séries!R150=""),"",C151/Séries!R150-1)</f>
        <v/>
      </c>
      <c r="H151" s="22" t="str">
        <f>IF(OR($A151="",D151="",D151&lt;=0,Séries!S150=""),"",D151/Séries!S150-1)</f>
        <v/>
      </c>
      <c r="I151" s="22" t="str">
        <f>IF(OR($A151="",E151="",E151&lt;=0,Séries!T150=""),"",E151/Séries!T150-1)</f>
        <v/>
      </c>
      <c r="J151" s="27"/>
      <c r="K151" s="1" t="str">
        <f>IF(COUNTA(A151:E151)=0,"",IF(A151="","Preencha a data",IF(NOT(ISNUMBER(A151)),"Data inválida",IF(OR(A151&lt;36526,A151&gt;73050,A151&lt;&gt;INT(A151)),"Data inválida",IF(A151&lt;=Séries!U150,"Data repetida / fora de ordem",IF(COUNTA(B151:E151)&lt;&gt;COUNT(B151:E151),"Use preços numéricos",IF(OR(AND(ISNUMBER(B151),B151&lt;=0),AND(ISNUMBER(C151),C151&lt;=0),AND(ISNUMBER(D151),D151&lt;=0),AND(ISNUMBER(E151),E151&lt;=0)),"Use preços positivos","")))))))</f>
        <v/>
      </c>
    </row>
    <row r="152" spans="1:11" ht="22.95" customHeight="1">
      <c r="A152" s="28"/>
      <c r="B152" s="29"/>
      <c r="C152" s="29"/>
      <c r="D152" s="29"/>
      <c r="E152" s="30"/>
      <c r="F152" s="22" t="str">
        <f>IF(OR($A152="",B152="",B152&lt;=0,Séries!Q151=""),"",B152/Séries!Q151-1)</f>
        <v/>
      </c>
      <c r="G152" s="22" t="str">
        <f>IF(OR($A152="",C152="",C152&lt;=0,Séries!R151=""),"",C152/Séries!R151-1)</f>
        <v/>
      </c>
      <c r="H152" s="22" t="str">
        <f>IF(OR($A152="",D152="",D152&lt;=0,Séries!S151=""),"",D152/Séries!S151-1)</f>
        <v/>
      </c>
      <c r="I152" s="22" t="str">
        <f>IF(OR($A152="",E152="",E152&lt;=0,Séries!T151=""),"",E152/Séries!T151-1)</f>
        <v/>
      </c>
      <c r="J152" s="27"/>
      <c r="K152" s="1" t="str">
        <f>IF(COUNTA(A152:E152)=0,"",IF(A152="","Preencha a data",IF(NOT(ISNUMBER(A152)),"Data inválida",IF(OR(A152&lt;36526,A152&gt;73050,A152&lt;&gt;INT(A152)),"Data inválida",IF(A152&lt;=Séries!U151,"Data repetida / fora de ordem",IF(COUNTA(B152:E152)&lt;&gt;COUNT(B152:E152),"Use preços numéricos",IF(OR(AND(ISNUMBER(B152),B152&lt;=0),AND(ISNUMBER(C152),C152&lt;=0),AND(ISNUMBER(D152),D152&lt;=0),AND(ISNUMBER(E152),E152&lt;=0)),"Use preços positivos","")))))))</f>
        <v/>
      </c>
    </row>
    <row r="153" spans="1:11" ht="22.95" customHeight="1">
      <c r="A153" s="28"/>
      <c r="B153" s="29"/>
      <c r="C153" s="29"/>
      <c r="D153" s="29"/>
      <c r="E153" s="30"/>
      <c r="F153" s="22" t="str">
        <f>IF(OR($A153="",B153="",B153&lt;=0,Séries!Q152=""),"",B153/Séries!Q152-1)</f>
        <v/>
      </c>
      <c r="G153" s="22" t="str">
        <f>IF(OR($A153="",C153="",C153&lt;=0,Séries!R152=""),"",C153/Séries!R152-1)</f>
        <v/>
      </c>
      <c r="H153" s="22" t="str">
        <f>IF(OR($A153="",D153="",D153&lt;=0,Séries!S152=""),"",D153/Séries!S152-1)</f>
        <v/>
      </c>
      <c r="I153" s="22" t="str">
        <f>IF(OR($A153="",E153="",E153&lt;=0,Séries!T152=""),"",E153/Séries!T152-1)</f>
        <v/>
      </c>
      <c r="J153" s="27"/>
      <c r="K153" s="1" t="str">
        <f>IF(COUNTA(A153:E153)=0,"",IF(A153="","Preencha a data",IF(NOT(ISNUMBER(A153)),"Data inválida",IF(OR(A153&lt;36526,A153&gt;73050,A153&lt;&gt;INT(A153)),"Data inválida",IF(A153&lt;=Séries!U152,"Data repetida / fora de ordem",IF(COUNTA(B153:E153)&lt;&gt;COUNT(B153:E153),"Use preços numéricos",IF(OR(AND(ISNUMBER(B153),B153&lt;=0),AND(ISNUMBER(C153),C153&lt;=0),AND(ISNUMBER(D153),D153&lt;=0),AND(ISNUMBER(E153),E153&lt;=0)),"Use preços positivos","")))))))</f>
        <v/>
      </c>
    </row>
    <row r="154" spans="1:11" ht="22.95" customHeight="1">
      <c r="A154" s="28"/>
      <c r="B154" s="29"/>
      <c r="C154" s="29"/>
      <c r="D154" s="29"/>
      <c r="E154" s="30"/>
      <c r="F154" s="22" t="str">
        <f>IF(OR($A154="",B154="",B154&lt;=0,Séries!Q153=""),"",B154/Séries!Q153-1)</f>
        <v/>
      </c>
      <c r="G154" s="22" t="str">
        <f>IF(OR($A154="",C154="",C154&lt;=0,Séries!R153=""),"",C154/Séries!R153-1)</f>
        <v/>
      </c>
      <c r="H154" s="22" t="str">
        <f>IF(OR($A154="",D154="",D154&lt;=0,Séries!S153=""),"",D154/Séries!S153-1)</f>
        <v/>
      </c>
      <c r="I154" s="22" t="str">
        <f>IF(OR($A154="",E154="",E154&lt;=0,Séries!T153=""),"",E154/Séries!T153-1)</f>
        <v/>
      </c>
      <c r="J154" s="27"/>
      <c r="K154" s="1" t="str">
        <f>IF(COUNTA(A154:E154)=0,"",IF(A154="","Preencha a data",IF(NOT(ISNUMBER(A154)),"Data inválida",IF(OR(A154&lt;36526,A154&gt;73050,A154&lt;&gt;INT(A154)),"Data inválida",IF(A154&lt;=Séries!U153,"Data repetida / fora de ordem",IF(COUNTA(B154:E154)&lt;&gt;COUNT(B154:E154),"Use preços numéricos",IF(OR(AND(ISNUMBER(B154),B154&lt;=0),AND(ISNUMBER(C154),C154&lt;=0),AND(ISNUMBER(D154),D154&lt;=0),AND(ISNUMBER(E154),E154&lt;=0)),"Use preços positivos","")))))))</f>
        <v/>
      </c>
    </row>
    <row r="155" spans="1:11" ht="22.95" customHeight="1">
      <c r="A155" s="28"/>
      <c r="B155" s="29"/>
      <c r="C155" s="29"/>
      <c r="D155" s="29"/>
      <c r="E155" s="30"/>
      <c r="F155" s="22" t="str">
        <f>IF(OR($A155="",B155="",B155&lt;=0,Séries!Q154=""),"",B155/Séries!Q154-1)</f>
        <v/>
      </c>
      <c r="G155" s="22" t="str">
        <f>IF(OR($A155="",C155="",C155&lt;=0,Séries!R154=""),"",C155/Séries!R154-1)</f>
        <v/>
      </c>
      <c r="H155" s="22" t="str">
        <f>IF(OR($A155="",D155="",D155&lt;=0,Séries!S154=""),"",D155/Séries!S154-1)</f>
        <v/>
      </c>
      <c r="I155" s="22" t="str">
        <f>IF(OR($A155="",E155="",E155&lt;=0,Séries!T154=""),"",E155/Séries!T154-1)</f>
        <v/>
      </c>
      <c r="J155" s="27"/>
      <c r="K155" s="1" t="str">
        <f>IF(COUNTA(A155:E155)=0,"",IF(A155="","Preencha a data",IF(NOT(ISNUMBER(A155)),"Data inválida",IF(OR(A155&lt;36526,A155&gt;73050,A155&lt;&gt;INT(A155)),"Data inválida",IF(A155&lt;=Séries!U154,"Data repetida / fora de ordem",IF(COUNTA(B155:E155)&lt;&gt;COUNT(B155:E155),"Use preços numéricos",IF(OR(AND(ISNUMBER(B155),B155&lt;=0),AND(ISNUMBER(C155),C155&lt;=0),AND(ISNUMBER(D155),D155&lt;=0),AND(ISNUMBER(E155),E155&lt;=0)),"Use preços positivos","")))))))</f>
        <v/>
      </c>
    </row>
    <row r="156" spans="1:11" ht="22.95" customHeight="1">
      <c r="A156" s="28"/>
      <c r="B156" s="29"/>
      <c r="C156" s="29"/>
      <c r="D156" s="29"/>
      <c r="E156" s="30"/>
      <c r="F156" s="22" t="str">
        <f>IF(OR($A156="",B156="",B156&lt;=0,Séries!Q155=""),"",B156/Séries!Q155-1)</f>
        <v/>
      </c>
      <c r="G156" s="22" t="str">
        <f>IF(OR($A156="",C156="",C156&lt;=0,Séries!R155=""),"",C156/Séries!R155-1)</f>
        <v/>
      </c>
      <c r="H156" s="22" t="str">
        <f>IF(OR($A156="",D156="",D156&lt;=0,Séries!S155=""),"",D156/Séries!S155-1)</f>
        <v/>
      </c>
      <c r="I156" s="22" t="str">
        <f>IF(OR($A156="",E156="",E156&lt;=0,Séries!T155=""),"",E156/Séries!T155-1)</f>
        <v/>
      </c>
      <c r="J156" s="27"/>
      <c r="K156" s="1" t="str">
        <f>IF(COUNTA(A156:E156)=0,"",IF(A156="","Preencha a data",IF(NOT(ISNUMBER(A156)),"Data inválida",IF(OR(A156&lt;36526,A156&gt;73050,A156&lt;&gt;INT(A156)),"Data inválida",IF(A156&lt;=Séries!U155,"Data repetida / fora de ordem",IF(COUNTA(B156:E156)&lt;&gt;COUNT(B156:E156),"Use preços numéricos",IF(OR(AND(ISNUMBER(B156),B156&lt;=0),AND(ISNUMBER(C156),C156&lt;=0),AND(ISNUMBER(D156),D156&lt;=0),AND(ISNUMBER(E156),E156&lt;=0)),"Use preços positivos","")))))))</f>
        <v/>
      </c>
    </row>
    <row r="157" spans="1:11" ht="22.95" customHeight="1">
      <c r="A157" s="28"/>
      <c r="B157" s="29"/>
      <c r="C157" s="29"/>
      <c r="D157" s="29"/>
      <c r="E157" s="30"/>
      <c r="F157" s="22" t="str">
        <f>IF(OR($A157="",B157="",B157&lt;=0,Séries!Q156=""),"",B157/Séries!Q156-1)</f>
        <v/>
      </c>
      <c r="G157" s="22" t="str">
        <f>IF(OR($A157="",C157="",C157&lt;=0,Séries!R156=""),"",C157/Séries!R156-1)</f>
        <v/>
      </c>
      <c r="H157" s="22" t="str">
        <f>IF(OR($A157="",D157="",D157&lt;=0,Séries!S156=""),"",D157/Séries!S156-1)</f>
        <v/>
      </c>
      <c r="I157" s="22" t="str">
        <f>IF(OR($A157="",E157="",E157&lt;=0,Séries!T156=""),"",E157/Séries!T156-1)</f>
        <v/>
      </c>
      <c r="J157" s="27"/>
      <c r="K157" s="1" t="str">
        <f>IF(COUNTA(A157:E157)=0,"",IF(A157="","Preencha a data",IF(NOT(ISNUMBER(A157)),"Data inválida",IF(OR(A157&lt;36526,A157&gt;73050,A157&lt;&gt;INT(A157)),"Data inválida",IF(A157&lt;=Séries!U156,"Data repetida / fora de ordem",IF(COUNTA(B157:E157)&lt;&gt;COUNT(B157:E157),"Use preços numéricos",IF(OR(AND(ISNUMBER(B157),B157&lt;=0),AND(ISNUMBER(C157),C157&lt;=0),AND(ISNUMBER(D157),D157&lt;=0),AND(ISNUMBER(E157),E157&lt;=0)),"Use preços positivos","")))))))</f>
        <v/>
      </c>
    </row>
    <row r="158" spans="1:11" ht="22.95" customHeight="1">
      <c r="A158" s="28"/>
      <c r="B158" s="29"/>
      <c r="C158" s="29"/>
      <c r="D158" s="29"/>
      <c r="E158" s="30"/>
      <c r="F158" s="22" t="str">
        <f>IF(OR($A158="",B158="",B158&lt;=0,Séries!Q157=""),"",B158/Séries!Q157-1)</f>
        <v/>
      </c>
      <c r="G158" s="22" t="str">
        <f>IF(OR($A158="",C158="",C158&lt;=0,Séries!R157=""),"",C158/Séries!R157-1)</f>
        <v/>
      </c>
      <c r="H158" s="22" t="str">
        <f>IF(OR($A158="",D158="",D158&lt;=0,Séries!S157=""),"",D158/Séries!S157-1)</f>
        <v/>
      </c>
      <c r="I158" s="22" t="str">
        <f>IF(OR($A158="",E158="",E158&lt;=0,Séries!T157=""),"",E158/Séries!T157-1)</f>
        <v/>
      </c>
      <c r="J158" s="27"/>
      <c r="K158" s="1" t="str">
        <f>IF(COUNTA(A158:E158)=0,"",IF(A158="","Preencha a data",IF(NOT(ISNUMBER(A158)),"Data inválida",IF(OR(A158&lt;36526,A158&gt;73050,A158&lt;&gt;INT(A158)),"Data inválida",IF(A158&lt;=Séries!U157,"Data repetida / fora de ordem",IF(COUNTA(B158:E158)&lt;&gt;COUNT(B158:E158),"Use preços numéricos",IF(OR(AND(ISNUMBER(B158),B158&lt;=0),AND(ISNUMBER(C158),C158&lt;=0),AND(ISNUMBER(D158),D158&lt;=0),AND(ISNUMBER(E158),E158&lt;=0)),"Use preços positivos","")))))))</f>
        <v/>
      </c>
    </row>
    <row r="159" spans="1:11" ht="22.95" customHeight="1">
      <c r="A159" s="28"/>
      <c r="B159" s="29"/>
      <c r="C159" s="29"/>
      <c r="D159" s="29"/>
      <c r="E159" s="30"/>
      <c r="F159" s="22" t="str">
        <f>IF(OR($A159="",B159="",B159&lt;=0,Séries!Q158=""),"",B159/Séries!Q158-1)</f>
        <v/>
      </c>
      <c r="G159" s="22" t="str">
        <f>IF(OR($A159="",C159="",C159&lt;=0,Séries!R158=""),"",C159/Séries!R158-1)</f>
        <v/>
      </c>
      <c r="H159" s="22" t="str">
        <f>IF(OR($A159="",D159="",D159&lt;=0,Séries!S158=""),"",D159/Séries!S158-1)</f>
        <v/>
      </c>
      <c r="I159" s="22" t="str">
        <f>IF(OR($A159="",E159="",E159&lt;=0,Séries!T158=""),"",E159/Séries!T158-1)</f>
        <v/>
      </c>
      <c r="J159" s="27"/>
      <c r="K159" s="1" t="str">
        <f>IF(COUNTA(A159:E159)=0,"",IF(A159="","Preencha a data",IF(NOT(ISNUMBER(A159)),"Data inválida",IF(OR(A159&lt;36526,A159&gt;73050,A159&lt;&gt;INT(A159)),"Data inválida",IF(A159&lt;=Séries!U158,"Data repetida / fora de ordem",IF(COUNTA(B159:E159)&lt;&gt;COUNT(B159:E159),"Use preços numéricos",IF(OR(AND(ISNUMBER(B159),B159&lt;=0),AND(ISNUMBER(C159),C159&lt;=0),AND(ISNUMBER(D159),D159&lt;=0),AND(ISNUMBER(E159),E159&lt;=0)),"Use preços positivos","")))))))</f>
        <v/>
      </c>
    </row>
    <row r="160" spans="1:11" ht="22.95" customHeight="1">
      <c r="A160" s="28"/>
      <c r="B160" s="29"/>
      <c r="C160" s="29"/>
      <c r="D160" s="29"/>
      <c r="E160" s="30"/>
      <c r="F160" s="22" t="str">
        <f>IF(OR($A160="",B160="",B160&lt;=0,Séries!Q159=""),"",B160/Séries!Q159-1)</f>
        <v/>
      </c>
      <c r="G160" s="22" t="str">
        <f>IF(OR($A160="",C160="",C160&lt;=0,Séries!R159=""),"",C160/Séries!R159-1)</f>
        <v/>
      </c>
      <c r="H160" s="22" t="str">
        <f>IF(OR($A160="",D160="",D160&lt;=0,Séries!S159=""),"",D160/Séries!S159-1)</f>
        <v/>
      </c>
      <c r="I160" s="22" t="str">
        <f>IF(OR($A160="",E160="",E160&lt;=0,Séries!T159=""),"",E160/Séries!T159-1)</f>
        <v/>
      </c>
      <c r="J160" s="27"/>
      <c r="K160" s="1" t="str">
        <f>IF(COUNTA(A160:E160)=0,"",IF(A160="","Preencha a data",IF(NOT(ISNUMBER(A160)),"Data inválida",IF(OR(A160&lt;36526,A160&gt;73050,A160&lt;&gt;INT(A160)),"Data inválida",IF(A160&lt;=Séries!U159,"Data repetida / fora de ordem",IF(COUNTA(B160:E160)&lt;&gt;COUNT(B160:E160),"Use preços numéricos",IF(OR(AND(ISNUMBER(B160),B160&lt;=0),AND(ISNUMBER(C160),C160&lt;=0),AND(ISNUMBER(D160),D160&lt;=0),AND(ISNUMBER(E160),E160&lt;=0)),"Use preços positivos","")))))))</f>
        <v/>
      </c>
    </row>
    <row r="161" spans="1:11" ht="22.95" customHeight="1">
      <c r="A161" s="28"/>
      <c r="B161" s="29"/>
      <c r="C161" s="29"/>
      <c r="D161" s="29"/>
      <c r="E161" s="30"/>
      <c r="F161" s="22" t="str">
        <f>IF(OR($A161="",B161="",B161&lt;=0,Séries!Q160=""),"",B161/Séries!Q160-1)</f>
        <v/>
      </c>
      <c r="G161" s="22" t="str">
        <f>IF(OR($A161="",C161="",C161&lt;=0,Séries!R160=""),"",C161/Séries!R160-1)</f>
        <v/>
      </c>
      <c r="H161" s="22" t="str">
        <f>IF(OR($A161="",D161="",D161&lt;=0,Séries!S160=""),"",D161/Séries!S160-1)</f>
        <v/>
      </c>
      <c r="I161" s="22" t="str">
        <f>IF(OR($A161="",E161="",E161&lt;=0,Séries!T160=""),"",E161/Séries!T160-1)</f>
        <v/>
      </c>
      <c r="J161" s="27"/>
      <c r="K161" s="1" t="str">
        <f>IF(COUNTA(A161:E161)=0,"",IF(A161="","Preencha a data",IF(NOT(ISNUMBER(A161)),"Data inválida",IF(OR(A161&lt;36526,A161&gt;73050,A161&lt;&gt;INT(A161)),"Data inválida",IF(A161&lt;=Séries!U160,"Data repetida / fora de ordem",IF(COUNTA(B161:E161)&lt;&gt;COUNT(B161:E161),"Use preços numéricos",IF(OR(AND(ISNUMBER(B161),B161&lt;=0),AND(ISNUMBER(C161),C161&lt;=0),AND(ISNUMBER(D161),D161&lt;=0),AND(ISNUMBER(E161),E161&lt;=0)),"Use preços positivos","")))))))</f>
        <v/>
      </c>
    </row>
    <row r="162" spans="1:11" ht="22.95" customHeight="1">
      <c r="A162" s="28"/>
      <c r="B162" s="29"/>
      <c r="C162" s="29"/>
      <c r="D162" s="29"/>
      <c r="E162" s="30"/>
      <c r="F162" s="22" t="str">
        <f>IF(OR($A162="",B162="",B162&lt;=0,Séries!Q161=""),"",B162/Séries!Q161-1)</f>
        <v/>
      </c>
      <c r="G162" s="22" t="str">
        <f>IF(OR($A162="",C162="",C162&lt;=0,Séries!R161=""),"",C162/Séries!R161-1)</f>
        <v/>
      </c>
      <c r="H162" s="22" t="str">
        <f>IF(OR($A162="",D162="",D162&lt;=0,Séries!S161=""),"",D162/Séries!S161-1)</f>
        <v/>
      </c>
      <c r="I162" s="22" t="str">
        <f>IF(OR($A162="",E162="",E162&lt;=0,Séries!T161=""),"",E162/Séries!T161-1)</f>
        <v/>
      </c>
      <c r="J162" s="27"/>
      <c r="K162" s="1" t="str">
        <f>IF(COUNTA(A162:E162)=0,"",IF(A162="","Preencha a data",IF(NOT(ISNUMBER(A162)),"Data inválida",IF(OR(A162&lt;36526,A162&gt;73050,A162&lt;&gt;INT(A162)),"Data inválida",IF(A162&lt;=Séries!U161,"Data repetida / fora de ordem",IF(COUNTA(B162:E162)&lt;&gt;COUNT(B162:E162),"Use preços numéricos",IF(OR(AND(ISNUMBER(B162),B162&lt;=0),AND(ISNUMBER(C162),C162&lt;=0),AND(ISNUMBER(D162),D162&lt;=0),AND(ISNUMBER(E162),E162&lt;=0)),"Use preços positivos","")))))))</f>
        <v/>
      </c>
    </row>
    <row r="163" spans="1:11" ht="22.95" customHeight="1">
      <c r="A163" s="28"/>
      <c r="B163" s="29"/>
      <c r="C163" s="29"/>
      <c r="D163" s="29"/>
      <c r="E163" s="30"/>
      <c r="F163" s="22" t="str">
        <f>IF(OR($A163="",B163="",B163&lt;=0,Séries!Q162=""),"",B163/Séries!Q162-1)</f>
        <v/>
      </c>
      <c r="G163" s="22" t="str">
        <f>IF(OR($A163="",C163="",C163&lt;=0,Séries!R162=""),"",C163/Séries!R162-1)</f>
        <v/>
      </c>
      <c r="H163" s="22" t="str">
        <f>IF(OR($A163="",D163="",D163&lt;=0,Séries!S162=""),"",D163/Séries!S162-1)</f>
        <v/>
      </c>
      <c r="I163" s="22" t="str">
        <f>IF(OR($A163="",E163="",E163&lt;=0,Séries!T162=""),"",E163/Séries!T162-1)</f>
        <v/>
      </c>
      <c r="J163" s="27"/>
      <c r="K163" s="1" t="str">
        <f>IF(COUNTA(A163:E163)=0,"",IF(A163="","Preencha a data",IF(NOT(ISNUMBER(A163)),"Data inválida",IF(OR(A163&lt;36526,A163&gt;73050,A163&lt;&gt;INT(A163)),"Data inválida",IF(A163&lt;=Séries!U162,"Data repetida / fora de ordem",IF(COUNTA(B163:E163)&lt;&gt;COUNT(B163:E163),"Use preços numéricos",IF(OR(AND(ISNUMBER(B163),B163&lt;=0),AND(ISNUMBER(C163),C163&lt;=0),AND(ISNUMBER(D163),D163&lt;=0),AND(ISNUMBER(E163),E163&lt;=0)),"Use preços positivos","")))))))</f>
        <v/>
      </c>
    </row>
    <row r="164" spans="1:11" ht="22.95" customHeight="1">
      <c r="A164" s="28"/>
      <c r="B164" s="29"/>
      <c r="C164" s="29"/>
      <c r="D164" s="29"/>
      <c r="E164" s="30"/>
      <c r="F164" s="22" t="str">
        <f>IF(OR($A164="",B164="",B164&lt;=0,Séries!Q163=""),"",B164/Séries!Q163-1)</f>
        <v/>
      </c>
      <c r="G164" s="22" t="str">
        <f>IF(OR($A164="",C164="",C164&lt;=0,Séries!R163=""),"",C164/Séries!R163-1)</f>
        <v/>
      </c>
      <c r="H164" s="22" t="str">
        <f>IF(OR($A164="",D164="",D164&lt;=0,Séries!S163=""),"",D164/Séries!S163-1)</f>
        <v/>
      </c>
      <c r="I164" s="22" t="str">
        <f>IF(OR($A164="",E164="",E164&lt;=0,Séries!T163=""),"",E164/Séries!T163-1)</f>
        <v/>
      </c>
      <c r="J164" s="27"/>
      <c r="K164" s="1" t="str">
        <f>IF(COUNTA(A164:E164)=0,"",IF(A164="","Preencha a data",IF(NOT(ISNUMBER(A164)),"Data inválida",IF(OR(A164&lt;36526,A164&gt;73050,A164&lt;&gt;INT(A164)),"Data inválida",IF(A164&lt;=Séries!U163,"Data repetida / fora de ordem",IF(COUNTA(B164:E164)&lt;&gt;COUNT(B164:E164),"Use preços numéricos",IF(OR(AND(ISNUMBER(B164),B164&lt;=0),AND(ISNUMBER(C164),C164&lt;=0),AND(ISNUMBER(D164),D164&lt;=0),AND(ISNUMBER(E164),E164&lt;=0)),"Use preços positivos","")))))))</f>
        <v/>
      </c>
    </row>
    <row r="165" spans="1:11" ht="22.95" customHeight="1">
      <c r="A165" s="28"/>
      <c r="B165" s="29"/>
      <c r="C165" s="29"/>
      <c r="D165" s="29"/>
      <c r="E165" s="30"/>
      <c r="F165" s="22" t="str">
        <f>IF(OR($A165="",B165="",B165&lt;=0,Séries!Q164=""),"",B165/Séries!Q164-1)</f>
        <v/>
      </c>
      <c r="G165" s="22" t="str">
        <f>IF(OR($A165="",C165="",C165&lt;=0,Séries!R164=""),"",C165/Séries!R164-1)</f>
        <v/>
      </c>
      <c r="H165" s="22" t="str">
        <f>IF(OR($A165="",D165="",D165&lt;=0,Séries!S164=""),"",D165/Séries!S164-1)</f>
        <v/>
      </c>
      <c r="I165" s="22" t="str">
        <f>IF(OR($A165="",E165="",E165&lt;=0,Séries!T164=""),"",E165/Séries!T164-1)</f>
        <v/>
      </c>
      <c r="J165" s="27"/>
      <c r="K165" s="1" t="str">
        <f>IF(COUNTA(A165:E165)=0,"",IF(A165="","Preencha a data",IF(NOT(ISNUMBER(A165)),"Data inválida",IF(OR(A165&lt;36526,A165&gt;73050,A165&lt;&gt;INT(A165)),"Data inválida",IF(A165&lt;=Séries!U164,"Data repetida / fora de ordem",IF(COUNTA(B165:E165)&lt;&gt;COUNT(B165:E165),"Use preços numéricos",IF(OR(AND(ISNUMBER(B165),B165&lt;=0),AND(ISNUMBER(C165),C165&lt;=0),AND(ISNUMBER(D165),D165&lt;=0),AND(ISNUMBER(E165),E165&lt;=0)),"Use preços positivos","")))))))</f>
        <v/>
      </c>
    </row>
    <row r="166" spans="1:11" ht="22.95" customHeight="1">
      <c r="A166" s="28"/>
      <c r="B166" s="29"/>
      <c r="C166" s="29"/>
      <c r="D166" s="29"/>
      <c r="E166" s="30"/>
      <c r="F166" s="22" t="str">
        <f>IF(OR($A166="",B166="",B166&lt;=0,Séries!Q165=""),"",B166/Séries!Q165-1)</f>
        <v/>
      </c>
      <c r="G166" s="22" t="str">
        <f>IF(OR($A166="",C166="",C166&lt;=0,Séries!R165=""),"",C166/Séries!R165-1)</f>
        <v/>
      </c>
      <c r="H166" s="22" t="str">
        <f>IF(OR($A166="",D166="",D166&lt;=0,Séries!S165=""),"",D166/Séries!S165-1)</f>
        <v/>
      </c>
      <c r="I166" s="22" t="str">
        <f>IF(OR($A166="",E166="",E166&lt;=0,Séries!T165=""),"",E166/Séries!T165-1)</f>
        <v/>
      </c>
      <c r="J166" s="27"/>
      <c r="K166" s="1" t="str">
        <f>IF(COUNTA(A166:E166)=0,"",IF(A166="","Preencha a data",IF(NOT(ISNUMBER(A166)),"Data inválida",IF(OR(A166&lt;36526,A166&gt;73050,A166&lt;&gt;INT(A166)),"Data inválida",IF(A166&lt;=Séries!U165,"Data repetida / fora de ordem",IF(COUNTA(B166:E166)&lt;&gt;COUNT(B166:E166),"Use preços numéricos",IF(OR(AND(ISNUMBER(B166),B166&lt;=0),AND(ISNUMBER(C166),C166&lt;=0),AND(ISNUMBER(D166),D166&lt;=0),AND(ISNUMBER(E166),E166&lt;=0)),"Use preços positivos","")))))))</f>
        <v/>
      </c>
    </row>
    <row r="167" spans="1:11" ht="22.95" customHeight="1">
      <c r="A167" s="28"/>
      <c r="B167" s="29"/>
      <c r="C167" s="29"/>
      <c r="D167" s="29"/>
      <c r="E167" s="30"/>
      <c r="F167" s="22" t="str">
        <f>IF(OR($A167="",B167="",B167&lt;=0,Séries!Q166=""),"",B167/Séries!Q166-1)</f>
        <v/>
      </c>
      <c r="G167" s="22" t="str">
        <f>IF(OR($A167="",C167="",C167&lt;=0,Séries!R166=""),"",C167/Séries!R166-1)</f>
        <v/>
      </c>
      <c r="H167" s="22" t="str">
        <f>IF(OR($A167="",D167="",D167&lt;=0,Séries!S166=""),"",D167/Séries!S166-1)</f>
        <v/>
      </c>
      <c r="I167" s="22" t="str">
        <f>IF(OR($A167="",E167="",E167&lt;=0,Séries!T166=""),"",E167/Séries!T166-1)</f>
        <v/>
      </c>
      <c r="J167" s="27"/>
      <c r="K167" s="1" t="str">
        <f>IF(COUNTA(A167:E167)=0,"",IF(A167="","Preencha a data",IF(NOT(ISNUMBER(A167)),"Data inválida",IF(OR(A167&lt;36526,A167&gt;73050,A167&lt;&gt;INT(A167)),"Data inválida",IF(A167&lt;=Séries!U166,"Data repetida / fora de ordem",IF(COUNTA(B167:E167)&lt;&gt;COUNT(B167:E167),"Use preços numéricos",IF(OR(AND(ISNUMBER(B167),B167&lt;=0),AND(ISNUMBER(C167),C167&lt;=0),AND(ISNUMBER(D167),D167&lt;=0),AND(ISNUMBER(E167),E167&lt;=0)),"Use preços positivos","")))))))</f>
        <v/>
      </c>
    </row>
    <row r="168" spans="1:11" ht="22.95" customHeight="1">
      <c r="A168" s="28"/>
      <c r="B168" s="29"/>
      <c r="C168" s="29"/>
      <c r="D168" s="29"/>
      <c r="E168" s="30"/>
      <c r="F168" s="22" t="str">
        <f>IF(OR($A168="",B168="",B168&lt;=0,Séries!Q167=""),"",B168/Séries!Q167-1)</f>
        <v/>
      </c>
      <c r="G168" s="22" t="str">
        <f>IF(OR($A168="",C168="",C168&lt;=0,Séries!R167=""),"",C168/Séries!R167-1)</f>
        <v/>
      </c>
      <c r="H168" s="22" t="str">
        <f>IF(OR($A168="",D168="",D168&lt;=0,Séries!S167=""),"",D168/Séries!S167-1)</f>
        <v/>
      </c>
      <c r="I168" s="22" t="str">
        <f>IF(OR($A168="",E168="",E168&lt;=0,Séries!T167=""),"",E168/Séries!T167-1)</f>
        <v/>
      </c>
      <c r="J168" s="27"/>
      <c r="K168" s="1" t="str">
        <f>IF(COUNTA(A168:E168)=0,"",IF(A168="","Preencha a data",IF(NOT(ISNUMBER(A168)),"Data inválida",IF(OR(A168&lt;36526,A168&gt;73050,A168&lt;&gt;INT(A168)),"Data inválida",IF(A168&lt;=Séries!U167,"Data repetida / fora de ordem",IF(COUNTA(B168:E168)&lt;&gt;COUNT(B168:E168),"Use preços numéricos",IF(OR(AND(ISNUMBER(B168),B168&lt;=0),AND(ISNUMBER(C168),C168&lt;=0),AND(ISNUMBER(D168),D168&lt;=0),AND(ISNUMBER(E168),E168&lt;=0)),"Use preços positivos","")))))))</f>
        <v/>
      </c>
    </row>
    <row r="169" spans="1:11" ht="22.95" customHeight="1">
      <c r="A169" s="28"/>
      <c r="B169" s="29"/>
      <c r="C169" s="29"/>
      <c r="D169" s="29"/>
      <c r="E169" s="30"/>
      <c r="F169" s="22" t="str">
        <f>IF(OR($A169="",B169="",B169&lt;=0,Séries!Q168=""),"",B169/Séries!Q168-1)</f>
        <v/>
      </c>
      <c r="G169" s="22" t="str">
        <f>IF(OR($A169="",C169="",C169&lt;=0,Séries!R168=""),"",C169/Séries!R168-1)</f>
        <v/>
      </c>
      <c r="H169" s="22" t="str">
        <f>IF(OR($A169="",D169="",D169&lt;=0,Séries!S168=""),"",D169/Séries!S168-1)</f>
        <v/>
      </c>
      <c r="I169" s="22" t="str">
        <f>IF(OR($A169="",E169="",E169&lt;=0,Séries!T168=""),"",E169/Séries!T168-1)</f>
        <v/>
      </c>
      <c r="J169" s="27"/>
      <c r="K169" s="1" t="str">
        <f>IF(COUNTA(A169:E169)=0,"",IF(A169="","Preencha a data",IF(NOT(ISNUMBER(A169)),"Data inválida",IF(OR(A169&lt;36526,A169&gt;73050,A169&lt;&gt;INT(A169)),"Data inválida",IF(A169&lt;=Séries!U168,"Data repetida / fora de ordem",IF(COUNTA(B169:E169)&lt;&gt;COUNT(B169:E169),"Use preços numéricos",IF(OR(AND(ISNUMBER(B169),B169&lt;=0),AND(ISNUMBER(C169),C169&lt;=0),AND(ISNUMBER(D169),D169&lt;=0),AND(ISNUMBER(E169),E169&lt;=0)),"Use preços positivos","")))))))</f>
        <v/>
      </c>
    </row>
    <row r="170" spans="1:11" ht="22.95" customHeight="1">
      <c r="A170" s="28"/>
      <c r="B170" s="29"/>
      <c r="C170" s="29"/>
      <c r="D170" s="29"/>
      <c r="E170" s="30"/>
      <c r="F170" s="22" t="str">
        <f>IF(OR($A170="",B170="",B170&lt;=0,Séries!Q169=""),"",B170/Séries!Q169-1)</f>
        <v/>
      </c>
      <c r="G170" s="22" t="str">
        <f>IF(OR($A170="",C170="",C170&lt;=0,Séries!R169=""),"",C170/Séries!R169-1)</f>
        <v/>
      </c>
      <c r="H170" s="22" t="str">
        <f>IF(OR($A170="",D170="",D170&lt;=0,Séries!S169=""),"",D170/Séries!S169-1)</f>
        <v/>
      </c>
      <c r="I170" s="22" t="str">
        <f>IF(OR($A170="",E170="",E170&lt;=0,Séries!T169=""),"",E170/Séries!T169-1)</f>
        <v/>
      </c>
      <c r="J170" s="27"/>
      <c r="K170" s="1" t="str">
        <f>IF(COUNTA(A170:E170)=0,"",IF(A170="","Preencha a data",IF(NOT(ISNUMBER(A170)),"Data inválida",IF(OR(A170&lt;36526,A170&gt;73050,A170&lt;&gt;INT(A170)),"Data inválida",IF(A170&lt;=Séries!U169,"Data repetida / fora de ordem",IF(COUNTA(B170:E170)&lt;&gt;COUNT(B170:E170),"Use preços numéricos",IF(OR(AND(ISNUMBER(B170),B170&lt;=0),AND(ISNUMBER(C170),C170&lt;=0),AND(ISNUMBER(D170),D170&lt;=0),AND(ISNUMBER(E170),E170&lt;=0)),"Use preços positivos","")))))))</f>
        <v/>
      </c>
    </row>
    <row r="171" spans="1:11" ht="22.95" customHeight="1">
      <c r="A171" s="28"/>
      <c r="B171" s="29"/>
      <c r="C171" s="29"/>
      <c r="D171" s="29"/>
      <c r="E171" s="30"/>
      <c r="F171" s="22" t="str">
        <f>IF(OR($A171="",B171="",B171&lt;=0,Séries!Q170=""),"",B171/Séries!Q170-1)</f>
        <v/>
      </c>
      <c r="G171" s="22" t="str">
        <f>IF(OR($A171="",C171="",C171&lt;=0,Séries!R170=""),"",C171/Séries!R170-1)</f>
        <v/>
      </c>
      <c r="H171" s="22" t="str">
        <f>IF(OR($A171="",D171="",D171&lt;=0,Séries!S170=""),"",D171/Séries!S170-1)</f>
        <v/>
      </c>
      <c r="I171" s="22" t="str">
        <f>IF(OR($A171="",E171="",E171&lt;=0,Séries!T170=""),"",E171/Séries!T170-1)</f>
        <v/>
      </c>
      <c r="J171" s="27"/>
      <c r="K171" s="1" t="str">
        <f>IF(COUNTA(A171:E171)=0,"",IF(A171="","Preencha a data",IF(NOT(ISNUMBER(A171)),"Data inválida",IF(OR(A171&lt;36526,A171&gt;73050,A171&lt;&gt;INT(A171)),"Data inválida",IF(A171&lt;=Séries!U170,"Data repetida / fora de ordem",IF(COUNTA(B171:E171)&lt;&gt;COUNT(B171:E171),"Use preços numéricos",IF(OR(AND(ISNUMBER(B171),B171&lt;=0),AND(ISNUMBER(C171),C171&lt;=0),AND(ISNUMBER(D171),D171&lt;=0),AND(ISNUMBER(E171),E171&lt;=0)),"Use preços positivos","")))))))</f>
        <v/>
      </c>
    </row>
    <row r="172" spans="1:11" ht="22.95" customHeight="1">
      <c r="A172" s="28"/>
      <c r="B172" s="29"/>
      <c r="C172" s="29"/>
      <c r="D172" s="29"/>
      <c r="E172" s="30"/>
      <c r="F172" s="22" t="str">
        <f>IF(OR($A172="",B172="",B172&lt;=0,Séries!Q171=""),"",B172/Séries!Q171-1)</f>
        <v/>
      </c>
      <c r="G172" s="22" t="str">
        <f>IF(OR($A172="",C172="",C172&lt;=0,Séries!R171=""),"",C172/Séries!R171-1)</f>
        <v/>
      </c>
      <c r="H172" s="22" t="str">
        <f>IF(OR($A172="",D172="",D172&lt;=0,Séries!S171=""),"",D172/Séries!S171-1)</f>
        <v/>
      </c>
      <c r="I172" s="22" t="str">
        <f>IF(OR($A172="",E172="",E172&lt;=0,Séries!T171=""),"",E172/Séries!T171-1)</f>
        <v/>
      </c>
      <c r="J172" s="27"/>
      <c r="K172" s="1" t="str">
        <f>IF(COUNTA(A172:E172)=0,"",IF(A172="","Preencha a data",IF(NOT(ISNUMBER(A172)),"Data inválida",IF(OR(A172&lt;36526,A172&gt;73050,A172&lt;&gt;INT(A172)),"Data inválida",IF(A172&lt;=Séries!U171,"Data repetida / fora de ordem",IF(COUNTA(B172:E172)&lt;&gt;COUNT(B172:E172),"Use preços numéricos",IF(OR(AND(ISNUMBER(B172),B172&lt;=0),AND(ISNUMBER(C172),C172&lt;=0),AND(ISNUMBER(D172),D172&lt;=0),AND(ISNUMBER(E172),E172&lt;=0)),"Use preços positivos","")))))))</f>
        <v/>
      </c>
    </row>
    <row r="173" spans="1:11" ht="22.95" customHeight="1">
      <c r="A173" s="28"/>
      <c r="B173" s="29"/>
      <c r="C173" s="29"/>
      <c r="D173" s="29"/>
      <c r="E173" s="30"/>
      <c r="F173" s="22" t="str">
        <f>IF(OR($A173="",B173="",B173&lt;=0,Séries!Q172=""),"",B173/Séries!Q172-1)</f>
        <v/>
      </c>
      <c r="G173" s="22" t="str">
        <f>IF(OR($A173="",C173="",C173&lt;=0,Séries!R172=""),"",C173/Séries!R172-1)</f>
        <v/>
      </c>
      <c r="H173" s="22" t="str">
        <f>IF(OR($A173="",D173="",D173&lt;=0,Séries!S172=""),"",D173/Séries!S172-1)</f>
        <v/>
      </c>
      <c r="I173" s="22" t="str">
        <f>IF(OR($A173="",E173="",E173&lt;=0,Séries!T172=""),"",E173/Séries!T172-1)</f>
        <v/>
      </c>
      <c r="J173" s="27"/>
      <c r="K173" s="1" t="str">
        <f>IF(COUNTA(A173:E173)=0,"",IF(A173="","Preencha a data",IF(NOT(ISNUMBER(A173)),"Data inválida",IF(OR(A173&lt;36526,A173&gt;73050,A173&lt;&gt;INT(A173)),"Data inválida",IF(A173&lt;=Séries!U172,"Data repetida / fora de ordem",IF(COUNTA(B173:E173)&lt;&gt;COUNT(B173:E173),"Use preços numéricos",IF(OR(AND(ISNUMBER(B173),B173&lt;=0),AND(ISNUMBER(C173),C173&lt;=0),AND(ISNUMBER(D173),D173&lt;=0),AND(ISNUMBER(E173),E173&lt;=0)),"Use preços positivos","")))))))</f>
        <v/>
      </c>
    </row>
    <row r="174" spans="1:11" ht="22.95" customHeight="1">
      <c r="A174" s="28"/>
      <c r="B174" s="29"/>
      <c r="C174" s="29"/>
      <c r="D174" s="29"/>
      <c r="E174" s="30"/>
      <c r="F174" s="22" t="str">
        <f>IF(OR($A174="",B174="",B174&lt;=0,Séries!Q173=""),"",B174/Séries!Q173-1)</f>
        <v/>
      </c>
      <c r="G174" s="22" t="str">
        <f>IF(OR($A174="",C174="",C174&lt;=0,Séries!R173=""),"",C174/Séries!R173-1)</f>
        <v/>
      </c>
      <c r="H174" s="22" t="str">
        <f>IF(OR($A174="",D174="",D174&lt;=0,Séries!S173=""),"",D174/Séries!S173-1)</f>
        <v/>
      </c>
      <c r="I174" s="22" t="str">
        <f>IF(OR($A174="",E174="",E174&lt;=0,Séries!T173=""),"",E174/Séries!T173-1)</f>
        <v/>
      </c>
      <c r="J174" s="27"/>
      <c r="K174" s="1" t="str">
        <f>IF(COUNTA(A174:E174)=0,"",IF(A174="","Preencha a data",IF(NOT(ISNUMBER(A174)),"Data inválida",IF(OR(A174&lt;36526,A174&gt;73050,A174&lt;&gt;INT(A174)),"Data inválida",IF(A174&lt;=Séries!U173,"Data repetida / fora de ordem",IF(COUNTA(B174:E174)&lt;&gt;COUNT(B174:E174),"Use preços numéricos",IF(OR(AND(ISNUMBER(B174),B174&lt;=0),AND(ISNUMBER(C174),C174&lt;=0),AND(ISNUMBER(D174),D174&lt;=0),AND(ISNUMBER(E174),E174&lt;=0)),"Use preços positivos","")))))))</f>
        <v/>
      </c>
    </row>
    <row r="175" spans="1:11" ht="22.95" customHeight="1">
      <c r="A175" s="28"/>
      <c r="B175" s="29"/>
      <c r="C175" s="29"/>
      <c r="D175" s="29"/>
      <c r="E175" s="30"/>
      <c r="F175" s="22" t="str">
        <f>IF(OR($A175="",B175="",B175&lt;=0,Séries!Q174=""),"",B175/Séries!Q174-1)</f>
        <v/>
      </c>
      <c r="G175" s="22" t="str">
        <f>IF(OR($A175="",C175="",C175&lt;=0,Séries!R174=""),"",C175/Séries!R174-1)</f>
        <v/>
      </c>
      <c r="H175" s="22" t="str">
        <f>IF(OR($A175="",D175="",D175&lt;=0,Séries!S174=""),"",D175/Séries!S174-1)</f>
        <v/>
      </c>
      <c r="I175" s="22" t="str">
        <f>IF(OR($A175="",E175="",E175&lt;=0,Séries!T174=""),"",E175/Séries!T174-1)</f>
        <v/>
      </c>
      <c r="J175" s="27"/>
      <c r="K175" s="1" t="str">
        <f>IF(COUNTA(A175:E175)=0,"",IF(A175="","Preencha a data",IF(NOT(ISNUMBER(A175)),"Data inválida",IF(OR(A175&lt;36526,A175&gt;73050,A175&lt;&gt;INT(A175)),"Data inválida",IF(A175&lt;=Séries!U174,"Data repetida / fora de ordem",IF(COUNTA(B175:E175)&lt;&gt;COUNT(B175:E175),"Use preços numéricos",IF(OR(AND(ISNUMBER(B175),B175&lt;=0),AND(ISNUMBER(C175),C175&lt;=0),AND(ISNUMBER(D175),D175&lt;=0),AND(ISNUMBER(E175),E175&lt;=0)),"Use preços positivos","")))))))</f>
        <v/>
      </c>
    </row>
    <row r="176" spans="1:11" ht="22.95" customHeight="1">
      <c r="A176" s="28"/>
      <c r="B176" s="29"/>
      <c r="C176" s="29"/>
      <c r="D176" s="29"/>
      <c r="E176" s="30"/>
      <c r="F176" s="22" t="str">
        <f>IF(OR($A176="",B176="",B176&lt;=0,Séries!Q175=""),"",B176/Séries!Q175-1)</f>
        <v/>
      </c>
      <c r="G176" s="22" t="str">
        <f>IF(OR($A176="",C176="",C176&lt;=0,Séries!R175=""),"",C176/Séries!R175-1)</f>
        <v/>
      </c>
      <c r="H176" s="22" t="str">
        <f>IF(OR($A176="",D176="",D176&lt;=0,Séries!S175=""),"",D176/Séries!S175-1)</f>
        <v/>
      </c>
      <c r="I176" s="22" t="str">
        <f>IF(OR($A176="",E176="",E176&lt;=0,Séries!T175=""),"",E176/Séries!T175-1)</f>
        <v/>
      </c>
      <c r="J176" s="27"/>
      <c r="K176" s="1" t="str">
        <f>IF(COUNTA(A176:E176)=0,"",IF(A176="","Preencha a data",IF(NOT(ISNUMBER(A176)),"Data inválida",IF(OR(A176&lt;36526,A176&gt;73050,A176&lt;&gt;INT(A176)),"Data inválida",IF(A176&lt;=Séries!U175,"Data repetida / fora de ordem",IF(COUNTA(B176:E176)&lt;&gt;COUNT(B176:E176),"Use preços numéricos",IF(OR(AND(ISNUMBER(B176),B176&lt;=0),AND(ISNUMBER(C176),C176&lt;=0),AND(ISNUMBER(D176),D176&lt;=0),AND(ISNUMBER(E176),E176&lt;=0)),"Use preços positivos","")))))))</f>
        <v/>
      </c>
    </row>
    <row r="177" spans="1:11" ht="22.95" customHeight="1">
      <c r="A177" s="28"/>
      <c r="B177" s="29"/>
      <c r="C177" s="29"/>
      <c r="D177" s="29"/>
      <c r="E177" s="30"/>
      <c r="F177" s="22" t="str">
        <f>IF(OR($A177="",B177="",B177&lt;=0,Séries!Q176=""),"",B177/Séries!Q176-1)</f>
        <v/>
      </c>
      <c r="G177" s="22" t="str">
        <f>IF(OR($A177="",C177="",C177&lt;=0,Séries!R176=""),"",C177/Séries!R176-1)</f>
        <v/>
      </c>
      <c r="H177" s="22" t="str">
        <f>IF(OR($A177="",D177="",D177&lt;=0,Séries!S176=""),"",D177/Séries!S176-1)</f>
        <v/>
      </c>
      <c r="I177" s="22" t="str">
        <f>IF(OR($A177="",E177="",E177&lt;=0,Séries!T176=""),"",E177/Séries!T176-1)</f>
        <v/>
      </c>
      <c r="J177" s="27"/>
      <c r="K177" s="1" t="str">
        <f>IF(COUNTA(A177:E177)=0,"",IF(A177="","Preencha a data",IF(NOT(ISNUMBER(A177)),"Data inválida",IF(OR(A177&lt;36526,A177&gt;73050,A177&lt;&gt;INT(A177)),"Data inválida",IF(A177&lt;=Séries!U176,"Data repetida / fora de ordem",IF(COUNTA(B177:E177)&lt;&gt;COUNT(B177:E177),"Use preços numéricos",IF(OR(AND(ISNUMBER(B177),B177&lt;=0),AND(ISNUMBER(C177),C177&lt;=0),AND(ISNUMBER(D177),D177&lt;=0),AND(ISNUMBER(E177),E177&lt;=0)),"Use preços positivos","")))))))</f>
        <v/>
      </c>
    </row>
    <row r="178" spans="1:11" ht="22.95" customHeight="1">
      <c r="A178" s="28"/>
      <c r="B178" s="29"/>
      <c r="C178" s="29"/>
      <c r="D178" s="29"/>
      <c r="E178" s="30"/>
      <c r="F178" s="22" t="str">
        <f>IF(OR($A178="",B178="",B178&lt;=0,Séries!Q177=""),"",B178/Séries!Q177-1)</f>
        <v/>
      </c>
      <c r="G178" s="22" t="str">
        <f>IF(OR($A178="",C178="",C178&lt;=0,Séries!R177=""),"",C178/Séries!R177-1)</f>
        <v/>
      </c>
      <c r="H178" s="22" t="str">
        <f>IF(OR($A178="",D178="",D178&lt;=0,Séries!S177=""),"",D178/Séries!S177-1)</f>
        <v/>
      </c>
      <c r="I178" s="22" t="str">
        <f>IF(OR($A178="",E178="",E178&lt;=0,Séries!T177=""),"",E178/Séries!T177-1)</f>
        <v/>
      </c>
      <c r="J178" s="27"/>
      <c r="K178" s="1" t="str">
        <f>IF(COUNTA(A178:E178)=0,"",IF(A178="","Preencha a data",IF(NOT(ISNUMBER(A178)),"Data inválida",IF(OR(A178&lt;36526,A178&gt;73050,A178&lt;&gt;INT(A178)),"Data inválida",IF(A178&lt;=Séries!U177,"Data repetida / fora de ordem",IF(COUNTA(B178:E178)&lt;&gt;COUNT(B178:E178),"Use preços numéricos",IF(OR(AND(ISNUMBER(B178),B178&lt;=0),AND(ISNUMBER(C178),C178&lt;=0),AND(ISNUMBER(D178),D178&lt;=0),AND(ISNUMBER(E178),E178&lt;=0)),"Use preços positivos","")))))))</f>
        <v/>
      </c>
    </row>
    <row r="179" spans="1:11" ht="22.95" customHeight="1">
      <c r="A179" s="28"/>
      <c r="B179" s="29"/>
      <c r="C179" s="29"/>
      <c r="D179" s="29"/>
      <c r="E179" s="30"/>
      <c r="F179" s="22" t="str">
        <f>IF(OR($A179="",B179="",B179&lt;=0,Séries!Q178=""),"",B179/Séries!Q178-1)</f>
        <v/>
      </c>
      <c r="G179" s="22" t="str">
        <f>IF(OR($A179="",C179="",C179&lt;=0,Séries!R178=""),"",C179/Séries!R178-1)</f>
        <v/>
      </c>
      <c r="H179" s="22" t="str">
        <f>IF(OR($A179="",D179="",D179&lt;=0,Séries!S178=""),"",D179/Séries!S178-1)</f>
        <v/>
      </c>
      <c r="I179" s="22" t="str">
        <f>IF(OR($A179="",E179="",E179&lt;=0,Séries!T178=""),"",E179/Séries!T178-1)</f>
        <v/>
      </c>
      <c r="J179" s="27"/>
      <c r="K179" s="1" t="str">
        <f>IF(COUNTA(A179:E179)=0,"",IF(A179="","Preencha a data",IF(NOT(ISNUMBER(A179)),"Data inválida",IF(OR(A179&lt;36526,A179&gt;73050,A179&lt;&gt;INT(A179)),"Data inválida",IF(A179&lt;=Séries!U178,"Data repetida / fora de ordem",IF(COUNTA(B179:E179)&lt;&gt;COUNT(B179:E179),"Use preços numéricos",IF(OR(AND(ISNUMBER(B179),B179&lt;=0),AND(ISNUMBER(C179),C179&lt;=0),AND(ISNUMBER(D179),D179&lt;=0),AND(ISNUMBER(E179),E179&lt;=0)),"Use preços positivos","")))))))</f>
        <v/>
      </c>
    </row>
    <row r="180" spans="1:11" ht="22.95" customHeight="1">
      <c r="A180" s="28"/>
      <c r="B180" s="29"/>
      <c r="C180" s="29"/>
      <c r="D180" s="29"/>
      <c r="E180" s="30"/>
      <c r="F180" s="22" t="str">
        <f>IF(OR($A180="",B180="",B180&lt;=0,Séries!Q179=""),"",B180/Séries!Q179-1)</f>
        <v/>
      </c>
      <c r="G180" s="22" t="str">
        <f>IF(OR($A180="",C180="",C180&lt;=0,Séries!R179=""),"",C180/Séries!R179-1)</f>
        <v/>
      </c>
      <c r="H180" s="22" t="str">
        <f>IF(OR($A180="",D180="",D180&lt;=0,Séries!S179=""),"",D180/Séries!S179-1)</f>
        <v/>
      </c>
      <c r="I180" s="22" t="str">
        <f>IF(OR($A180="",E180="",E180&lt;=0,Séries!T179=""),"",E180/Séries!T179-1)</f>
        <v/>
      </c>
      <c r="J180" s="27"/>
      <c r="K180" s="1" t="str">
        <f>IF(COUNTA(A180:E180)=0,"",IF(A180="","Preencha a data",IF(NOT(ISNUMBER(A180)),"Data inválida",IF(OR(A180&lt;36526,A180&gt;73050,A180&lt;&gt;INT(A180)),"Data inválida",IF(A180&lt;=Séries!U179,"Data repetida / fora de ordem",IF(COUNTA(B180:E180)&lt;&gt;COUNT(B180:E180),"Use preços numéricos",IF(OR(AND(ISNUMBER(B180),B180&lt;=0),AND(ISNUMBER(C180),C180&lt;=0),AND(ISNUMBER(D180),D180&lt;=0),AND(ISNUMBER(E180),E180&lt;=0)),"Use preços positivos","")))))))</f>
        <v/>
      </c>
    </row>
    <row r="181" spans="1:11" ht="22.95" customHeight="1">
      <c r="A181" s="28"/>
      <c r="B181" s="29"/>
      <c r="C181" s="29"/>
      <c r="D181" s="29"/>
      <c r="E181" s="30"/>
      <c r="F181" s="22" t="str">
        <f>IF(OR($A181="",B181="",B181&lt;=0,Séries!Q180=""),"",B181/Séries!Q180-1)</f>
        <v/>
      </c>
      <c r="G181" s="22" t="str">
        <f>IF(OR($A181="",C181="",C181&lt;=0,Séries!R180=""),"",C181/Séries!R180-1)</f>
        <v/>
      </c>
      <c r="H181" s="22" t="str">
        <f>IF(OR($A181="",D181="",D181&lt;=0,Séries!S180=""),"",D181/Séries!S180-1)</f>
        <v/>
      </c>
      <c r="I181" s="22" t="str">
        <f>IF(OR($A181="",E181="",E181&lt;=0,Séries!T180=""),"",E181/Séries!T180-1)</f>
        <v/>
      </c>
      <c r="J181" s="27"/>
      <c r="K181" s="1" t="str">
        <f>IF(COUNTA(A181:E181)=0,"",IF(A181="","Preencha a data",IF(NOT(ISNUMBER(A181)),"Data inválida",IF(OR(A181&lt;36526,A181&gt;73050,A181&lt;&gt;INT(A181)),"Data inválida",IF(A181&lt;=Séries!U180,"Data repetida / fora de ordem",IF(COUNTA(B181:E181)&lt;&gt;COUNT(B181:E181),"Use preços numéricos",IF(OR(AND(ISNUMBER(B181),B181&lt;=0),AND(ISNUMBER(C181),C181&lt;=0),AND(ISNUMBER(D181),D181&lt;=0),AND(ISNUMBER(E181),E181&lt;=0)),"Use preços positivos","")))))))</f>
        <v/>
      </c>
    </row>
    <row r="182" spans="1:11" ht="22.95" customHeight="1">
      <c r="A182" s="28"/>
      <c r="B182" s="29"/>
      <c r="C182" s="29"/>
      <c r="D182" s="29"/>
      <c r="E182" s="30"/>
      <c r="F182" s="22" t="str">
        <f>IF(OR($A182="",B182="",B182&lt;=0,Séries!Q181=""),"",B182/Séries!Q181-1)</f>
        <v/>
      </c>
      <c r="G182" s="22" t="str">
        <f>IF(OR($A182="",C182="",C182&lt;=0,Séries!R181=""),"",C182/Séries!R181-1)</f>
        <v/>
      </c>
      <c r="H182" s="22" t="str">
        <f>IF(OR($A182="",D182="",D182&lt;=0,Séries!S181=""),"",D182/Séries!S181-1)</f>
        <v/>
      </c>
      <c r="I182" s="22" t="str">
        <f>IF(OR($A182="",E182="",E182&lt;=0,Séries!T181=""),"",E182/Séries!T181-1)</f>
        <v/>
      </c>
      <c r="J182" s="27"/>
      <c r="K182" s="1" t="str">
        <f>IF(COUNTA(A182:E182)=0,"",IF(A182="","Preencha a data",IF(NOT(ISNUMBER(A182)),"Data inválida",IF(OR(A182&lt;36526,A182&gt;73050,A182&lt;&gt;INT(A182)),"Data inválida",IF(A182&lt;=Séries!U181,"Data repetida / fora de ordem",IF(COUNTA(B182:E182)&lt;&gt;COUNT(B182:E182),"Use preços numéricos",IF(OR(AND(ISNUMBER(B182),B182&lt;=0),AND(ISNUMBER(C182),C182&lt;=0),AND(ISNUMBER(D182),D182&lt;=0),AND(ISNUMBER(E182),E182&lt;=0)),"Use preços positivos","")))))))</f>
        <v/>
      </c>
    </row>
    <row r="183" spans="1:11" ht="22.95" customHeight="1">
      <c r="A183" s="28"/>
      <c r="B183" s="29"/>
      <c r="C183" s="29"/>
      <c r="D183" s="29"/>
      <c r="E183" s="30"/>
      <c r="F183" s="22" t="str">
        <f>IF(OR($A183="",B183="",B183&lt;=0,Séries!Q182=""),"",B183/Séries!Q182-1)</f>
        <v/>
      </c>
      <c r="G183" s="22" t="str">
        <f>IF(OR($A183="",C183="",C183&lt;=0,Séries!R182=""),"",C183/Séries!R182-1)</f>
        <v/>
      </c>
      <c r="H183" s="22" t="str">
        <f>IF(OR($A183="",D183="",D183&lt;=0,Séries!S182=""),"",D183/Séries!S182-1)</f>
        <v/>
      </c>
      <c r="I183" s="22" t="str">
        <f>IF(OR($A183="",E183="",E183&lt;=0,Séries!T182=""),"",E183/Séries!T182-1)</f>
        <v/>
      </c>
      <c r="J183" s="27"/>
      <c r="K183" s="1" t="str">
        <f>IF(COUNTA(A183:E183)=0,"",IF(A183="","Preencha a data",IF(NOT(ISNUMBER(A183)),"Data inválida",IF(OR(A183&lt;36526,A183&gt;73050,A183&lt;&gt;INT(A183)),"Data inválida",IF(A183&lt;=Séries!U182,"Data repetida / fora de ordem",IF(COUNTA(B183:E183)&lt;&gt;COUNT(B183:E183),"Use preços numéricos",IF(OR(AND(ISNUMBER(B183),B183&lt;=0),AND(ISNUMBER(C183),C183&lt;=0),AND(ISNUMBER(D183),D183&lt;=0),AND(ISNUMBER(E183),E183&lt;=0)),"Use preços positivos","")))))))</f>
        <v/>
      </c>
    </row>
    <row r="184" spans="1:11" ht="22.95" customHeight="1">
      <c r="A184" s="28"/>
      <c r="B184" s="29"/>
      <c r="C184" s="29"/>
      <c r="D184" s="29"/>
      <c r="E184" s="30"/>
      <c r="F184" s="22" t="str">
        <f>IF(OR($A184="",B184="",B184&lt;=0,Séries!Q183=""),"",B184/Séries!Q183-1)</f>
        <v/>
      </c>
      <c r="G184" s="22" t="str">
        <f>IF(OR($A184="",C184="",C184&lt;=0,Séries!R183=""),"",C184/Séries!R183-1)</f>
        <v/>
      </c>
      <c r="H184" s="22" t="str">
        <f>IF(OR($A184="",D184="",D184&lt;=0,Séries!S183=""),"",D184/Séries!S183-1)</f>
        <v/>
      </c>
      <c r="I184" s="22" t="str">
        <f>IF(OR($A184="",E184="",E184&lt;=0,Séries!T183=""),"",E184/Séries!T183-1)</f>
        <v/>
      </c>
      <c r="J184" s="27"/>
      <c r="K184" s="1" t="str">
        <f>IF(COUNTA(A184:E184)=0,"",IF(A184="","Preencha a data",IF(NOT(ISNUMBER(A184)),"Data inválida",IF(OR(A184&lt;36526,A184&gt;73050,A184&lt;&gt;INT(A184)),"Data inválida",IF(A184&lt;=Séries!U183,"Data repetida / fora de ordem",IF(COUNTA(B184:E184)&lt;&gt;COUNT(B184:E184),"Use preços numéricos",IF(OR(AND(ISNUMBER(B184),B184&lt;=0),AND(ISNUMBER(C184),C184&lt;=0),AND(ISNUMBER(D184),D184&lt;=0),AND(ISNUMBER(E184),E184&lt;=0)),"Use preços positivos","")))))))</f>
        <v/>
      </c>
    </row>
    <row r="185" spans="1:11" ht="22.95" customHeight="1">
      <c r="A185" s="28"/>
      <c r="B185" s="29"/>
      <c r="C185" s="29"/>
      <c r="D185" s="29"/>
      <c r="E185" s="30"/>
      <c r="F185" s="22" t="str">
        <f>IF(OR($A185="",B185="",B185&lt;=0,Séries!Q184=""),"",B185/Séries!Q184-1)</f>
        <v/>
      </c>
      <c r="G185" s="22" t="str">
        <f>IF(OR($A185="",C185="",C185&lt;=0,Séries!R184=""),"",C185/Séries!R184-1)</f>
        <v/>
      </c>
      <c r="H185" s="22" t="str">
        <f>IF(OR($A185="",D185="",D185&lt;=0,Séries!S184=""),"",D185/Séries!S184-1)</f>
        <v/>
      </c>
      <c r="I185" s="22" t="str">
        <f>IF(OR($A185="",E185="",E185&lt;=0,Séries!T184=""),"",E185/Séries!T184-1)</f>
        <v/>
      </c>
      <c r="J185" s="27"/>
      <c r="K185" s="1" t="str">
        <f>IF(COUNTA(A185:E185)=0,"",IF(A185="","Preencha a data",IF(NOT(ISNUMBER(A185)),"Data inválida",IF(OR(A185&lt;36526,A185&gt;73050,A185&lt;&gt;INT(A185)),"Data inválida",IF(A185&lt;=Séries!U184,"Data repetida / fora de ordem",IF(COUNTA(B185:E185)&lt;&gt;COUNT(B185:E185),"Use preços numéricos",IF(OR(AND(ISNUMBER(B185),B185&lt;=0),AND(ISNUMBER(C185),C185&lt;=0),AND(ISNUMBER(D185),D185&lt;=0),AND(ISNUMBER(E185),E185&lt;=0)),"Use preços positivos","")))))))</f>
        <v/>
      </c>
    </row>
    <row r="186" spans="1:11" ht="22.95" customHeight="1">
      <c r="A186" s="28"/>
      <c r="B186" s="29"/>
      <c r="C186" s="29"/>
      <c r="D186" s="29"/>
      <c r="E186" s="30"/>
      <c r="F186" s="22" t="str">
        <f>IF(OR($A186="",B186="",B186&lt;=0,Séries!Q185=""),"",B186/Séries!Q185-1)</f>
        <v/>
      </c>
      <c r="G186" s="22" t="str">
        <f>IF(OR($A186="",C186="",C186&lt;=0,Séries!R185=""),"",C186/Séries!R185-1)</f>
        <v/>
      </c>
      <c r="H186" s="22" t="str">
        <f>IF(OR($A186="",D186="",D186&lt;=0,Séries!S185=""),"",D186/Séries!S185-1)</f>
        <v/>
      </c>
      <c r="I186" s="22" t="str">
        <f>IF(OR($A186="",E186="",E186&lt;=0,Séries!T185=""),"",E186/Séries!T185-1)</f>
        <v/>
      </c>
      <c r="J186" s="27"/>
      <c r="K186" s="1" t="str">
        <f>IF(COUNTA(A186:E186)=0,"",IF(A186="","Preencha a data",IF(NOT(ISNUMBER(A186)),"Data inválida",IF(OR(A186&lt;36526,A186&gt;73050,A186&lt;&gt;INT(A186)),"Data inválida",IF(A186&lt;=Séries!U185,"Data repetida / fora de ordem",IF(COUNTA(B186:E186)&lt;&gt;COUNT(B186:E186),"Use preços numéricos",IF(OR(AND(ISNUMBER(B186),B186&lt;=0),AND(ISNUMBER(C186),C186&lt;=0),AND(ISNUMBER(D186),D186&lt;=0),AND(ISNUMBER(E186),E186&lt;=0)),"Use preços positivos","")))))))</f>
        <v/>
      </c>
    </row>
    <row r="187" spans="1:11" ht="22.95" customHeight="1">
      <c r="A187" s="28"/>
      <c r="B187" s="29"/>
      <c r="C187" s="29"/>
      <c r="D187" s="29"/>
      <c r="E187" s="30"/>
      <c r="F187" s="22" t="str">
        <f>IF(OR($A187="",B187="",B187&lt;=0,Séries!Q186=""),"",B187/Séries!Q186-1)</f>
        <v/>
      </c>
      <c r="G187" s="22" t="str">
        <f>IF(OR($A187="",C187="",C187&lt;=0,Séries!R186=""),"",C187/Séries!R186-1)</f>
        <v/>
      </c>
      <c r="H187" s="22" t="str">
        <f>IF(OR($A187="",D187="",D187&lt;=0,Séries!S186=""),"",D187/Séries!S186-1)</f>
        <v/>
      </c>
      <c r="I187" s="22" t="str">
        <f>IF(OR($A187="",E187="",E187&lt;=0,Séries!T186=""),"",E187/Séries!T186-1)</f>
        <v/>
      </c>
      <c r="J187" s="27"/>
      <c r="K187" s="1" t="str">
        <f>IF(COUNTA(A187:E187)=0,"",IF(A187="","Preencha a data",IF(NOT(ISNUMBER(A187)),"Data inválida",IF(OR(A187&lt;36526,A187&gt;73050,A187&lt;&gt;INT(A187)),"Data inválida",IF(A187&lt;=Séries!U186,"Data repetida / fora de ordem",IF(COUNTA(B187:E187)&lt;&gt;COUNT(B187:E187),"Use preços numéricos",IF(OR(AND(ISNUMBER(B187),B187&lt;=0),AND(ISNUMBER(C187),C187&lt;=0),AND(ISNUMBER(D187),D187&lt;=0),AND(ISNUMBER(E187),E187&lt;=0)),"Use preços positivos","")))))))</f>
        <v/>
      </c>
    </row>
    <row r="188" spans="1:11" ht="22.95" customHeight="1">
      <c r="A188" s="28"/>
      <c r="B188" s="29"/>
      <c r="C188" s="29"/>
      <c r="D188" s="29"/>
      <c r="E188" s="30"/>
      <c r="F188" s="22" t="str">
        <f>IF(OR($A188="",B188="",B188&lt;=0,Séries!Q187=""),"",B188/Séries!Q187-1)</f>
        <v/>
      </c>
      <c r="G188" s="22" t="str">
        <f>IF(OR($A188="",C188="",C188&lt;=0,Séries!R187=""),"",C188/Séries!R187-1)</f>
        <v/>
      </c>
      <c r="H188" s="22" t="str">
        <f>IF(OR($A188="",D188="",D188&lt;=0,Séries!S187=""),"",D188/Séries!S187-1)</f>
        <v/>
      </c>
      <c r="I188" s="22" t="str">
        <f>IF(OR($A188="",E188="",E188&lt;=0,Séries!T187=""),"",E188/Séries!T187-1)</f>
        <v/>
      </c>
      <c r="J188" s="27"/>
      <c r="K188" s="1" t="str">
        <f>IF(COUNTA(A188:E188)=0,"",IF(A188="","Preencha a data",IF(NOT(ISNUMBER(A188)),"Data inválida",IF(OR(A188&lt;36526,A188&gt;73050,A188&lt;&gt;INT(A188)),"Data inválida",IF(A188&lt;=Séries!U187,"Data repetida / fora de ordem",IF(COUNTA(B188:E188)&lt;&gt;COUNT(B188:E188),"Use preços numéricos",IF(OR(AND(ISNUMBER(B188),B188&lt;=0),AND(ISNUMBER(C188),C188&lt;=0),AND(ISNUMBER(D188),D188&lt;=0),AND(ISNUMBER(E188),E188&lt;=0)),"Use preços positivos","")))))))</f>
        <v/>
      </c>
    </row>
    <row r="189" spans="1:11" ht="22.95" customHeight="1">
      <c r="A189" s="28"/>
      <c r="B189" s="29"/>
      <c r="C189" s="29"/>
      <c r="D189" s="29"/>
      <c r="E189" s="30"/>
      <c r="F189" s="22" t="str">
        <f>IF(OR($A189="",B189="",B189&lt;=0,Séries!Q188=""),"",B189/Séries!Q188-1)</f>
        <v/>
      </c>
      <c r="G189" s="22" t="str">
        <f>IF(OR($A189="",C189="",C189&lt;=0,Séries!R188=""),"",C189/Séries!R188-1)</f>
        <v/>
      </c>
      <c r="H189" s="22" t="str">
        <f>IF(OR($A189="",D189="",D189&lt;=0,Séries!S188=""),"",D189/Séries!S188-1)</f>
        <v/>
      </c>
      <c r="I189" s="22" t="str">
        <f>IF(OR($A189="",E189="",E189&lt;=0,Séries!T188=""),"",E189/Séries!T188-1)</f>
        <v/>
      </c>
      <c r="J189" s="27"/>
      <c r="K189" s="1" t="str">
        <f>IF(COUNTA(A189:E189)=0,"",IF(A189="","Preencha a data",IF(NOT(ISNUMBER(A189)),"Data inválida",IF(OR(A189&lt;36526,A189&gt;73050,A189&lt;&gt;INT(A189)),"Data inválida",IF(A189&lt;=Séries!U188,"Data repetida / fora de ordem",IF(COUNTA(B189:E189)&lt;&gt;COUNT(B189:E189),"Use preços numéricos",IF(OR(AND(ISNUMBER(B189),B189&lt;=0),AND(ISNUMBER(C189),C189&lt;=0),AND(ISNUMBER(D189),D189&lt;=0),AND(ISNUMBER(E189),E189&lt;=0)),"Use preços positivos","")))))))</f>
        <v/>
      </c>
    </row>
    <row r="190" spans="1:11" ht="22.95" customHeight="1">
      <c r="A190" s="28"/>
      <c r="B190" s="29"/>
      <c r="C190" s="29"/>
      <c r="D190" s="29"/>
      <c r="E190" s="30"/>
      <c r="F190" s="22" t="str">
        <f>IF(OR($A190="",B190="",B190&lt;=0,Séries!Q189=""),"",B190/Séries!Q189-1)</f>
        <v/>
      </c>
      <c r="G190" s="22" t="str">
        <f>IF(OR($A190="",C190="",C190&lt;=0,Séries!R189=""),"",C190/Séries!R189-1)</f>
        <v/>
      </c>
      <c r="H190" s="22" t="str">
        <f>IF(OR($A190="",D190="",D190&lt;=0,Séries!S189=""),"",D190/Séries!S189-1)</f>
        <v/>
      </c>
      <c r="I190" s="22" t="str">
        <f>IF(OR($A190="",E190="",E190&lt;=0,Séries!T189=""),"",E190/Séries!T189-1)</f>
        <v/>
      </c>
      <c r="J190" s="27"/>
      <c r="K190" s="1" t="str">
        <f>IF(COUNTA(A190:E190)=0,"",IF(A190="","Preencha a data",IF(NOT(ISNUMBER(A190)),"Data inválida",IF(OR(A190&lt;36526,A190&gt;73050,A190&lt;&gt;INT(A190)),"Data inválida",IF(A190&lt;=Séries!U189,"Data repetida / fora de ordem",IF(COUNTA(B190:E190)&lt;&gt;COUNT(B190:E190),"Use preços numéricos",IF(OR(AND(ISNUMBER(B190),B190&lt;=0),AND(ISNUMBER(C190),C190&lt;=0),AND(ISNUMBER(D190),D190&lt;=0),AND(ISNUMBER(E190),E190&lt;=0)),"Use preços positivos","")))))))</f>
        <v/>
      </c>
    </row>
    <row r="191" spans="1:11" ht="22.95" customHeight="1">
      <c r="A191" s="28"/>
      <c r="B191" s="29"/>
      <c r="C191" s="29"/>
      <c r="D191" s="29"/>
      <c r="E191" s="30"/>
      <c r="F191" s="22" t="str">
        <f>IF(OR($A191="",B191="",B191&lt;=0,Séries!Q190=""),"",B191/Séries!Q190-1)</f>
        <v/>
      </c>
      <c r="G191" s="22" t="str">
        <f>IF(OR($A191="",C191="",C191&lt;=0,Séries!R190=""),"",C191/Séries!R190-1)</f>
        <v/>
      </c>
      <c r="H191" s="22" t="str">
        <f>IF(OR($A191="",D191="",D191&lt;=0,Séries!S190=""),"",D191/Séries!S190-1)</f>
        <v/>
      </c>
      <c r="I191" s="22" t="str">
        <f>IF(OR($A191="",E191="",E191&lt;=0,Séries!T190=""),"",E191/Séries!T190-1)</f>
        <v/>
      </c>
      <c r="J191" s="27"/>
      <c r="K191" s="1" t="str">
        <f>IF(COUNTA(A191:E191)=0,"",IF(A191="","Preencha a data",IF(NOT(ISNUMBER(A191)),"Data inválida",IF(OR(A191&lt;36526,A191&gt;73050,A191&lt;&gt;INT(A191)),"Data inválida",IF(A191&lt;=Séries!U190,"Data repetida / fora de ordem",IF(COUNTA(B191:E191)&lt;&gt;COUNT(B191:E191),"Use preços numéricos",IF(OR(AND(ISNUMBER(B191),B191&lt;=0),AND(ISNUMBER(C191),C191&lt;=0),AND(ISNUMBER(D191),D191&lt;=0),AND(ISNUMBER(E191),E191&lt;=0)),"Use preços positivos","")))))))</f>
        <v/>
      </c>
    </row>
    <row r="192" spans="1:11" ht="22.95" customHeight="1">
      <c r="A192" s="28"/>
      <c r="B192" s="29"/>
      <c r="C192" s="29"/>
      <c r="D192" s="29"/>
      <c r="E192" s="30"/>
      <c r="F192" s="22" t="str">
        <f>IF(OR($A192="",B192="",B192&lt;=0,Séries!Q191=""),"",B192/Séries!Q191-1)</f>
        <v/>
      </c>
      <c r="G192" s="22" t="str">
        <f>IF(OR($A192="",C192="",C192&lt;=0,Séries!R191=""),"",C192/Séries!R191-1)</f>
        <v/>
      </c>
      <c r="H192" s="22" t="str">
        <f>IF(OR($A192="",D192="",D192&lt;=0,Séries!S191=""),"",D192/Séries!S191-1)</f>
        <v/>
      </c>
      <c r="I192" s="22" t="str">
        <f>IF(OR($A192="",E192="",E192&lt;=0,Séries!T191=""),"",E192/Séries!T191-1)</f>
        <v/>
      </c>
      <c r="J192" s="27"/>
      <c r="K192" s="1" t="str">
        <f>IF(COUNTA(A192:E192)=0,"",IF(A192="","Preencha a data",IF(NOT(ISNUMBER(A192)),"Data inválida",IF(OR(A192&lt;36526,A192&gt;73050,A192&lt;&gt;INT(A192)),"Data inválida",IF(A192&lt;=Séries!U191,"Data repetida / fora de ordem",IF(COUNTA(B192:E192)&lt;&gt;COUNT(B192:E192),"Use preços numéricos",IF(OR(AND(ISNUMBER(B192),B192&lt;=0),AND(ISNUMBER(C192),C192&lt;=0),AND(ISNUMBER(D192),D192&lt;=0),AND(ISNUMBER(E192),E192&lt;=0)),"Use preços positivos","")))))))</f>
        <v/>
      </c>
    </row>
    <row r="193" spans="1:11" ht="22.95" customHeight="1">
      <c r="A193" s="28"/>
      <c r="B193" s="29"/>
      <c r="C193" s="29"/>
      <c r="D193" s="29"/>
      <c r="E193" s="30"/>
      <c r="F193" s="22" t="str">
        <f>IF(OR($A193="",B193="",B193&lt;=0,Séries!Q192=""),"",B193/Séries!Q192-1)</f>
        <v/>
      </c>
      <c r="G193" s="22" t="str">
        <f>IF(OR($A193="",C193="",C193&lt;=0,Séries!R192=""),"",C193/Séries!R192-1)</f>
        <v/>
      </c>
      <c r="H193" s="22" t="str">
        <f>IF(OR($A193="",D193="",D193&lt;=0,Séries!S192=""),"",D193/Séries!S192-1)</f>
        <v/>
      </c>
      <c r="I193" s="22" t="str">
        <f>IF(OR($A193="",E193="",E193&lt;=0,Séries!T192=""),"",E193/Séries!T192-1)</f>
        <v/>
      </c>
      <c r="J193" s="27"/>
      <c r="K193" s="1" t="str">
        <f>IF(COUNTA(A193:E193)=0,"",IF(A193="","Preencha a data",IF(NOT(ISNUMBER(A193)),"Data inválida",IF(OR(A193&lt;36526,A193&gt;73050,A193&lt;&gt;INT(A193)),"Data inválida",IF(A193&lt;=Séries!U192,"Data repetida / fora de ordem",IF(COUNTA(B193:E193)&lt;&gt;COUNT(B193:E193),"Use preços numéricos",IF(OR(AND(ISNUMBER(B193),B193&lt;=0),AND(ISNUMBER(C193),C193&lt;=0),AND(ISNUMBER(D193),D193&lt;=0),AND(ISNUMBER(E193),E193&lt;=0)),"Use preços positivos","")))))))</f>
        <v/>
      </c>
    </row>
    <row r="194" spans="1:11" ht="22.95" customHeight="1">
      <c r="A194" s="28"/>
      <c r="B194" s="29"/>
      <c r="C194" s="29"/>
      <c r="D194" s="29"/>
      <c r="E194" s="30"/>
      <c r="F194" s="22" t="str">
        <f>IF(OR($A194="",B194="",B194&lt;=0,Séries!Q193=""),"",B194/Séries!Q193-1)</f>
        <v/>
      </c>
      <c r="G194" s="22" t="str">
        <f>IF(OR($A194="",C194="",C194&lt;=0,Séries!R193=""),"",C194/Séries!R193-1)</f>
        <v/>
      </c>
      <c r="H194" s="22" t="str">
        <f>IF(OR($A194="",D194="",D194&lt;=0,Séries!S193=""),"",D194/Séries!S193-1)</f>
        <v/>
      </c>
      <c r="I194" s="22" t="str">
        <f>IF(OR($A194="",E194="",E194&lt;=0,Séries!T193=""),"",E194/Séries!T193-1)</f>
        <v/>
      </c>
      <c r="J194" s="27"/>
      <c r="K194" s="1" t="str">
        <f>IF(COUNTA(A194:E194)=0,"",IF(A194="","Preencha a data",IF(NOT(ISNUMBER(A194)),"Data inválida",IF(OR(A194&lt;36526,A194&gt;73050,A194&lt;&gt;INT(A194)),"Data inválida",IF(A194&lt;=Séries!U193,"Data repetida / fora de ordem",IF(COUNTA(B194:E194)&lt;&gt;COUNT(B194:E194),"Use preços numéricos",IF(OR(AND(ISNUMBER(B194),B194&lt;=0),AND(ISNUMBER(C194),C194&lt;=0),AND(ISNUMBER(D194),D194&lt;=0),AND(ISNUMBER(E194),E194&lt;=0)),"Use preços positivos","")))))))</f>
        <v/>
      </c>
    </row>
    <row r="195" spans="1:11" ht="22.95" customHeight="1">
      <c r="A195" s="28"/>
      <c r="B195" s="29"/>
      <c r="C195" s="29"/>
      <c r="D195" s="29"/>
      <c r="E195" s="30"/>
      <c r="F195" s="22" t="str">
        <f>IF(OR($A195="",B195="",B195&lt;=0,Séries!Q194=""),"",B195/Séries!Q194-1)</f>
        <v/>
      </c>
      <c r="G195" s="22" t="str">
        <f>IF(OR($A195="",C195="",C195&lt;=0,Séries!R194=""),"",C195/Séries!R194-1)</f>
        <v/>
      </c>
      <c r="H195" s="22" t="str">
        <f>IF(OR($A195="",D195="",D195&lt;=0,Séries!S194=""),"",D195/Séries!S194-1)</f>
        <v/>
      </c>
      <c r="I195" s="22" t="str">
        <f>IF(OR($A195="",E195="",E195&lt;=0,Séries!T194=""),"",E195/Séries!T194-1)</f>
        <v/>
      </c>
      <c r="J195" s="27"/>
      <c r="K195" s="1" t="str">
        <f>IF(COUNTA(A195:E195)=0,"",IF(A195="","Preencha a data",IF(NOT(ISNUMBER(A195)),"Data inválida",IF(OR(A195&lt;36526,A195&gt;73050,A195&lt;&gt;INT(A195)),"Data inválida",IF(A195&lt;=Séries!U194,"Data repetida / fora de ordem",IF(COUNTA(B195:E195)&lt;&gt;COUNT(B195:E195),"Use preços numéricos",IF(OR(AND(ISNUMBER(B195),B195&lt;=0),AND(ISNUMBER(C195),C195&lt;=0),AND(ISNUMBER(D195),D195&lt;=0),AND(ISNUMBER(E195),E195&lt;=0)),"Use preços positivos","")))))))</f>
        <v/>
      </c>
    </row>
    <row r="196" spans="1:11" ht="22.95" customHeight="1">
      <c r="A196" s="28"/>
      <c r="B196" s="29"/>
      <c r="C196" s="29"/>
      <c r="D196" s="29"/>
      <c r="E196" s="30"/>
      <c r="F196" s="22" t="str">
        <f>IF(OR($A196="",B196="",B196&lt;=0,Séries!Q195=""),"",B196/Séries!Q195-1)</f>
        <v/>
      </c>
      <c r="G196" s="22" t="str">
        <f>IF(OR($A196="",C196="",C196&lt;=0,Séries!R195=""),"",C196/Séries!R195-1)</f>
        <v/>
      </c>
      <c r="H196" s="22" t="str">
        <f>IF(OR($A196="",D196="",D196&lt;=0,Séries!S195=""),"",D196/Séries!S195-1)</f>
        <v/>
      </c>
      <c r="I196" s="22" t="str">
        <f>IF(OR($A196="",E196="",E196&lt;=0,Séries!T195=""),"",E196/Séries!T195-1)</f>
        <v/>
      </c>
      <c r="J196" s="27"/>
      <c r="K196" s="1" t="str">
        <f>IF(COUNTA(A196:E196)=0,"",IF(A196="","Preencha a data",IF(NOT(ISNUMBER(A196)),"Data inválida",IF(OR(A196&lt;36526,A196&gt;73050,A196&lt;&gt;INT(A196)),"Data inválida",IF(A196&lt;=Séries!U195,"Data repetida / fora de ordem",IF(COUNTA(B196:E196)&lt;&gt;COUNT(B196:E196),"Use preços numéricos",IF(OR(AND(ISNUMBER(B196),B196&lt;=0),AND(ISNUMBER(C196),C196&lt;=0),AND(ISNUMBER(D196),D196&lt;=0),AND(ISNUMBER(E196),E196&lt;=0)),"Use preços positivos","")))))))</f>
        <v/>
      </c>
    </row>
    <row r="197" spans="1:11" ht="22.95" customHeight="1">
      <c r="A197" s="28"/>
      <c r="B197" s="29"/>
      <c r="C197" s="29"/>
      <c r="D197" s="29"/>
      <c r="E197" s="30"/>
      <c r="F197" s="22" t="str">
        <f>IF(OR($A197="",B197="",B197&lt;=0,Séries!Q196=""),"",B197/Séries!Q196-1)</f>
        <v/>
      </c>
      <c r="G197" s="22" t="str">
        <f>IF(OR($A197="",C197="",C197&lt;=0,Séries!R196=""),"",C197/Séries!R196-1)</f>
        <v/>
      </c>
      <c r="H197" s="22" t="str">
        <f>IF(OR($A197="",D197="",D197&lt;=0,Séries!S196=""),"",D197/Séries!S196-1)</f>
        <v/>
      </c>
      <c r="I197" s="22" t="str">
        <f>IF(OR($A197="",E197="",E197&lt;=0,Séries!T196=""),"",E197/Séries!T196-1)</f>
        <v/>
      </c>
      <c r="J197" s="27"/>
      <c r="K197" s="1" t="str">
        <f>IF(COUNTA(A197:E197)=0,"",IF(A197="","Preencha a data",IF(NOT(ISNUMBER(A197)),"Data inválida",IF(OR(A197&lt;36526,A197&gt;73050,A197&lt;&gt;INT(A197)),"Data inválida",IF(A197&lt;=Séries!U196,"Data repetida / fora de ordem",IF(COUNTA(B197:E197)&lt;&gt;COUNT(B197:E197),"Use preços numéricos",IF(OR(AND(ISNUMBER(B197),B197&lt;=0),AND(ISNUMBER(C197),C197&lt;=0),AND(ISNUMBER(D197),D197&lt;=0),AND(ISNUMBER(E197),E197&lt;=0)),"Use preços positivos","")))))))</f>
        <v/>
      </c>
    </row>
    <row r="198" spans="1:11" ht="22.95" customHeight="1">
      <c r="A198" s="28"/>
      <c r="B198" s="29"/>
      <c r="C198" s="29"/>
      <c r="D198" s="29"/>
      <c r="E198" s="30"/>
      <c r="F198" s="22" t="str">
        <f>IF(OR($A198="",B198="",B198&lt;=0,Séries!Q197=""),"",B198/Séries!Q197-1)</f>
        <v/>
      </c>
      <c r="G198" s="22" t="str">
        <f>IF(OR($A198="",C198="",C198&lt;=0,Séries!R197=""),"",C198/Séries!R197-1)</f>
        <v/>
      </c>
      <c r="H198" s="22" t="str">
        <f>IF(OR($A198="",D198="",D198&lt;=0,Séries!S197=""),"",D198/Séries!S197-1)</f>
        <v/>
      </c>
      <c r="I198" s="22" t="str">
        <f>IF(OR($A198="",E198="",E198&lt;=0,Séries!T197=""),"",E198/Séries!T197-1)</f>
        <v/>
      </c>
      <c r="J198" s="27"/>
      <c r="K198" s="1" t="str">
        <f>IF(COUNTA(A198:E198)=0,"",IF(A198="","Preencha a data",IF(NOT(ISNUMBER(A198)),"Data inválida",IF(OR(A198&lt;36526,A198&gt;73050,A198&lt;&gt;INT(A198)),"Data inválida",IF(A198&lt;=Séries!U197,"Data repetida / fora de ordem",IF(COUNTA(B198:E198)&lt;&gt;COUNT(B198:E198),"Use preços numéricos",IF(OR(AND(ISNUMBER(B198),B198&lt;=0),AND(ISNUMBER(C198),C198&lt;=0),AND(ISNUMBER(D198),D198&lt;=0),AND(ISNUMBER(E198),E198&lt;=0)),"Use preços positivos","")))))))</f>
        <v/>
      </c>
    </row>
    <row r="199" spans="1:11" ht="22.95" customHeight="1">
      <c r="A199" s="28"/>
      <c r="B199" s="29"/>
      <c r="C199" s="29"/>
      <c r="D199" s="29"/>
      <c r="E199" s="30"/>
      <c r="F199" s="22" t="str">
        <f>IF(OR($A199="",B199="",B199&lt;=0,Séries!Q198=""),"",B199/Séries!Q198-1)</f>
        <v/>
      </c>
      <c r="G199" s="22" t="str">
        <f>IF(OR($A199="",C199="",C199&lt;=0,Séries!R198=""),"",C199/Séries!R198-1)</f>
        <v/>
      </c>
      <c r="H199" s="22" t="str">
        <f>IF(OR($A199="",D199="",D199&lt;=0,Séries!S198=""),"",D199/Séries!S198-1)</f>
        <v/>
      </c>
      <c r="I199" s="22" t="str">
        <f>IF(OR($A199="",E199="",E199&lt;=0,Séries!T198=""),"",E199/Séries!T198-1)</f>
        <v/>
      </c>
      <c r="J199" s="27"/>
      <c r="K199" s="1" t="str">
        <f>IF(COUNTA(A199:E199)=0,"",IF(A199="","Preencha a data",IF(NOT(ISNUMBER(A199)),"Data inválida",IF(OR(A199&lt;36526,A199&gt;73050,A199&lt;&gt;INT(A199)),"Data inválida",IF(A199&lt;=Séries!U198,"Data repetida / fora de ordem",IF(COUNTA(B199:E199)&lt;&gt;COUNT(B199:E199),"Use preços numéricos",IF(OR(AND(ISNUMBER(B199),B199&lt;=0),AND(ISNUMBER(C199),C199&lt;=0),AND(ISNUMBER(D199),D199&lt;=0),AND(ISNUMBER(E199),E199&lt;=0)),"Use preços positivos","")))))))</f>
        <v/>
      </c>
    </row>
    <row r="200" spans="1:11" ht="22.95" customHeight="1">
      <c r="A200" s="28"/>
      <c r="B200" s="29"/>
      <c r="C200" s="29"/>
      <c r="D200" s="29"/>
      <c r="E200" s="30"/>
      <c r="F200" s="22" t="str">
        <f>IF(OR($A200="",B200="",B200&lt;=0,Séries!Q199=""),"",B200/Séries!Q199-1)</f>
        <v/>
      </c>
      <c r="G200" s="22" t="str">
        <f>IF(OR($A200="",C200="",C200&lt;=0,Séries!R199=""),"",C200/Séries!R199-1)</f>
        <v/>
      </c>
      <c r="H200" s="22" t="str">
        <f>IF(OR($A200="",D200="",D200&lt;=0,Séries!S199=""),"",D200/Séries!S199-1)</f>
        <v/>
      </c>
      <c r="I200" s="22" t="str">
        <f>IF(OR($A200="",E200="",E200&lt;=0,Séries!T199=""),"",E200/Séries!T199-1)</f>
        <v/>
      </c>
      <c r="J200" s="27"/>
      <c r="K200" s="1" t="str">
        <f>IF(COUNTA(A200:E200)=0,"",IF(A200="","Preencha a data",IF(NOT(ISNUMBER(A200)),"Data inválida",IF(OR(A200&lt;36526,A200&gt;73050,A200&lt;&gt;INT(A200)),"Data inválida",IF(A200&lt;=Séries!U199,"Data repetida / fora de ordem",IF(COUNTA(B200:E200)&lt;&gt;COUNT(B200:E200),"Use preços numéricos",IF(OR(AND(ISNUMBER(B200),B200&lt;=0),AND(ISNUMBER(C200),C200&lt;=0),AND(ISNUMBER(D200),D200&lt;=0),AND(ISNUMBER(E200),E200&lt;=0)),"Use preços positivos","")))))))</f>
        <v/>
      </c>
    </row>
    <row r="201" spans="1:11" ht="22.95" customHeight="1">
      <c r="A201" s="28"/>
      <c r="B201" s="29"/>
      <c r="C201" s="29"/>
      <c r="D201" s="29"/>
      <c r="E201" s="30"/>
      <c r="F201" s="22" t="str">
        <f>IF(OR($A201="",B201="",B201&lt;=0,Séries!Q200=""),"",B201/Séries!Q200-1)</f>
        <v/>
      </c>
      <c r="G201" s="22" t="str">
        <f>IF(OR($A201="",C201="",C201&lt;=0,Séries!R200=""),"",C201/Séries!R200-1)</f>
        <v/>
      </c>
      <c r="H201" s="22" t="str">
        <f>IF(OR($A201="",D201="",D201&lt;=0,Séries!S200=""),"",D201/Séries!S200-1)</f>
        <v/>
      </c>
      <c r="I201" s="22" t="str">
        <f>IF(OR($A201="",E201="",E201&lt;=0,Séries!T200=""),"",E201/Séries!T200-1)</f>
        <v/>
      </c>
      <c r="J201" s="27"/>
      <c r="K201" s="1" t="str">
        <f>IF(COUNTA(A201:E201)=0,"",IF(A201="","Preencha a data",IF(NOT(ISNUMBER(A201)),"Data inválida",IF(OR(A201&lt;36526,A201&gt;73050,A201&lt;&gt;INT(A201)),"Data inválida",IF(A201&lt;=Séries!U200,"Data repetida / fora de ordem",IF(COUNTA(B201:E201)&lt;&gt;COUNT(B201:E201),"Use preços numéricos",IF(OR(AND(ISNUMBER(B201),B201&lt;=0),AND(ISNUMBER(C201),C201&lt;=0),AND(ISNUMBER(D201),D201&lt;=0),AND(ISNUMBER(E201),E201&lt;=0)),"Use preços positivos","")))))))</f>
        <v/>
      </c>
    </row>
    <row r="202" spans="1:11" ht="22.95" customHeight="1">
      <c r="A202" s="28"/>
      <c r="B202" s="29"/>
      <c r="C202" s="29"/>
      <c r="D202" s="29"/>
      <c r="E202" s="30"/>
      <c r="F202" s="22" t="str">
        <f>IF(OR($A202="",B202="",B202&lt;=0,Séries!Q201=""),"",B202/Séries!Q201-1)</f>
        <v/>
      </c>
      <c r="G202" s="22" t="str">
        <f>IF(OR($A202="",C202="",C202&lt;=0,Séries!R201=""),"",C202/Séries!R201-1)</f>
        <v/>
      </c>
      <c r="H202" s="22" t="str">
        <f>IF(OR($A202="",D202="",D202&lt;=0,Séries!S201=""),"",D202/Séries!S201-1)</f>
        <v/>
      </c>
      <c r="I202" s="22" t="str">
        <f>IF(OR($A202="",E202="",E202&lt;=0,Séries!T201=""),"",E202/Séries!T201-1)</f>
        <v/>
      </c>
      <c r="J202" s="27"/>
      <c r="K202" s="1" t="str">
        <f>IF(COUNTA(A202:E202)=0,"",IF(A202="","Preencha a data",IF(NOT(ISNUMBER(A202)),"Data inválida",IF(OR(A202&lt;36526,A202&gt;73050,A202&lt;&gt;INT(A202)),"Data inválida",IF(A202&lt;=Séries!U201,"Data repetida / fora de ordem",IF(COUNTA(B202:E202)&lt;&gt;COUNT(B202:E202),"Use preços numéricos",IF(OR(AND(ISNUMBER(B202),B202&lt;=0),AND(ISNUMBER(C202),C202&lt;=0),AND(ISNUMBER(D202),D202&lt;=0),AND(ISNUMBER(E202),E202&lt;=0)),"Use preços positivos","")))))))</f>
        <v/>
      </c>
    </row>
    <row r="203" spans="1:11" ht="22.95" customHeight="1">
      <c r="A203" s="28"/>
      <c r="B203" s="29"/>
      <c r="C203" s="29"/>
      <c r="D203" s="29"/>
      <c r="E203" s="30"/>
      <c r="F203" s="22" t="str">
        <f>IF(OR($A203="",B203="",B203&lt;=0,Séries!Q202=""),"",B203/Séries!Q202-1)</f>
        <v/>
      </c>
      <c r="G203" s="22" t="str">
        <f>IF(OR($A203="",C203="",C203&lt;=0,Séries!R202=""),"",C203/Séries!R202-1)</f>
        <v/>
      </c>
      <c r="H203" s="22" t="str">
        <f>IF(OR($A203="",D203="",D203&lt;=0,Séries!S202=""),"",D203/Séries!S202-1)</f>
        <v/>
      </c>
      <c r="I203" s="22" t="str">
        <f>IF(OR($A203="",E203="",E203&lt;=0,Séries!T202=""),"",E203/Séries!T202-1)</f>
        <v/>
      </c>
      <c r="J203" s="27"/>
      <c r="K203" s="1" t="str">
        <f>IF(COUNTA(A203:E203)=0,"",IF(A203="","Preencha a data",IF(NOT(ISNUMBER(A203)),"Data inválida",IF(OR(A203&lt;36526,A203&gt;73050,A203&lt;&gt;INT(A203)),"Data inválida",IF(A203&lt;=Séries!U202,"Data repetida / fora de ordem",IF(COUNTA(B203:E203)&lt;&gt;COUNT(B203:E203),"Use preços numéricos",IF(OR(AND(ISNUMBER(B203),B203&lt;=0),AND(ISNUMBER(C203),C203&lt;=0),AND(ISNUMBER(D203),D203&lt;=0),AND(ISNUMBER(E203),E203&lt;=0)),"Use preços positivos","")))))))</f>
        <v/>
      </c>
    </row>
    <row r="204" spans="1:11" ht="22.95" customHeight="1">
      <c r="A204" s="28"/>
      <c r="B204" s="29"/>
      <c r="C204" s="29"/>
      <c r="D204" s="29"/>
      <c r="E204" s="30"/>
      <c r="F204" s="22" t="str">
        <f>IF(OR($A204="",B204="",B204&lt;=0,Séries!Q203=""),"",B204/Séries!Q203-1)</f>
        <v/>
      </c>
      <c r="G204" s="22" t="str">
        <f>IF(OR($A204="",C204="",C204&lt;=0,Séries!R203=""),"",C204/Séries!R203-1)</f>
        <v/>
      </c>
      <c r="H204" s="22" t="str">
        <f>IF(OR($A204="",D204="",D204&lt;=0,Séries!S203=""),"",D204/Séries!S203-1)</f>
        <v/>
      </c>
      <c r="I204" s="22" t="str">
        <f>IF(OR($A204="",E204="",E204&lt;=0,Séries!T203=""),"",E204/Séries!T203-1)</f>
        <v/>
      </c>
      <c r="J204" s="27"/>
      <c r="K204" s="1" t="str">
        <f>IF(COUNTA(A204:E204)=0,"",IF(A204="","Preencha a data",IF(NOT(ISNUMBER(A204)),"Data inválida",IF(OR(A204&lt;36526,A204&gt;73050,A204&lt;&gt;INT(A204)),"Data inválida",IF(A204&lt;=Séries!U203,"Data repetida / fora de ordem",IF(COUNTA(B204:E204)&lt;&gt;COUNT(B204:E204),"Use preços numéricos",IF(OR(AND(ISNUMBER(B204),B204&lt;=0),AND(ISNUMBER(C204),C204&lt;=0),AND(ISNUMBER(D204),D204&lt;=0),AND(ISNUMBER(E204),E204&lt;=0)),"Use preços positivos","")))))))</f>
        <v/>
      </c>
    </row>
    <row r="205" spans="1:11" ht="22.95" customHeight="1">
      <c r="A205" s="28"/>
      <c r="B205" s="29"/>
      <c r="C205" s="29"/>
      <c r="D205" s="29"/>
      <c r="E205" s="30"/>
      <c r="F205" s="22" t="str">
        <f>IF(OR($A205="",B205="",B205&lt;=0,Séries!Q204=""),"",B205/Séries!Q204-1)</f>
        <v/>
      </c>
      <c r="G205" s="22" t="str">
        <f>IF(OR($A205="",C205="",C205&lt;=0,Séries!R204=""),"",C205/Séries!R204-1)</f>
        <v/>
      </c>
      <c r="H205" s="22" t="str">
        <f>IF(OR($A205="",D205="",D205&lt;=0,Séries!S204=""),"",D205/Séries!S204-1)</f>
        <v/>
      </c>
      <c r="I205" s="22" t="str">
        <f>IF(OR($A205="",E205="",E205&lt;=0,Séries!T204=""),"",E205/Séries!T204-1)</f>
        <v/>
      </c>
      <c r="J205" s="27"/>
      <c r="K205" s="1" t="str">
        <f>IF(COUNTA(A205:E205)=0,"",IF(A205="","Preencha a data",IF(NOT(ISNUMBER(A205)),"Data inválida",IF(OR(A205&lt;36526,A205&gt;73050,A205&lt;&gt;INT(A205)),"Data inválida",IF(A205&lt;=Séries!U204,"Data repetida / fora de ordem",IF(COUNTA(B205:E205)&lt;&gt;COUNT(B205:E205),"Use preços numéricos",IF(OR(AND(ISNUMBER(B205),B205&lt;=0),AND(ISNUMBER(C205),C205&lt;=0),AND(ISNUMBER(D205),D205&lt;=0),AND(ISNUMBER(E205),E205&lt;=0)),"Use preços positivos","")))))))</f>
        <v/>
      </c>
    </row>
    <row r="206" spans="1:11" ht="22.95" customHeight="1">
      <c r="A206" s="28"/>
      <c r="B206" s="29"/>
      <c r="C206" s="29"/>
      <c r="D206" s="29"/>
      <c r="E206" s="30"/>
      <c r="F206" s="22" t="str">
        <f>IF(OR($A206="",B206="",B206&lt;=0,Séries!Q205=""),"",B206/Séries!Q205-1)</f>
        <v/>
      </c>
      <c r="G206" s="22" t="str">
        <f>IF(OR($A206="",C206="",C206&lt;=0,Séries!R205=""),"",C206/Séries!R205-1)</f>
        <v/>
      </c>
      <c r="H206" s="22" t="str">
        <f>IF(OR($A206="",D206="",D206&lt;=0,Séries!S205=""),"",D206/Séries!S205-1)</f>
        <v/>
      </c>
      <c r="I206" s="22" t="str">
        <f>IF(OR($A206="",E206="",E206&lt;=0,Séries!T205=""),"",E206/Séries!T205-1)</f>
        <v/>
      </c>
      <c r="J206" s="27"/>
      <c r="K206" s="1" t="str">
        <f>IF(COUNTA(A206:E206)=0,"",IF(A206="","Preencha a data",IF(NOT(ISNUMBER(A206)),"Data inválida",IF(OR(A206&lt;36526,A206&gt;73050,A206&lt;&gt;INT(A206)),"Data inválida",IF(A206&lt;=Séries!U205,"Data repetida / fora de ordem",IF(COUNTA(B206:E206)&lt;&gt;COUNT(B206:E206),"Use preços numéricos",IF(OR(AND(ISNUMBER(B206),B206&lt;=0),AND(ISNUMBER(C206),C206&lt;=0),AND(ISNUMBER(D206),D206&lt;=0),AND(ISNUMBER(E206),E206&lt;=0)),"Use preços positivos","")))))))</f>
        <v/>
      </c>
    </row>
    <row r="207" spans="1:11" ht="22.95" customHeight="1">
      <c r="A207" s="28"/>
      <c r="B207" s="29"/>
      <c r="C207" s="29"/>
      <c r="D207" s="29"/>
      <c r="E207" s="30"/>
      <c r="F207" s="22" t="str">
        <f>IF(OR($A207="",B207="",B207&lt;=0,Séries!Q206=""),"",B207/Séries!Q206-1)</f>
        <v/>
      </c>
      <c r="G207" s="22" t="str">
        <f>IF(OR($A207="",C207="",C207&lt;=0,Séries!R206=""),"",C207/Séries!R206-1)</f>
        <v/>
      </c>
      <c r="H207" s="22" t="str">
        <f>IF(OR($A207="",D207="",D207&lt;=0,Séries!S206=""),"",D207/Séries!S206-1)</f>
        <v/>
      </c>
      <c r="I207" s="22" t="str">
        <f>IF(OR($A207="",E207="",E207&lt;=0,Séries!T206=""),"",E207/Séries!T206-1)</f>
        <v/>
      </c>
      <c r="J207" s="27"/>
      <c r="K207" s="1" t="str">
        <f>IF(COUNTA(A207:E207)=0,"",IF(A207="","Preencha a data",IF(NOT(ISNUMBER(A207)),"Data inválida",IF(OR(A207&lt;36526,A207&gt;73050,A207&lt;&gt;INT(A207)),"Data inválida",IF(A207&lt;=Séries!U206,"Data repetida / fora de ordem",IF(COUNTA(B207:E207)&lt;&gt;COUNT(B207:E207),"Use preços numéricos",IF(OR(AND(ISNUMBER(B207),B207&lt;=0),AND(ISNUMBER(C207),C207&lt;=0),AND(ISNUMBER(D207),D207&lt;=0),AND(ISNUMBER(E207),E207&lt;=0)),"Use preços positivos","")))))))</f>
        <v/>
      </c>
    </row>
    <row r="208" spans="1:11" ht="22.95" customHeight="1">
      <c r="A208" s="28"/>
      <c r="B208" s="29"/>
      <c r="C208" s="29"/>
      <c r="D208" s="29"/>
      <c r="E208" s="30"/>
      <c r="F208" s="22" t="str">
        <f>IF(OR($A208="",B208="",B208&lt;=0,Séries!Q207=""),"",B208/Séries!Q207-1)</f>
        <v/>
      </c>
      <c r="G208" s="22" t="str">
        <f>IF(OR($A208="",C208="",C208&lt;=0,Séries!R207=""),"",C208/Séries!R207-1)</f>
        <v/>
      </c>
      <c r="H208" s="22" t="str">
        <f>IF(OR($A208="",D208="",D208&lt;=0,Séries!S207=""),"",D208/Séries!S207-1)</f>
        <v/>
      </c>
      <c r="I208" s="22" t="str">
        <f>IF(OR($A208="",E208="",E208&lt;=0,Séries!T207=""),"",E208/Séries!T207-1)</f>
        <v/>
      </c>
      <c r="J208" s="27"/>
      <c r="K208" s="1" t="str">
        <f>IF(COUNTA(A208:E208)=0,"",IF(A208="","Preencha a data",IF(NOT(ISNUMBER(A208)),"Data inválida",IF(OR(A208&lt;36526,A208&gt;73050,A208&lt;&gt;INT(A208)),"Data inválida",IF(A208&lt;=Séries!U207,"Data repetida / fora de ordem",IF(COUNTA(B208:E208)&lt;&gt;COUNT(B208:E208),"Use preços numéricos",IF(OR(AND(ISNUMBER(B208),B208&lt;=0),AND(ISNUMBER(C208),C208&lt;=0),AND(ISNUMBER(D208),D208&lt;=0),AND(ISNUMBER(E208),E208&lt;=0)),"Use preços positivos","")))))))</f>
        <v/>
      </c>
    </row>
    <row r="209" spans="1:11" ht="22.95" customHeight="1">
      <c r="A209" s="28"/>
      <c r="B209" s="29"/>
      <c r="C209" s="29"/>
      <c r="D209" s="29"/>
      <c r="E209" s="30"/>
      <c r="F209" s="22" t="str">
        <f>IF(OR($A209="",B209="",B209&lt;=0,Séries!Q208=""),"",B209/Séries!Q208-1)</f>
        <v/>
      </c>
      <c r="G209" s="22" t="str">
        <f>IF(OR($A209="",C209="",C209&lt;=0,Séries!R208=""),"",C209/Séries!R208-1)</f>
        <v/>
      </c>
      <c r="H209" s="22" t="str">
        <f>IF(OR($A209="",D209="",D209&lt;=0,Séries!S208=""),"",D209/Séries!S208-1)</f>
        <v/>
      </c>
      <c r="I209" s="22" t="str">
        <f>IF(OR($A209="",E209="",E209&lt;=0,Séries!T208=""),"",E209/Séries!T208-1)</f>
        <v/>
      </c>
      <c r="J209" s="27"/>
      <c r="K209" s="1" t="str">
        <f>IF(COUNTA(A209:E209)=0,"",IF(A209="","Preencha a data",IF(NOT(ISNUMBER(A209)),"Data inválida",IF(OR(A209&lt;36526,A209&gt;73050,A209&lt;&gt;INT(A209)),"Data inválida",IF(A209&lt;=Séries!U208,"Data repetida / fora de ordem",IF(COUNTA(B209:E209)&lt;&gt;COUNT(B209:E209),"Use preços numéricos",IF(OR(AND(ISNUMBER(B209),B209&lt;=0),AND(ISNUMBER(C209),C209&lt;=0),AND(ISNUMBER(D209),D209&lt;=0),AND(ISNUMBER(E209),E209&lt;=0)),"Use preços positivos","")))))))</f>
        <v/>
      </c>
    </row>
    <row r="210" spans="1:11" ht="22.95" customHeight="1">
      <c r="A210" s="28"/>
      <c r="B210" s="29"/>
      <c r="C210" s="29"/>
      <c r="D210" s="29"/>
      <c r="E210" s="30"/>
      <c r="F210" s="22" t="str">
        <f>IF(OR($A210="",B210="",B210&lt;=0,Séries!Q209=""),"",B210/Séries!Q209-1)</f>
        <v/>
      </c>
      <c r="G210" s="22" t="str">
        <f>IF(OR($A210="",C210="",C210&lt;=0,Séries!R209=""),"",C210/Séries!R209-1)</f>
        <v/>
      </c>
      <c r="H210" s="22" t="str">
        <f>IF(OR($A210="",D210="",D210&lt;=0,Séries!S209=""),"",D210/Séries!S209-1)</f>
        <v/>
      </c>
      <c r="I210" s="22" t="str">
        <f>IF(OR($A210="",E210="",E210&lt;=0,Séries!T209=""),"",E210/Séries!T209-1)</f>
        <v/>
      </c>
      <c r="J210" s="27"/>
      <c r="K210" s="1" t="str">
        <f>IF(COUNTA(A210:E210)=0,"",IF(A210="","Preencha a data",IF(NOT(ISNUMBER(A210)),"Data inválida",IF(OR(A210&lt;36526,A210&gt;73050,A210&lt;&gt;INT(A210)),"Data inválida",IF(A210&lt;=Séries!U209,"Data repetida / fora de ordem",IF(COUNTA(B210:E210)&lt;&gt;COUNT(B210:E210),"Use preços numéricos",IF(OR(AND(ISNUMBER(B210),B210&lt;=0),AND(ISNUMBER(C210),C210&lt;=0),AND(ISNUMBER(D210),D210&lt;=0),AND(ISNUMBER(E210),E210&lt;=0)),"Use preços positivos","")))))))</f>
        <v/>
      </c>
    </row>
    <row r="211" spans="1:11" ht="22.95" customHeight="1">
      <c r="A211" s="28"/>
      <c r="B211" s="29"/>
      <c r="C211" s="29"/>
      <c r="D211" s="29"/>
      <c r="E211" s="30"/>
      <c r="F211" s="22" t="str">
        <f>IF(OR($A211="",B211="",B211&lt;=0,Séries!Q210=""),"",B211/Séries!Q210-1)</f>
        <v/>
      </c>
      <c r="G211" s="22" t="str">
        <f>IF(OR($A211="",C211="",C211&lt;=0,Séries!R210=""),"",C211/Séries!R210-1)</f>
        <v/>
      </c>
      <c r="H211" s="22" t="str">
        <f>IF(OR($A211="",D211="",D211&lt;=0,Séries!S210=""),"",D211/Séries!S210-1)</f>
        <v/>
      </c>
      <c r="I211" s="22" t="str">
        <f>IF(OR($A211="",E211="",E211&lt;=0,Séries!T210=""),"",E211/Séries!T210-1)</f>
        <v/>
      </c>
      <c r="J211" s="27"/>
      <c r="K211" s="1" t="str">
        <f>IF(COUNTA(A211:E211)=0,"",IF(A211="","Preencha a data",IF(NOT(ISNUMBER(A211)),"Data inválida",IF(OR(A211&lt;36526,A211&gt;73050,A211&lt;&gt;INT(A211)),"Data inválida",IF(A211&lt;=Séries!U210,"Data repetida / fora de ordem",IF(COUNTA(B211:E211)&lt;&gt;COUNT(B211:E211),"Use preços numéricos",IF(OR(AND(ISNUMBER(B211),B211&lt;=0),AND(ISNUMBER(C211),C211&lt;=0),AND(ISNUMBER(D211),D211&lt;=0),AND(ISNUMBER(E211),E211&lt;=0)),"Use preços positivos","")))))))</f>
        <v/>
      </c>
    </row>
    <row r="212" spans="1:11" ht="22.95" customHeight="1">
      <c r="A212" s="28"/>
      <c r="B212" s="29"/>
      <c r="C212" s="29"/>
      <c r="D212" s="29"/>
      <c r="E212" s="30"/>
      <c r="F212" s="22" t="str">
        <f>IF(OR($A212="",B212="",B212&lt;=0,Séries!Q211=""),"",B212/Séries!Q211-1)</f>
        <v/>
      </c>
      <c r="G212" s="22" t="str">
        <f>IF(OR($A212="",C212="",C212&lt;=0,Séries!R211=""),"",C212/Séries!R211-1)</f>
        <v/>
      </c>
      <c r="H212" s="22" t="str">
        <f>IF(OR($A212="",D212="",D212&lt;=0,Séries!S211=""),"",D212/Séries!S211-1)</f>
        <v/>
      </c>
      <c r="I212" s="22" t="str">
        <f>IF(OR($A212="",E212="",E212&lt;=0,Séries!T211=""),"",E212/Séries!T211-1)</f>
        <v/>
      </c>
      <c r="J212" s="27"/>
      <c r="K212" s="1" t="str">
        <f>IF(COUNTA(A212:E212)=0,"",IF(A212="","Preencha a data",IF(NOT(ISNUMBER(A212)),"Data inválida",IF(OR(A212&lt;36526,A212&gt;73050,A212&lt;&gt;INT(A212)),"Data inválida",IF(A212&lt;=Séries!U211,"Data repetida / fora de ordem",IF(COUNTA(B212:E212)&lt;&gt;COUNT(B212:E212),"Use preços numéricos",IF(OR(AND(ISNUMBER(B212),B212&lt;=0),AND(ISNUMBER(C212),C212&lt;=0),AND(ISNUMBER(D212),D212&lt;=0),AND(ISNUMBER(E212),E212&lt;=0)),"Use preços positivos","")))))))</f>
        <v/>
      </c>
    </row>
    <row r="213" spans="1:11" ht="22.95" customHeight="1">
      <c r="A213" s="28"/>
      <c r="B213" s="29"/>
      <c r="C213" s="29"/>
      <c r="D213" s="29"/>
      <c r="E213" s="30"/>
      <c r="F213" s="22" t="str">
        <f>IF(OR($A213="",B213="",B213&lt;=0,Séries!Q212=""),"",B213/Séries!Q212-1)</f>
        <v/>
      </c>
      <c r="G213" s="22" t="str">
        <f>IF(OR($A213="",C213="",C213&lt;=0,Séries!R212=""),"",C213/Séries!R212-1)</f>
        <v/>
      </c>
      <c r="H213" s="22" t="str">
        <f>IF(OR($A213="",D213="",D213&lt;=0,Séries!S212=""),"",D213/Séries!S212-1)</f>
        <v/>
      </c>
      <c r="I213" s="22" t="str">
        <f>IF(OR($A213="",E213="",E213&lt;=0,Séries!T212=""),"",E213/Séries!T212-1)</f>
        <v/>
      </c>
      <c r="J213" s="27"/>
      <c r="K213" s="1" t="str">
        <f>IF(COUNTA(A213:E213)=0,"",IF(A213="","Preencha a data",IF(NOT(ISNUMBER(A213)),"Data inválida",IF(OR(A213&lt;36526,A213&gt;73050,A213&lt;&gt;INT(A213)),"Data inválida",IF(A213&lt;=Séries!U212,"Data repetida / fora de ordem",IF(COUNTA(B213:E213)&lt;&gt;COUNT(B213:E213),"Use preços numéricos",IF(OR(AND(ISNUMBER(B213),B213&lt;=0),AND(ISNUMBER(C213),C213&lt;=0),AND(ISNUMBER(D213),D213&lt;=0),AND(ISNUMBER(E213),E213&lt;=0)),"Use preços positivos","")))))))</f>
        <v/>
      </c>
    </row>
    <row r="214" spans="1:11" ht="22.95" customHeight="1">
      <c r="A214" s="28"/>
      <c r="B214" s="29"/>
      <c r="C214" s="29"/>
      <c r="D214" s="29"/>
      <c r="E214" s="30"/>
      <c r="F214" s="22" t="str">
        <f>IF(OR($A214="",B214="",B214&lt;=0,Séries!Q213=""),"",B214/Séries!Q213-1)</f>
        <v/>
      </c>
      <c r="G214" s="22" t="str">
        <f>IF(OR($A214="",C214="",C214&lt;=0,Séries!R213=""),"",C214/Séries!R213-1)</f>
        <v/>
      </c>
      <c r="H214" s="22" t="str">
        <f>IF(OR($A214="",D214="",D214&lt;=0,Séries!S213=""),"",D214/Séries!S213-1)</f>
        <v/>
      </c>
      <c r="I214" s="22" t="str">
        <f>IF(OR($A214="",E214="",E214&lt;=0,Séries!T213=""),"",E214/Séries!T213-1)</f>
        <v/>
      </c>
      <c r="J214" s="27"/>
      <c r="K214" s="1" t="str">
        <f>IF(COUNTA(A214:E214)=0,"",IF(A214="","Preencha a data",IF(NOT(ISNUMBER(A214)),"Data inválida",IF(OR(A214&lt;36526,A214&gt;73050,A214&lt;&gt;INT(A214)),"Data inválida",IF(A214&lt;=Séries!U213,"Data repetida / fora de ordem",IF(COUNTA(B214:E214)&lt;&gt;COUNT(B214:E214),"Use preços numéricos",IF(OR(AND(ISNUMBER(B214),B214&lt;=0),AND(ISNUMBER(C214),C214&lt;=0),AND(ISNUMBER(D214),D214&lt;=0),AND(ISNUMBER(E214),E214&lt;=0)),"Use preços positivos","")))))))</f>
        <v/>
      </c>
    </row>
    <row r="215" spans="1:11" ht="22.95" customHeight="1">
      <c r="A215" s="28"/>
      <c r="B215" s="29"/>
      <c r="C215" s="29"/>
      <c r="D215" s="29"/>
      <c r="E215" s="30"/>
      <c r="F215" s="22" t="str">
        <f>IF(OR($A215="",B215="",B215&lt;=0,Séries!Q214=""),"",B215/Séries!Q214-1)</f>
        <v/>
      </c>
      <c r="G215" s="22" t="str">
        <f>IF(OR($A215="",C215="",C215&lt;=0,Séries!R214=""),"",C215/Séries!R214-1)</f>
        <v/>
      </c>
      <c r="H215" s="22" t="str">
        <f>IF(OR($A215="",D215="",D215&lt;=0,Séries!S214=""),"",D215/Séries!S214-1)</f>
        <v/>
      </c>
      <c r="I215" s="22" t="str">
        <f>IF(OR($A215="",E215="",E215&lt;=0,Séries!T214=""),"",E215/Séries!T214-1)</f>
        <v/>
      </c>
      <c r="J215" s="27"/>
      <c r="K215" s="1" t="str">
        <f>IF(COUNTA(A215:E215)=0,"",IF(A215="","Preencha a data",IF(NOT(ISNUMBER(A215)),"Data inválida",IF(OR(A215&lt;36526,A215&gt;73050,A215&lt;&gt;INT(A215)),"Data inválida",IF(A215&lt;=Séries!U214,"Data repetida / fora de ordem",IF(COUNTA(B215:E215)&lt;&gt;COUNT(B215:E215),"Use preços numéricos",IF(OR(AND(ISNUMBER(B215),B215&lt;=0),AND(ISNUMBER(C215),C215&lt;=0),AND(ISNUMBER(D215),D215&lt;=0),AND(ISNUMBER(E215),E215&lt;=0)),"Use preços positivos","")))))))</f>
        <v/>
      </c>
    </row>
    <row r="216" spans="1:11" ht="22.95" customHeight="1">
      <c r="A216" s="28"/>
      <c r="B216" s="29"/>
      <c r="C216" s="29"/>
      <c r="D216" s="29"/>
      <c r="E216" s="30"/>
      <c r="F216" s="22" t="str">
        <f>IF(OR($A216="",B216="",B216&lt;=0,Séries!Q215=""),"",B216/Séries!Q215-1)</f>
        <v/>
      </c>
      <c r="G216" s="22" t="str">
        <f>IF(OR($A216="",C216="",C216&lt;=0,Séries!R215=""),"",C216/Séries!R215-1)</f>
        <v/>
      </c>
      <c r="H216" s="22" t="str">
        <f>IF(OR($A216="",D216="",D216&lt;=0,Séries!S215=""),"",D216/Séries!S215-1)</f>
        <v/>
      </c>
      <c r="I216" s="22" t="str">
        <f>IF(OR($A216="",E216="",E216&lt;=0,Séries!T215=""),"",E216/Séries!T215-1)</f>
        <v/>
      </c>
      <c r="J216" s="27"/>
      <c r="K216" s="1" t="str">
        <f>IF(COUNTA(A216:E216)=0,"",IF(A216="","Preencha a data",IF(NOT(ISNUMBER(A216)),"Data inválida",IF(OR(A216&lt;36526,A216&gt;73050,A216&lt;&gt;INT(A216)),"Data inválida",IF(A216&lt;=Séries!U215,"Data repetida / fora de ordem",IF(COUNTA(B216:E216)&lt;&gt;COUNT(B216:E216),"Use preços numéricos",IF(OR(AND(ISNUMBER(B216),B216&lt;=0),AND(ISNUMBER(C216),C216&lt;=0),AND(ISNUMBER(D216),D216&lt;=0),AND(ISNUMBER(E216),E216&lt;=0)),"Use preços positivos","")))))))</f>
        <v/>
      </c>
    </row>
    <row r="217" spans="1:11" ht="22.95" customHeight="1">
      <c r="A217" s="28"/>
      <c r="B217" s="29"/>
      <c r="C217" s="29"/>
      <c r="D217" s="29"/>
      <c r="E217" s="30"/>
      <c r="F217" s="22" t="str">
        <f>IF(OR($A217="",B217="",B217&lt;=0,Séries!Q216=""),"",B217/Séries!Q216-1)</f>
        <v/>
      </c>
      <c r="G217" s="22" t="str">
        <f>IF(OR($A217="",C217="",C217&lt;=0,Séries!R216=""),"",C217/Séries!R216-1)</f>
        <v/>
      </c>
      <c r="H217" s="22" t="str">
        <f>IF(OR($A217="",D217="",D217&lt;=0,Séries!S216=""),"",D217/Séries!S216-1)</f>
        <v/>
      </c>
      <c r="I217" s="22" t="str">
        <f>IF(OR($A217="",E217="",E217&lt;=0,Séries!T216=""),"",E217/Séries!T216-1)</f>
        <v/>
      </c>
      <c r="J217" s="27"/>
      <c r="K217" s="1" t="str">
        <f>IF(COUNTA(A217:E217)=0,"",IF(A217="","Preencha a data",IF(NOT(ISNUMBER(A217)),"Data inválida",IF(OR(A217&lt;36526,A217&gt;73050,A217&lt;&gt;INT(A217)),"Data inválida",IF(A217&lt;=Séries!U216,"Data repetida / fora de ordem",IF(COUNTA(B217:E217)&lt;&gt;COUNT(B217:E217),"Use preços numéricos",IF(OR(AND(ISNUMBER(B217),B217&lt;=0),AND(ISNUMBER(C217),C217&lt;=0),AND(ISNUMBER(D217),D217&lt;=0),AND(ISNUMBER(E217),E217&lt;=0)),"Use preços positivos","")))))))</f>
        <v/>
      </c>
    </row>
    <row r="218" spans="1:11" ht="22.95" customHeight="1">
      <c r="A218" s="28"/>
      <c r="B218" s="29"/>
      <c r="C218" s="29"/>
      <c r="D218" s="29"/>
      <c r="E218" s="30"/>
      <c r="F218" s="22" t="str">
        <f>IF(OR($A218="",B218="",B218&lt;=0,Séries!Q217=""),"",B218/Séries!Q217-1)</f>
        <v/>
      </c>
      <c r="G218" s="22" t="str">
        <f>IF(OR($A218="",C218="",C218&lt;=0,Séries!R217=""),"",C218/Séries!R217-1)</f>
        <v/>
      </c>
      <c r="H218" s="22" t="str">
        <f>IF(OR($A218="",D218="",D218&lt;=0,Séries!S217=""),"",D218/Séries!S217-1)</f>
        <v/>
      </c>
      <c r="I218" s="22" t="str">
        <f>IF(OR($A218="",E218="",E218&lt;=0,Séries!T217=""),"",E218/Séries!T217-1)</f>
        <v/>
      </c>
      <c r="J218" s="27"/>
      <c r="K218" s="1" t="str">
        <f>IF(COUNTA(A218:E218)=0,"",IF(A218="","Preencha a data",IF(NOT(ISNUMBER(A218)),"Data inválida",IF(OR(A218&lt;36526,A218&gt;73050,A218&lt;&gt;INT(A218)),"Data inválida",IF(A218&lt;=Séries!U217,"Data repetida / fora de ordem",IF(COUNTA(B218:E218)&lt;&gt;COUNT(B218:E218),"Use preços numéricos",IF(OR(AND(ISNUMBER(B218),B218&lt;=0),AND(ISNUMBER(C218),C218&lt;=0),AND(ISNUMBER(D218),D218&lt;=0),AND(ISNUMBER(E218),E218&lt;=0)),"Use preços positivos","")))))))</f>
        <v/>
      </c>
    </row>
    <row r="219" spans="1:11" ht="22.95" customHeight="1">
      <c r="A219" s="28"/>
      <c r="B219" s="29"/>
      <c r="C219" s="29"/>
      <c r="D219" s="29"/>
      <c r="E219" s="30"/>
      <c r="F219" s="22" t="str">
        <f>IF(OR($A219="",B219="",B219&lt;=0,Séries!Q218=""),"",B219/Séries!Q218-1)</f>
        <v/>
      </c>
      <c r="G219" s="22" t="str">
        <f>IF(OR($A219="",C219="",C219&lt;=0,Séries!R218=""),"",C219/Séries!R218-1)</f>
        <v/>
      </c>
      <c r="H219" s="22" t="str">
        <f>IF(OR($A219="",D219="",D219&lt;=0,Séries!S218=""),"",D219/Séries!S218-1)</f>
        <v/>
      </c>
      <c r="I219" s="22" t="str">
        <f>IF(OR($A219="",E219="",E219&lt;=0,Séries!T218=""),"",E219/Séries!T218-1)</f>
        <v/>
      </c>
      <c r="J219" s="27"/>
      <c r="K219" s="1" t="str">
        <f>IF(COUNTA(A219:E219)=0,"",IF(A219="","Preencha a data",IF(NOT(ISNUMBER(A219)),"Data inválida",IF(OR(A219&lt;36526,A219&gt;73050,A219&lt;&gt;INT(A219)),"Data inválida",IF(A219&lt;=Séries!U218,"Data repetida / fora de ordem",IF(COUNTA(B219:E219)&lt;&gt;COUNT(B219:E219),"Use preços numéricos",IF(OR(AND(ISNUMBER(B219),B219&lt;=0),AND(ISNUMBER(C219),C219&lt;=0),AND(ISNUMBER(D219),D219&lt;=0),AND(ISNUMBER(E219),E219&lt;=0)),"Use preços positivos","")))))))</f>
        <v/>
      </c>
    </row>
    <row r="220" spans="1:11" ht="22.95" customHeight="1">
      <c r="A220" s="28"/>
      <c r="B220" s="29"/>
      <c r="C220" s="29"/>
      <c r="D220" s="29"/>
      <c r="E220" s="30"/>
      <c r="F220" s="22" t="str">
        <f>IF(OR($A220="",B220="",B220&lt;=0,Séries!Q219=""),"",B220/Séries!Q219-1)</f>
        <v/>
      </c>
      <c r="G220" s="22" t="str">
        <f>IF(OR($A220="",C220="",C220&lt;=0,Séries!R219=""),"",C220/Séries!R219-1)</f>
        <v/>
      </c>
      <c r="H220" s="22" t="str">
        <f>IF(OR($A220="",D220="",D220&lt;=0,Séries!S219=""),"",D220/Séries!S219-1)</f>
        <v/>
      </c>
      <c r="I220" s="22" t="str">
        <f>IF(OR($A220="",E220="",E220&lt;=0,Séries!T219=""),"",E220/Séries!T219-1)</f>
        <v/>
      </c>
      <c r="J220" s="27"/>
      <c r="K220" s="1" t="str">
        <f>IF(COUNTA(A220:E220)=0,"",IF(A220="","Preencha a data",IF(NOT(ISNUMBER(A220)),"Data inválida",IF(OR(A220&lt;36526,A220&gt;73050,A220&lt;&gt;INT(A220)),"Data inválida",IF(A220&lt;=Séries!U219,"Data repetida / fora de ordem",IF(COUNTA(B220:E220)&lt;&gt;COUNT(B220:E220),"Use preços numéricos",IF(OR(AND(ISNUMBER(B220),B220&lt;=0),AND(ISNUMBER(C220),C220&lt;=0),AND(ISNUMBER(D220),D220&lt;=0),AND(ISNUMBER(E220),E220&lt;=0)),"Use preços positivos","")))))))</f>
        <v/>
      </c>
    </row>
    <row r="221" spans="1:11" ht="22.95" customHeight="1">
      <c r="A221" s="28"/>
      <c r="B221" s="29"/>
      <c r="C221" s="29"/>
      <c r="D221" s="29"/>
      <c r="E221" s="30"/>
      <c r="F221" s="22" t="str">
        <f>IF(OR($A221="",B221="",B221&lt;=0,Séries!Q220=""),"",B221/Séries!Q220-1)</f>
        <v/>
      </c>
      <c r="G221" s="22" t="str">
        <f>IF(OR($A221="",C221="",C221&lt;=0,Séries!R220=""),"",C221/Séries!R220-1)</f>
        <v/>
      </c>
      <c r="H221" s="22" t="str">
        <f>IF(OR($A221="",D221="",D221&lt;=0,Séries!S220=""),"",D221/Séries!S220-1)</f>
        <v/>
      </c>
      <c r="I221" s="22" t="str">
        <f>IF(OR($A221="",E221="",E221&lt;=0,Séries!T220=""),"",E221/Séries!T220-1)</f>
        <v/>
      </c>
      <c r="J221" s="27"/>
      <c r="K221" s="1" t="str">
        <f>IF(COUNTA(A221:E221)=0,"",IF(A221="","Preencha a data",IF(NOT(ISNUMBER(A221)),"Data inválida",IF(OR(A221&lt;36526,A221&gt;73050,A221&lt;&gt;INT(A221)),"Data inválida",IF(A221&lt;=Séries!U220,"Data repetida / fora de ordem",IF(COUNTA(B221:E221)&lt;&gt;COUNT(B221:E221),"Use preços numéricos",IF(OR(AND(ISNUMBER(B221),B221&lt;=0),AND(ISNUMBER(C221),C221&lt;=0),AND(ISNUMBER(D221),D221&lt;=0),AND(ISNUMBER(E221),E221&lt;=0)),"Use preços positivos","")))))))</f>
        <v/>
      </c>
    </row>
    <row r="222" spans="1:11" ht="22.95" customHeight="1">
      <c r="A222" s="28"/>
      <c r="B222" s="29"/>
      <c r="C222" s="29"/>
      <c r="D222" s="29"/>
      <c r="E222" s="30"/>
      <c r="F222" s="22" t="str">
        <f>IF(OR($A222="",B222="",B222&lt;=0,Séries!Q221=""),"",B222/Séries!Q221-1)</f>
        <v/>
      </c>
      <c r="G222" s="22" t="str">
        <f>IF(OR($A222="",C222="",C222&lt;=0,Séries!R221=""),"",C222/Séries!R221-1)</f>
        <v/>
      </c>
      <c r="H222" s="22" t="str">
        <f>IF(OR($A222="",D222="",D222&lt;=0,Séries!S221=""),"",D222/Séries!S221-1)</f>
        <v/>
      </c>
      <c r="I222" s="22" t="str">
        <f>IF(OR($A222="",E222="",E222&lt;=0,Séries!T221=""),"",E222/Séries!T221-1)</f>
        <v/>
      </c>
      <c r="J222" s="27"/>
      <c r="K222" s="1" t="str">
        <f>IF(COUNTA(A222:E222)=0,"",IF(A222="","Preencha a data",IF(NOT(ISNUMBER(A222)),"Data inválida",IF(OR(A222&lt;36526,A222&gt;73050,A222&lt;&gt;INT(A222)),"Data inválida",IF(A222&lt;=Séries!U221,"Data repetida / fora de ordem",IF(COUNTA(B222:E222)&lt;&gt;COUNT(B222:E222),"Use preços numéricos",IF(OR(AND(ISNUMBER(B222),B222&lt;=0),AND(ISNUMBER(C222),C222&lt;=0),AND(ISNUMBER(D222),D222&lt;=0),AND(ISNUMBER(E222),E222&lt;=0)),"Use preços positivos","")))))))</f>
        <v/>
      </c>
    </row>
    <row r="223" spans="1:11" ht="22.95" customHeight="1">
      <c r="A223" s="28"/>
      <c r="B223" s="29"/>
      <c r="C223" s="29"/>
      <c r="D223" s="29"/>
      <c r="E223" s="30"/>
      <c r="F223" s="22" t="str">
        <f>IF(OR($A223="",B223="",B223&lt;=0,Séries!Q222=""),"",B223/Séries!Q222-1)</f>
        <v/>
      </c>
      <c r="G223" s="22" t="str">
        <f>IF(OR($A223="",C223="",C223&lt;=0,Séries!R222=""),"",C223/Séries!R222-1)</f>
        <v/>
      </c>
      <c r="H223" s="22" t="str">
        <f>IF(OR($A223="",D223="",D223&lt;=0,Séries!S222=""),"",D223/Séries!S222-1)</f>
        <v/>
      </c>
      <c r="I223" s="22" t="str">
        <f>IF(OR($A223="",E223="",E223&lt;=0,Séries!T222=""),"",E223/Séries!T222-1)</f>
        <v/>
      </c>
      <c r="J223" s="27"/>
      <c r="K223" s="1" t="str">
        <f>IF(COUNTA(A223:E223)=0,"",IF(A223="","Preencha a data",IF(NOT(ISNUMBER(A223)),"Data inválida",IF(OR(A223&lt;36526,A223&gt;73050,A223&lt;&gt;INT(A223)),"Data inválida",IF(A223&lt;=Séries!U222,"Data repetida / fora de ordem",IF(COUNTA(B223:E223)&lt;&gt;COUNT(B223:E223),"Use preços numéricos",IF(OR(AND(ISNUMBER(B223),B223&lt;=0),AND(ISNUMBER(C223),C223&lt;=0),AND(ISNUMBER(D223),D223&lt;=0),AND(ISNUMBER(E223),E223&lt;=0)),"Use preços positivos","")))))))</f>
        <v/>
      </c>
    </row>
    <row r="224" spans="1:11" ht="22.95" customHeight="1">
      <c r="A224" s="28"/>
      <c r="B224" s="29"/>
      <c r="C224" s="29"/>
      <c r="D224" s="29"/>
      <c r="E224" s="30"/>
      <c r="F224" s="22" t="str">
        <f>IF(OR($A224="",B224="",B224&lt;=0,Séries!Q223=""),"",B224/Séries!Q223-1)</f>
        <v/>
      </c>
      <c r="G224" s="22" t="str">
        <f>IF(OR($A224="",C224="",C224&lt;=0,Séries!R223=""),"",C224/Séries!R223-1)</f>
        <v/>
      </c>
      <c r="H224" s="22" t="str">
        <f>IF(OR($A224="",D224="",D224&lt;=0,Séries!S223=""),"",D224/Séries!S223-1)</f>
        <v/>
      </c>
      <c r="I224" s="22" t="str">
        <f>IF(OR($A224="",E224="",E224&lt;=0,Séries!T223=""),"",E224/Séries!T223-1)</f>
        <v/>
      </c>
      <c r="J224" s="27"/>
      <c r="K224" s="1" t="str">
        <f>IF(COUNTA(A224:E224)=0,"",IF(A224="","Preencha a data",IF(NOT(ISNUMBER(A224)),"Data inválida",IF(OR(A224&lt;36526,A224&gt;73050,A224&lt;&gt;INT(A224)),"Data inválida",IF(A224&lt;=Séries!U223,"Data repetida / fora de ordem",IF(COUNTA(B224:E224)&lt;&gt;COUNT(B224:E224),"Use preços numéricos",IF(OR(AND(ISNUMBER(B224),B224&lt;=0),AND(ISNUMBER(C224),C224&lt;=0),AND(ISNUMBER(D224),D224&lt;=0),AND(ISNUMBER(E224),E224&lt;=0)),"Use preços positivos","")))))))</f>
        <v/>
      </c>
    </row>
    <row r="225" spans="1:11" ht="22.95" customHeight="1">
      <c r="A225" s="28"/>
      <c r="B225" s="29"/>
      <c r="C225" s="29"/>
      <c r="D225" s="29"/>
      <c r="E225" s="30"/>
      <c r="F225" s="22" t="str">
        <f>IF(OR($A225="",B225="",B225&lt;=0,Séries!Q224=""),"",B225/Séries!Q224-1)</f>
        <v/>
      </c>
      <c r="G225" s="22" t="str">
        <f>IF(OR($A225="",C225="",C225&lt;=0,Séries!R224=""),"",C225/Séries!R224-1)</f>
        <v/>
      </c>
      <c r="H225" s="22" t="str">
        <f>IF(OR($A225="",D225="",D225&lt;=0,Séries!S224=""),"",D225/Séries!S224-1)</f>
        <v/>
      </c>
      <c r="I225" s="22" t="str">
        <f>IF(OR($A225="",E225="",E225&lt;=0,Séries!T224=""),"",E225/Séries!T224-1)</f>
        <v/>
      </c>
      <c r="J225" s="27"/>
      <c r="K225" s="1" t="str">
        <f>IF(COUNTA(A225:E225)=0,"",IF(A225="","Preencha a data",IF(NOT(ISNUMBER(A225)),"Data inválida",IF(OR(A225&lt;36526,A225&gt;73050,A225&lt;&gt;INT(A225)),"Data inválida",IF(A225&lt;=Séries!U224,"Data repetida / fora de ordem",IF(COUNTA(B225:E225)&lt;&gt;COUNT(B225:E225),"Use preços numéricos",IF(OR(AND(ISNUMBER(B225),B225&lt;=0),AND(ISNUMBER(C225),C225&lt;=0),AND(ISNUMBER(D225),D225&lt;=0),AND(ISNUMBER(E225),E225&lt;=0)),"Use preços positivos","")))))))</f>
        <v/>
      </c>
    </row>
    <row r="226" spans="1:11" ht="22.95" customHeight="1">
      <c r="A226" s="28"/>
      <c r="B226" s="29"/>
      <c r="C226" s="29"/>
      <c r="D226" s="29"/>
      <c r="E226" s="30"/>
      <c r="F226" s="22" t="str">
        <f>IF(OR($A226="",B226="",B226&lt;=0,Séries!Q225=""),"",B226/Séries!Q225-1)</f>
        <v/>
      </c>
      <c r="G226" s="22" t="str">
        <f>IF(OR($A226="",C226="",C226&lt;=0,Séries!R225=""),"",C226/Séries!R225-1)</f>
        <v/>
      </c>
      <c r="H226" s="22" t="str">
        <f>IF(OR($A226="",D226="",D226&lt;=0,Séries!S225=""),"",D226/Séries!S225-1)</f>
        <v/>
      </c>
      <c r="I226" s="22" t="str">
        <f>IF(OR($A226="",E226="",E226&lt;=0,Séries!T225=""),"",E226/Séries!T225-1)</f>
        <v/>
      </c>
      <c r="J226" s="27"/>
      <c r="K226" s="1" t="str">
        <f>IF(COUNTA(A226:E226)=0,"",IF(A226="","Preencha a data",IF(NOT(ISNUMBER(A226)),"Data inválida",IF(OR(A226&lt;36526,A226&gt;73050,A226&lt;&gt;INT(A226)),"Data inválida",IF(A226&lt;=Séries!U225,"Data repetida / fora de ordem",IF(COUNTA(B226:E226)&lt;&gt;COUNT(B226:E226),"Use preços numéricos",IF(OR(AND(ISNUMBER(B226),B226&lt;=0),AND(ISNUMBER(C226),C226&lt;=0),AND(ISNUMBER(D226),D226&lt;=0),AND(ISNUMBER(E226),E226&lt;=0)),"Use preços positivos","")))))))</f>
        <v/>
      </c>
    </row>
    <row r="227" spans="1:11" ht="22.95" customHeight="1">
      <c r="A227" s="28"/>
      <c r="B227" s="29"/>
      <c r="C227" s="29"/>
      <c r="D227" s="29"/>
      <c r="E227" s="30"/>
      <c r="F227" s="22" t="str">
        <f>IF(OR($A227="",B227="",B227&lt;=0,Séries!Q226=""),"",B227/Séries!Q226-1)</f>
        <v/>
      </c>
      <c r="G227" s="22" t="str">
        <f>IF(OR($A227="",C227="",C227&lt;=0,Séries!R226=""),"",C227/Séries!R226-1)</f>
        <v/>
      </c>
      <c r="H227" s="22" t="str">
        <f>IF(OR($A227="",D227="",D227&lt;=0,Séries!S226=""),"",D227/Séries!S226-1)</f>
        <v/>
      </c>
      <c r="I227" s="22" t="str">
        <f>IF(OR($A227="",E227="",E227&lt;=0,Séries!T226=""),"",E227/Séries!T226-1)</f>
        <v/>
      </c>
      <c r="J227" s="27"/>
      <c r="K227" s="1" t="str">
        <f>IF(COUNTA(A227:E227)=0,"",IF(A227="","Preencha a data",IF(NOT(ISNUMBER(A227)),"Data inválida",IF(OR(A227&lt;36526,A227&gt;73050,A227&lt;&gt;INT(A227)),"Data inválida",IF(A227&lt;=Séries!U226,"Data repetida / fora de ordem",IF(COUNTA(B227:E227)&lt;&gt;COUNT(B227:E227),"Use preços numéricos",IF(OR(AND(ISNUMBER(B227),B227&lt;=0),AND(ISNUMBER(C227),C227&lt;=0),AND(ISNUMBER(D227),D227&lt;=0),AND(ISNUMBER(E227),E227&lt;=0)),"Use preços positivos","")))))))</f>
        <v/>
      </c>
    </row>
    <row r="228" spans="1:11" ht="22.95" customHeight="1">
      <c r="A228" s="28"/>
      <c r="B228" s="29"/>
      <c r="C228" s="29"/>
      <c r="D228" s="29"/>
      <c r="E228" s="30"/>
      <c r="F228" s="22" t="str">
        <f>IF(OR($A228="",B228="",B228&lt;=0,Séries!Q227=""),"",B228/Séries!Q227-1)</f>
        <v/>
      </c>
      <c r="G228" s="22" t="str">
        <f>IF(OR($A228="",C228="",C228&lt;=0,Séries!R227=""),"",C228/Séries!R227-1)</f>
        <v/>
      </c>
      <c r="H228" s="22" t="str">
        <f>IF(OR($A228="",D228="",D228&lt;=0,Séries!S227=""),"",D228/Séries!S227-1)</f>
        <v/>
      </c>
      <c r="I228" s="22" t="str">
        <f>IF(OR($A228="",E228="",E228&lt;=0,Séries!T227=""),"",E228/Séries!T227-1)</f>
        <v/>
      </c>
      <c r="J228" s="27"/>
      <c r="K228" s="1" t="str">
        <f>IF(COUNTA(A228:E228)=0,"",IF(A228="","Preencha a data",IF(NOT(ISNUMBER(A228)),"Data inválida",IF(OR(A228&lt;36526,A228&gt;73050,A228&lt;&gt;INT(A228)),"Data inválida",IF(A228&lt;=Séries!U227,"Data repetida / fora de ordem",IF(COUNTA(B228:E228)&lt;&gt;COUNT(B228:E228),"Use preços numéricos",IF(OR(AND(ISNUMBER(B228),B228&lt;=0),AND(ISNUMBER(C228),C228&lt;=0),AND(ISNUMBER(D228),D228&lt;=0),AND(ISNUMBER(E228),E228&lt;=0)),"Use preços positivos","")))))))</f>
        <v/>
      </c>
    </row>
    <row r="229" spans="1:11" ht="22.95" customHeight="1">
      <c r="A229" s="28"/>
      <c r="B229" s="29"/>
      <c r="C229" s="29"/>
      <c r="D229" s="29"/>
      <c r="E229" s="30"/>
      <c r="F229" s="22" t="str">
        <f>IF(OR($A229="",B229="",B229&lt;=0,Séries!Q228=""),"",B229/Séries!Q228-1)</f>
        <v/>
      </c>
      <c r="G229" s="22" t="str">
        <f>IF(OR($A229="",C229="",C229&lt;=0,Séries!R228=""),"",C229/Séries!R228-1)</f>
        <v/>
      </c>
      <c r="H229" s="22" t="str">
        <f>IF(OR($A229="",D229="",D229&lt;=0,Séries!S228=""),"",D229/Séries!S228-1)</f>
        <v/>
      </c>
      <c r="I229" s="22" t="str">
        <f>IF(OR($A229="",E229="",E229&lt;=0,Séries!T228=""),"",E229/Séries!T228-1)</f>
        <v/>
      </c>
      <c r="J229" s="27"/>
      <c r="K229" s="1" t="str">
        <f>IF(COUNTA(A229:E229)=0,"",IF(A229="","Preencha a data",IF(NOT(ISNUMBER(A229)),"Data inválida",IF(OR(A229&lt;36526,A229&gt;73050,A229&lt;&gt;INT(A229)),"Data inválida",IF(A229&lt;=Séries!U228,"Data repetida / fora de ordem",IF(COUNTA(B229:E229)&lt;&gt;COUNT(B229:E229),"Use preços numéricos",IF(OR(AND(ISNUMBER(B229),B229&lt;=0),AND(ISNUMBER(C229),C229&lt;=0),AND(ISNUMBER(D229),D229&lt;=0),AND(ISNUMBER(E229),E229&lt;=0)),"Use preços positivos","")))))))</f>
        <v/>
      </c>
    </row>
    <row r="230" spans="1:11" ht="22.95" customHeight="1">
      <c r="A230" s="28"/>
      <c r="B230" s="29"/>
      <c r="C230" s="29"/>
      <c r="D230" s="29"/>
      <c r="E230" s="30"/>
      <c r="F230" s="22" t="str">
        <f>IF(OR($A230="",B230="",B230&lt;=0,Séries!Q229=""),"",B230/Séries!Q229-1)</f>
        <v/>
      </c>
      <c r="G230" s="22" t="str">
        <f>IF(OR($A230="",C230="",C230&lt;=0,Séries!R229=""),"",C230/Séries!R229-1)</f>
        <v/>
      </c>
      <c r="H230" s="22" t="str">
        <f>IF(OR($A230="",D230="",D230&lt;=0,Séries!S229=""),"",D230/Séries!S229-1)</f>
        <v/>
      </c>
      <c r="I230" s="22" t="str">
        <f>IF(OR($A230="",E230="",E230&lt;=0,Séries!T229=""),"",E230/Séries!T229-1)</f>
        <v/>
      </c>
      <c r="J230" s="27"/>
      <c r="K230" s="1" t="str">
        <f>IF(COUNTA(A230:E230)=0,"",IF(A230="","Preencha a data",IF(NOT(ISNUMBER(A230)),"Data inválida",IF(OR(A230&lt;36526,A230&gt;73050,A230&lt;&gt;INT(A230)),"Data inválida",IF(A230&lt;=Séries!U229,"Data repetida / fora de ordem",IF(COUNTA(B230:E230)&lt;&gt;COUNT(B230:E230),"Use preços numéricos",IF(OR(AND(ISNUMBER(B230),B230&lt;=0),AND(ISNUMBER(C230),C230&lt;=0),AND(ISNUMBER(D230),D230&lt;=0),AND(ISNUMBER(E230),E230&lt;=0)),"Use preços positivos","")))))))</f>
        <v/>
      </c>
    </row>
    <row r="231" spans="1:11" ht="22.95" customHeight="1">
      <c r="A231" s="28"/>
      <c r="B231" s="29"/>
      <c r="C231" s="29"/>
      <c r="D231" s="29"/>
      <c r="E231" s="30"/>
      <c r="F231" s="22" t="str">
        <f>IF(OR($A231="",B231="",B231&lt;=0,Séries!Q230=""),"",B231/Séries!Q230-1)</f>
        <v/>
      </c>
      <c r="G231" s="22" t="str">
        <f>IF(OR($A231="",C231="",C231&lt;=0,Séries!R230=""),"",C231/Séries!R230-1)</f>
        <v/>
      </c>
      <c r="H231" s="22" t="str">
        <f>IF(OR($A231="",D231="",D231&lt;=0,Séries!S230=""),"",D231/Séries!S230-1)</f>
        <v/>
      </c>
      <c r="I231" s="22" t="str">
        <f>IF(OR($A231="",E231="",E231&lt;=0,Séries!T230=""),"",E231/Séries!T230-1)</f>
        <v/>
      </c>
      <c r="J231" s="27"/>
      <c r="K231" s="1" t="str">
        <f>IF(COUNTA(A231:E231)=0,"",IF(A231="","Preencha a data",IF(NOT(ISNUMBER(A231)),"Data inválida",IF(OR(A231&lt;36526,A231&gt;73050,A231&lt;&gt;INT(A231)),"Data inválida",IF(A231&lt;=Séries!U230,"Data repetida / fora de ordem",IF(COUNTA(B231:E231)&lt;&gt;COUNT(B231:E231),"Use preços numéricos",IF(OR(AND(ISNUMBER(B231),B231&lt;=0),AND(ISNUMBER(C231),C231&lt;=0),AND(ISNUMBER(D231),D231&lt;=0),AND(ISNUMBER(E231),E231&lt;=0)),"Use preços positivos","")))))))</f>
        <v/>
      </c>
    </row>
    <row r="232" spans="1:11" ht="22.95" customHeight="1">
      <c r="A232" s="28"/>
      <c r="B232" s="29"/>
      <c r="C232" s="29"/>
      <c r="D232" s="29"/>
      <c r="E232" s="30"/>
      <c r="F232" s="22" t="str">
        <f>IF(OR($A232="",B232="",B232&lt;=0,Séries!Q231=""),"",B232/Séries!Q231-1)</f>
        <v/>
      </c>
      <c r="G232" s="22" t="str">
        <f>IF(OR($A232="",C232="",C232&lt;=0,Séries!R231=""),"",C232/Séries!R231-1)</f>
        <v/>
      </c>
      <c r="H232" s="22" t="str">
        <f>IF(OR($A232="",D232="",D232&lt;=0,Séries!S231=""),"",D232/Séries!S231-1)</f>
        <v/>
      </c>
      <c r="I232" s="22" t="str">
        <f>IF(OR($A232="",E232="",E232&lt;=0,Séries!T231=""),"",E232/Séries!T231-1)</f>
        <v/>
      </c>
      <c r="J232" s="27"/>
      <c r="K232" s="1" t="str">
        <f>IF(COUNTA(A232:E232)=0,"",IF(A232="","Preencha a data",IF(NOT(ISNUMBER(A232)),"Data inválida",IF(OR(A232&lt;36526,A232&gt;73050,A232&lt;&gt;INT(A232)),"Data inválida",IF(A232&lt;=Séries!U231,"Data repetida / fora de ordem",IF(COUNTA(B232:E232)&lt;&gt;COUNT(B232:E232),"Use preços numéricos",IF(OR(AND(ISNUMBER(B232),B232&lt;=0),AND(ISNUMBER(C232),C232&lt;=0),AND(ISNUMBER(D232),D232&lt;=0),AND(ISNUMBER(E232),E232&lt;=0)),"Use preços positivos","")))))))</f>
        <v/>
      </c>
    </row>
    <row r="233" spans="1:11" ht="22.95" customHeight="1">
      <c r="A233" s="28"/>
      <c r="B233" s="29"/>
      <c r="C233" s="29"/>
      <c r="D233" s="29"/>
      <c r="E233" s="30"/>
      <c r="F233" s="22" t="str">
        <f>IF(OR($A233="",B233="",B233&lt;=0,Séries!Q232=""),"",B233/Séries!Q232-1)</f>
        <v/>
      </c>
      <c r="G233" s="22" t="str">
        <f>IF(OR($A233="",C233="",C233&lt;=0,Séries!R232=""),"",C233/Séries!R232-1)</f>
        <v/>
      </c>
      <c r="H233" s="22" t="str">
        <f>IF(OR($A233="",D233="",D233&lt;=0,Séries!S232=""),"",D233/Séries!S232-1)</f>
        <v/>
      </c>
      <c r="I233" s="22" t="str">
        <f>IF(OR($A233="",E233="",E233&lt;=0,Séries!T232=""),"",E233/Séries!T232-1)</f>
        <v/>
      </c>
      <c r="J233" s="27"/>
      <c r="K233" s="1" t="str">
        <f>IF(COUNTA(A233:E233)=0,"",IF(A233="","Preencha a data",IF(NOT(ISNUMBER(A233)),"Data inválida",IF(OR(A233&lt;36526,A233&gt;73050,A233&lt;&gt;INT(A233)),"Data inválida",IF(A233&lt;=Séries!U232,"Data repetida / fora de ordem",IF(COUNTA(B233:E233)&lt;&gt;COUNT(B233:E233),"Use preços numéricos",IF(OR(AND(ISNUMBER(B233),B233&lt;=0),AND(ISNUMBER(C233),C233&lt;=0),AND(ISNUMBER(D233),D233&lt;=0),AND(ISNUMBER(E233),E233&lt;=0)),"Use preços positivos","")))))))</f>
        <v/>
      </c>
    </row>
    <row r="234" spans="1:11" ht="22.95" customHeight="1">
      <c r="A234" s="28"/>
      <c r="B234" s="29"/>
      <c r="C234" s="29"/>
      <c r="D234" s="29"/>
      <c r="E234" s="30"/>
      <c r="F234" s="22" t="str">
        <f>IF(OR($A234="",B234="",B234&lt;=0,Séries!Q233=""),"",B234/Séries!Q233-1)</f>
        <v/>
      </c>
      <c r="G234" s="22" t="str">
        <f>IF(OR($A234="",C234="",C234&lt;=0,Séries!R233=""),"",C234/Séries!R233-1)</f>
        <v/>
      </c>
      <c r="H234" s="22" t="str">
        <f>IF(OR($A234="",D234="",D234&lt;=0,Séries!S233=""),"",D234/Séries!S233-1)</f>
        <v/>
      </c>
      <c r="I234" s="22" t="str">
        <f>IF(OR($A234="",E234="",E234&lt;=0,Séries!T233=""),"",E234/Séries!T233-1)</f>
        <v/>
      </c>
      <c r="J234" s="27"/>
      <c r="K234" s="1" t="str">
        <f>IF(COUNTA(A234:E234)=0,"",IF(A234="","Preencha a data",IF(NOT(ISNUMBER(A234)),"Data inválida",IF(OR(A234&lt;36526,A234&gt;73050,A234&lt;&gt;INT(A234)),"Data inválida",IF(A234&lt;=Séries!U233,"Data repetida / fora de ordem",IF(COUNTA(B234:E234)&lt;&gt;COUNT(B234:E234),"Use preços numéricos",IF(OR(AND(ISNUMBER(B234),B234&lt;=0),AND(ISNUMBER(C234),C234&lt;=0),AND(ISNUMBER(D234),D234&lt;=0),AND(ISNUMBER(E234),E234&lt;=0)),"Use preços positivos","")))))))</f>
        <v/>
      </c>
    </row>
    <row r="235" spans="1:11" ht="22.95" customHeight="1">
      <c r="A235" s="28"/>
      <c r="B235" s="29"/>
      <c r="C235" s="29"/>
      <c r="D235" s="29"/>
      <c r="E235" s="30"/>
      <c r="F235" s="22" t="str">
        <f>IF(OR($A235="",B235="",B235&lt;=0,Séries!Q234=""),"",B235/Séries!Q234-1)</f>
        <v/>
      </c>
      <c r="G235" s="22" t="str">
        <f>IF(OR($A235="",C235="",C235&lt;=0,Séries!R234=""),"",C235/Séries!R234-1)</f>
        <v/>
      </c>
      <c r="H235" s="22" t="str">
        <f>IF(OR($A235="",D235="",D235&lt;=0,Séries!S234=""),"",D235/Séries!S234-1)</f>
        <v/>
      </c>
      <c r="I235" s="22" t="str">
        <f>IF(OR($A235="",E235="",E235&lt;=0,Séries!T234=""),"",E235/Séries!T234-1)</f>
        <v/>
      </c>
      <c r="J235" s="27"/>
      <c r="K235" s="1" t="str">
        <f>IF(COUNTA(A235:E235)=0,"",IF(A235="","Preencha a data",IF(NOT(ISNUMBER(A235)),"Data inválida",IF(OR(A235&lt;36526,A235&gt;73050,A235&lt;&gt;INT(A235)),"Data inválida",IF(A235&lt;=Séries!U234,"Data repetida / fora de ordem",IF(COUNTA(B235:E235)&lt;&gt;COUNT(B235:E235),"Use preços numéricos",IF(OR(AND(ISNUMBER(B235),B235&lt;=0),AND(ISNUMBER(C235),C235&lt;=0),AND(ISNUMBER(D235),D235&lt;=0),AND(ISNUMBER(E235),E235&lt;=0)),"Use preços positivos","")))))))</f>
        <v/>
      </c>
    </row>
    <row r="236" spans="1:11" ht="22.95" customHeight="1">
      <c r="A236" s="28"/>
      <c r="B236" s="29"/>
      <c r="C236" s="29"/>
      <c r="D236" s="29"/>
      <c r="E236" s="30"/>
      <c r="F236" s="22" t="str">
        <f>IF(OR($A236="",B236="",B236&lt;=0,Séries!Q235=""),"",B236/Séries!Q235-1)</f>
        <v/>
      </c>
      <c r="G236" s="22" t="str">
        <f>IF(OR($A236="",C236="",C236&lt;=0,Séries!R235=""),"",C236/Séries!R235-1)</f>
        <v/>
      </c>
      <c r="H236" s="22" t="str">
        <f>IF(OR($A236="",D236="",D236&lt;=0,Séries!S235=""),"",D236/Séries!S235-1)</f>
        <v/>
      </c>
      <c r="I236" s="22" t="str">
        <f>IF(OR($A236="",E236="",E236&lt;=0,Séries!T235=""),"",E236/Séries!T235-1)</f>
        <v/>
      </c>
      <c r="J236" s="27"/>
      <c r="K236" s="1" t="str">
        <f>IF(COUNTA(A236:E236)=0,"",IF(A236="","Preencha a data",IF(NOT(ISNUMBER(A236)),"Data inválida",IF(OR(A236&lt;36526,A236&gt;73050,A236&lt;&gt;INT(A236)),"Data inválida",IF(A236&lt;=Séries!U235,"Data repetida / fora de ordem",IF(COUNTA(B236:E236)&lt;&gt;COUNT(B236:E236),"Use preços numéricos",IF(OR(AND(ISNUMBER(B236),B236&lt;=0),AND(ISNUMBER(C236),C236&lt;=0),AND(ISNUMBER(D236),D236&lt;=0),AND(ISNUMBER(E236),E236&lt;=0)),"Use preços positivos","")))))))</f>
        <v/>
      </c>
    </row>
    <row r="237" spans="1:11" ht="22.95" customHeight="1">
      <c r="A237" s="28"/>
      <c r="B237" s="29"/>
      <c r="C237" s="29"/>
      <c r="D237" s="29"/>
      <c r="E237" s="30"/>
      <c r="F237" s="22" t="str">
        <f>IF(OR($A237="",B237="",B237&lt;=0,Séries!Q236=""),"",B237/Séries!Q236-1)</f>
        <v/>
      </c>
      <c r="G237" s="22" t="str">
        <f>IF(OR($A237="",C237="",C237&lt;=0,Séries!R236=""),"",C237/Séries!R236-1)</f>
        <v/>
      </c>
      <c r="H237" s="22" t="str">
        <f>IF(OR($A237="",D237="",D237&lt;=0,Séries!S236=""),"",D237/Séries!S236-1)</f>
        <v/>
      </c>
      <c r="I237" s="22" t="str">
        <f>IF(OR($A237="",E237="",E237&lt;=0,Séries!T236=""),"",E237/Séries!T236-1)</f>
        <v/>
      </c>
      <c r="J237" s="27"/>
      <c r="K237" s="1" t="str">
        <f>IF(COUNTA(A237:E237)=0,"",IF(A237="","Preencha a data",IF(NOT(ISNUMBER(A237)),"Data inválida",IF(OR(A237&lt;36526,A237&gt;73050,A237&lt;&gt;INT(A237)),"Data inválida",IF(A237&lt;=Séries!U236,"Data repetida / fora de ordem",IF(COUNTA(B237:E237)&lt;&gt;COUNT(B237:E237),"Use preços numéricos",IF(OR(AND(ISNUMBER(B237),B237&lt;=0),AND(ISNUMBER(C237),C237&lt;=0),AND(ISNUMBER(D237),D237&lt;=0),AND(ISNUMBER(E237),E237&lt;=0)),"Use preços positivos","")))))))</f>
        <v/>
      </c>
    </row>
    <row r="238" spans="1:11" ht="22.95" customHeight="1">
      <c r="A238" s="28"/>
      <c r="B238" s="29"/>
      <c r="C238" s="29"/>
      <c r="D238" s="29"/>
      <c r="E238" s="30"/>
      <c r="F238" s="22" t="str">
        <f>IF(OR($A238="",B238="",B238&lt;=0,Séries!Q237=""),"",B238/Séries!Q237-1)</f>
        <v/>
      </c>
      <c r="G238" s="22" t="str">
        <f>IF(OR($A238="",C238="",C238&lt;=0,Séries!R237=""),"",C238/Séries!R237-1)</f>
        <v/>
      </c>
      <c r="H238" s="22" t="str">
        <f>IF(OR($A238="",D238="",D238&lt;=0,Séries!S237=""),"",D238/Séries!S237-1)</f>
        <v/>
      </c>
      <c r="I238" s="22" t="str">
        <f>IF(OR($A238="",E238="",E238&lt;=0,Séries!T237=""),"",E238/Séries!T237-1)</f>
        <v/>
      </c>
      <c r="J238" s="27"/>
      <c r="K238" s="1" t="str">
        <f>IF(COUNTA(A238:E238)=0,"",IF(A238="","Preencha a data",IF(NOT(ISNUMBER(A238)),"Data inválida",IF(OR(A238&lt;36526,A238&gt;73050,A238&lt;&gt;INT(A238)),"Data inválida",IF(A238&lt;=Séries!U237,"Data repetida / fora de ordem",IF(COUNTA(B238:E238)&lt;&gt;COUNT(B238:E238),"Use preços numéricos",IF(OR(AND(ISNUMBER(B238),B238&lt;=0),AND(ISNUMBER(C238),C238&lt;=0),AND(ISNUMBER(D238),D238&lt;=0),AND(ISNUMBER(E238),E238&lt;=0)),"Use preços positivos","")))))))</f>
        <v/>
      </c>
    </row>
    <row r="239" spans="1:11" ht="22.95" customHeight="1">
      <c r="A239" s="28"/>
      <c r="B239" s="29"/>
      <c r="C239" s="29"/>
      <c r="D239" s="29"/>
      <c r="E239" s="30"/>
      <c r="F239" s="22" t="str">
        <f>IF(OR($A239="",B239="",B239&lt;=0,Séries!Q238=""),"",B239/Séries!Q238-1)</f>
        <v/>
      </c>
      <c r="G239" s="22" t="str">
        <f>IF(OR($A239="",C239="",C239&lt;=0,Séries!R238=""),"",C239/Séries!R238-1)</f>
        <v/>
      </c>
      <c r="H239" s="22" t="str">
        <f>IF(OR($A239="",D239="",D239&lt;=0,Séries!S238=""),"",D239/Séries!S238-1)</f>
        <v/>
      </c>
      <c r="I239" s="22" t="str">
        <f>IF(OR($A239="",E239="",E239&lt;=0,Séries!T238=""),"",E239/Séries!T238-1)</f>
        <v/>
      </c>
      <c r="J239" s="27"/>
      <c r="K239" s="1" t="str">
        <f>IF(COUNTA(A239:E239)=0,"",IF(A239="","Preencha a data",IF(NOT(ISNUMBER(A239)),"Data inválida",IF(OR(A239&lt;36526,A239&gt;73050,A239&lt;&gt;INT(A239)),"Data inválida",IF(A239&lt;=Séries!U238,"Data repetida / fora de ordem",IF(COUNTA(B239:E239)&lt;&gt;COUNT(B239:E239),"Use preços numéricos",IF(OR(AND(ISNUMBER(B239),B239&lt;=0),AND(ISNUMBER(C239),C239&lt;=0),AND(ISNUMBER(D239),D239&lt;=0),AND(ISNUMBER(E239),E239&lt;=0)),"Use preços positivos","")))))))</f>
        <v/>
      </c>
    </row>
    <row r="240" spans="1:11" ht="22.95" customHeight="1">
      <c r="A240" s="28"/>
      <c r="B240" s="29"/>
      <c r="C240" s="29"/>
      <c r="D240" s="29"/>
      <c r="E240" s="30"/>
      <c r="F240" s="22" t="str">
        <f>IF(OR($A240="",B240="",B240&lt;=0,Séries!Q239=""),"",B240/Séries!Q239-1)</f>
        <v/>
      </c>
      <c r="G240" s="22" t="str">
        <f>IF(OR($A240="",C240="",C240&lt;=0,Séries!R239=""),"",C240/Séries!R239-1)</f>
        <v/>
      </c>
      <c r="H240" s="22" t="str">
        <f>IF(OR($A240="",D240="",D240&lt;=0,Séries!S239=""),"",D240/Séries!S239-1)</f>
        <v/>
      </c>
      <c r="I240" s="22" t="str">
        <f>IF(OR($A240="",E240="",E240&lt;=0,Séries!T239=""),"",E240/Séries!T239-1)</f>
        <v/>
      </c>
      <c r="J240" s="27"/>
      <c r="K240" s="1" t="str">
        <f>IF(COUNTA(A240:E240)=0,"",IF(A240="","Preencha a data",IF(NOT(ISNUMBER(A240)),"Data inválida",IF(OR(A240&lt;36526,A240&gt;73050,A240&lt;&gt;INT(A240)),"Data inválida",IF(A240&lt;=Séries!U239,"Data repetida / fora de ordem",IF(COUNTA(B240:E240)&lt;&gt;COUNT(B240:E240),"Use preços numéricos",IF(OR(AND(ISNUMBER(B240),B240&lt;=0),AND(ISNUMBER(C240),C240&lt;=0),AND(ISNUMBER(D240),D240&lt;=0),AND(ISNUMBER(E240),E240&lt;=0)),"Use preços positivos","")))))))</f>
        <v/>
      </c>
    </row>
    <row r="241" spans="1:11" ht="22.95" customHeight="1">
      <c r="A241" s="28"/>
      <c r="B241" s="29"/>
      <c r="C241" s="29"/>
      <c r="D241" s="29"/>
      <c r="E241" s="30"/>
      <c r="F241" s="22" t="str">
        <f>IF(OR($A241="",B241="",B241&lt;=0,Séries!Q240=""),"",B241/Séries!Q240-1)</f>
        <v/>
      </c>
      <c r="G241" s="22" t="str">
        <f>IF(OR($A241="",C241="",C241&lt;=0,Séries!R240=""),"",C241/Séries!R240-1)</f>
        <v/>
      </c>
      <c r="H241" s="22" t="str">
        <f>IF(OR($A241="",D241="",D241&lt;=0,Séries!S240=""),"",D241/Séries!S240-1)</f>
        <v/>
      </c>
      <c r="I241" s="22" t="str">
        <f>IF(OR($A241="",E241="",E241&lt;=0,Séries!T240=""),"",E241/Séries!T240-1)</f>
        <v/>
      </c>
      <c r="J241" s="27"/>
      <c r="K241" s="1" t="str">
        <f>IF(COUNTA(A241:E241)=0,"",IF(A241="","Preencha a data",IF(NOT(ISNUMBER(A241)),"Data inválida",IF(OR(A241&lt;36526,A241&gt;73050,A241&lt;&gt;INT(A241)),"Data inválida",IF(A241&lt;=Séries!U240,"Data repetida / fora de ordem",IF(COUNTA(B241:E241)&lt;&gt;COUNT(B241:E241),"Use preços numéricos",IF(OR(AND(ISNUMBER(B241),B241&lt;=0),AND(ISNUMBER(C241),C241&lt;=0),AND(ISNUMBER(D241),D241&lt;=0),AND(ISNUMBER(E241),E241&lt;=0)),"Use preços positivos","")))))))</f>
        <v/>
      </c>
    </row>
    <row r="242" spans="1:11" ht="22.95" customHeight="1">
      <c r="A242" s="28"/>
      <c r="B242" s="29"/>
      <c r="C242" s="29"/>
      <c r="D242" s="29"/>
      <c r="E242" s="30"/>
      <c r="F242" s="22" t="str">
        <f>IF(OR($A242="",B242="",B242&lt;=0,Séries!Q241=""),"",B242/Séries!Q241-1)</f>
        <v/>
      </c>
      <c r="G242" s="22" t="str">
        <f>IF(OR($A242="",C242="",C242&lt;=0,Séries!R241=""),"",C242/Séries!R241-1)</f>
        <v/>
      </c>
      <c r="H242" s="22" t="str">
        <f>IF(OR($A242="",D242="",D242&lt;=0,Séries!S241=""),"",D242/Séries!S241-1)</f>
        <v/>
      </c>
      <c r="I242" s="22" t="str">
        <f>IF(OR($A242="",E242="",E242&lt;=0,Séries!T241=""),"",E242/Séries!T241-1)</f>
        <v/>
      </c>
      <c r="J242" s="27"/>
      <c r="K242" s="1" t="str">
        <f>IF(COUNTA(A242:E242)=0,"",IF(A242="","Preencha a data",IF(NOT(ISNUMBER(A242)),"Data inválida",IF(OR(A242&lt;36526,A242&gt;73050,A242&lt;&gt;INT(A242)),"Data inválida",IF(A242&lt;=Séries!U241,"Data repetida / fora de ordem",IF(COUNTA(B242:E242)&lt;&gt;COUNT(B242:E242),"Use preços numéricos",IF(OR(AND(ISNUMBER(B242),B242&lt;=0),AND(ISNUMBER(C242),C242&lt;=0),AND(ISNUMBER(D242),D242&lt;=0),AND(ISNUMBER(E242),E242&lt;=0)),"Use preços positivos","")))))))</f>
        <v/>
      </c>
    </row>
    <row r="243" spans="1:11" ht="22.95" customHeight="1">
      <c r="A243" s="28"/>
      <c r="B243" s="29"/>
      <c r="C243" s="29"/>
      <c r="D243" s="29"/>
      <c r="E243" s="30"/>
      <c r="F243" s="22" t="str">
        <f>IF(OR($A243="",B243="",B243&lt;=0,Séries!Q242=""),"",B243/Séries!Q242-1)</f>
        <v/>
      </c>
      <c r="G243" s="22" t="str">
        <f>IF(OR($A243="",C243="",C243&lt;=0,Séries!R242=""),"",C243/Séries!R242-1)</f>
        <v/>
      </c>
      <c r="H243" s="22" t="str">
        <f>IF(OR($A243="",D243="",D243&lt;=0,Séries!S242=""),"",D243/Séries!S242-1)</f>
        <v/>
      </c>
      <c r="I243" s="22" t="str">
        <f>IF(OR($A243="",E243="",E243&lt;=0,Séries!T242=""),"",E243/Séries!T242-1)</f>
        <v/>
      </c>
      <c r="J243" s="27"/>
      <c r="K243" s="1" t="str">
        <f>IF(COUNTA(A243:E243)=0,"",IF(A243="","Preencha a data",IF(NOT(ISNUMBER(A243)),"Data inválida",IF(OR(A243&lt;36526,A243&gt;73050,A243&lt;&gt;INT(A243)),"Data inválida",IF(A243&lt;=Séries!U242,"Data repetida / fora de ordem",IF(COUNTA(B243:E243)&lt;&gt;COUNT(B243:E243),"Use preços numéricos",IF(OR(AND(ISNUMBER(B243),B243&lt;=0),AND(ISNUMBER(C243),C243&lt;=0),AND(ISNUMBER(D243),D243&lt;=0),AND(ISNUMBER(E243),E243&lt;=0)),"Use preços positivos","")))))))</f>
        <v/>
      </c>
    </row>
    <row r="244" spans="1:11" ht="22.95" customHeight="1">
      <c r="A244" s="28"/>
      <c r="B244" s="29"/>
      <c r="C244" s="29"/>
      <c r="D244" s="29"/>
      <c r="E244" s="30"/>
      <c r="F244" s="22" t="str">
        <f>IF(OR($A244="",B244="",B244&lt;=0,Séries!Q243=""),"",B244/Séries!Q243-1)</f>
        <v/>
      </c>
      <c r="G244" s="22" t="str">
        <f>IF(OR($A244="",C244="",C244&lt;=0,Séries!R243=""),"",C244/Séries!R243-1)</f>
        <v/>
      </c>
      <c r="H244" s="22" t="str">
        <f>IF(OR($A244="",D244="",D244&lt;=0,Séries!S243=""),"",D244/Séries!S243-1)</f>
        <v/>
      </c>
      <c r="I244" s="22" t="str">
        <f>IF(OR($A244="",E244="",E244&lt;=0,Séries!T243=""),"",E244/Séries!T243-1)</f>
        <v/>
      </c>
      <c r="J244" s="27"/>
      <c r="K244" s="1" t="str">
        <f>IF(COUNTA(A244:E244)=0,"",IF(A244="","Preencha a data",IF(NOT(ISNUMBER(A244)),"Data inválida",IF(OR(A244&lt;36526,A244&gt;73050,A244&lt;&gt;INT(A244)),"Data inválida",IF(A244&lt;=Séries!U243,"Data repetida / fora de ordem",IF(COUNTA(B244:E244)&lt;&gt;COUNT(B244:E244),"Use preços numéricos",IF(OR(AND(ISNUMBER(B244),B244&lt;=0),AND(ISNUMBER(C244),C244&lt;=0),AND(ISNUMBER(D244),D244&lt;=0),AND(ISNUMBER(E244),E244&lt;=0)),"Use preços positivos","")))))))</f>
        <v/>
      </c>
    </row>
    <row r="245" spans="1:11" ht="22.95" customHeight="1">
      <c r="A245" s="28"/>
      <c r="B245" s="29"/>
      <c r="C245" s="29"/>
      <c r="D245" s="29"/>
      <c r="E245" s="30"/>
      <c r="F245" s="22" t="str">
        <f>IF(OR($A245="",B245="",B245&lt;=0,Séries!Q244=""),"",B245/Séries!Q244-1)</f>
        <v/>
      </c>
      <c r="G245" s="22" t="str">
        <f>IF(OR($A245="",C245="",C245&lt;=0,Séries!R244=""),"",C245/Séries!R244-1)</f>
        <v/>
      </c>
      <c r="H245" s="22" t="str">
        <f>IF(OR($A245="",D245="",D245&lt;=0,Séries!S244=""),"",D245/Séries!S244-1)</f>
        <v/>
      </c>
      <c r="I245" s="22" t="str">
        <f>IF(OR($A245="",E245="",E245&lt;=0,Séries!T244=""),"",E245/Séries!T244-1)</f>
        <v/>
      </c>
      <c r="J245" s="27"/>
      <c r="K245" s="1" t="str">
        <f>IF(COUNTA(A245:E245)=0,"",IF(A245="","Preencha a data",IF(NOT(ISNUMBER(A245)),"Data inválida",IF(OR(A245&lt;36526,A245&gt;73050,A245&lt;&gt;INT(A245)),"Data inválida",IF(A245&lt;=Séries!U244,"Data repetida / fora de ordem",IF(COUNTA(B245:E245)&lt;&gt;COUNT(B245:E245),"Use preços numéricos",IF(OR(AND(ISNUMBER(B245),B245&lt;=0),AND(ISNUMBER(C245),C245&lt;=0),AND(ISNUMBER(D245),D245&lt;=0),AND(ISNUMBER(E245),E245&lt;=0)),"Use preços positivos","")))))))</f>
        <v/>
      </c>
    </row>
    <row r="246" spans="1:11" ht="22.95" customHeight="1">
      <c r="A246" s="28"/>
      <c r="B246" s="29"/>
      <c r="C246" s="29"/>
      <c r="D246" s="29"/>
      <c r="E246" s="30"/>
      <c r="F246" s="22" t="str">
        <f>IF(OR($A246="",B246="",B246&lt;=0,Séries!Q245=""),"",B246/Séries!Q245-1)</f>
        <v/>
      </c>
      <c r="G246" s="22" t="str">
        <f>IF(OR($A246="",C246="",C246&lt;=0,Séries!R245=""),"",C246/Séries!R245-1)</f>
        <v/>
      </c>
      <c r="H246" s="22" t="str">
        <f>IF(OR($A246="",D246="",D246&lt;=0,Séries!S245=""),"",D246/Séries!S245-1)</f>
        <v/>
      </c>
      <c r="I246" s="22" t="str">
        <f>IF(OR($A246="",E246="",E246&lt;=0,Séries!T245=""),"",E246/Séries!T245-1)</f>
        <v/>
      </c>
      <c r="J246" s="27"/>
      <c r="K246" s="1" t="str">
        <f>IF(COUNTA(A246:E246)=0,"",IF(A246="","Preencha a data",IF(NOT(ISNUMBER(A246)),"Data inválida",IF(OR(A246&lt;36526,A246&gt;73050,A246&lt;&gt;INT(A246)),"Data inválida",IF(A246&lt;=Séries!U245,"Data repetida / fora de ordem",IF(COUNTA(B246:E246)&lt;&gt;COUNT(B246:E246),"Use preços numéricos",IF(OR(AND(ISNUMBER(B246),B246&lt;=0),AND(ISNUMBER(C246),C246&lt;=0),AND(ISNUMBER(D246),D246&lt;=0),AND(ISNUMBER(E246),E246&lt;=0)),"Use preços positivos","")))))))</f>
        <v/>
      </c>
    </row>
    <row r="247" spans="1:11" ht="22.95" customHeight="1">
      <c r="A247" s="28"/>
      <c r="B247" s="29"/>
      <c r="C247" s="29"/>
      <c r="D247" s="29"/>
      <c r="E247" s="30"/>
      <c r="F247" s="22" t="str">
        <f>IF(OR($A247="",B247="",B247&lt;=0,Séries!Q246=""),"",B247/Séries!Q246-1)</f>
        <v/>
      </c>
      <c r="G247" s="22" t="str">
        <f>IF(OR($A247="",C247="",C247&lt;=0,Séries!R246=""),"",C247/Séries!R246-1)</f>
        <v/>
      </c>
      <c r="H247" s="22" t="str">
        <f>IF(OR($A247="",D247="",D247&lt;=0,Séries!S246=""),"",D247/Séries!S246-1)</f>
        <v/>
      </c>
      <c r="I247" s="22" t="str">
        <f>IF(OR($A247="",E247="",E247&lt;=0,Séries!T246=""),"",E247/Séries!T246-1)</f>
        <v/>
      </c>
      <c r="J247" s="27"/>
      <c r="K247" s="1" t="str">
        <f>IF(COUNTA(A247:E247)=0,"",IF(A247="","Preencha a data",IF(NOT(ISNUMBER(A247)),"Data inválida",IF(OR(A247&lt;36526,A247&gt;73050,A247&lt;&gt;INT(A247)),"Data inválida",IF(A247&lt;=Séries!U246,"Data repetida / fora de ordem",IF(COUNTA(B247:E247)&lt;&gt;COUNT(B247:E247),"Use preços numéricos",IF(OR(AND(ISNUMBER(B247),B247&lt;=0),AND(ISNUMBER(C247),C247&lt;=0),AND(ISNUMBER(D247),D247&lt;=0),AND(ISNUMBER(E247),E247&lt;=0)),"Use preços positivos","")))))))</f>
        <v/>
      </c>
    </row>
    <row r="248" spans="1:11" ht="22.95" customHeight="1">
      <c r="A248" s="28"/>
      <c r="B248" s="29"/>
      <c r="C248" s="29"/>
      <c r="D248" s="29"/>
      <c r="E248" s="30"/>
      <c r="F248" s="22" t="str">
        <f>IF(OR($A248="",B248="",B248&lt;=0,Séries!Q247=""),"",B248/Séries!Q247-1)</f>
        <v/>
      </c>
      <c r="G248" s="22" t="str">
        <f>IF(OR($A248="",C248="",C248&lt;=0,Séries!R247=""),"",C248/Séries!R247-1)</f>
        <v/>
      </c>
      <c r="H248" s="22" t="str">
        <f>IF(OR($A248="",D248="",D248&lt;=0,Séries!S247=""),"",D248/Séries!S247-1)</f>
        <v/>
      </c>
      <c r="I248" s="22" t="str">
        <f>IF(OR($A248="",E248="",E248&lt;=0,Séries!T247=""),"",E248/Séries!T247-1)</f>
        <v/>
      </c>
      <c r="J248" s="27"/>
      <c r="K248" s="1" t="str">
        <f>IF(COUNTA(A248:E248)=0,"",IF(A248="","Preencha a data",IF(NOT(ISNUMBER(A248)),"Data inválida",IF(OR(A248&lt;36526,A248&gt;73050,A248&lt;&gt;INT(A248)),"Data inválida",IF(A248&lt;=Séries!U247,"Data repetida / fora de ordem",IF(COUNTA(B248:E248)&lt;&gt;COUNT(B248:E248),"Use preços numéricos",IF(OR(AND(ISNUMBER(B248),B248&lt;=0),AND(ISNUMBER(C248),C248&lt;=0),AND(ISNUMBER(D248),D248&lt;=0),AND(ISNUMBER(E248),E248&lt;=0)),"Use preços positivos","")))))))</f>
        <v/>
      </c>
    </row>
    <row r="249" spans="1:11" ht="22.95" customHeight="1">
      <c r="A249" s="28"/>
      <c r="B249" s="29"/>
      <c r="C249" s="29"/>
      <c r="D249" s="29"/>
      <c r="E249" s="30"/>
      <c r="F249" s="22" t="str">
        <f>IF(OR($A249="",B249="",B249&lt;=0,Séries!Q248=""),"",B249/Séries!Q248-1)</f>
        <v/>
      </c>
      <c r="G249" s="22" t="str">
        <f>IF(OR($A249="",C249="",C249&lt;=0,Séries!R248=""),"",C249/Séries!R248-1)</f>
        <v/>
      </c>
      <c r="H249" s="22" t="str">
        <f>IF(OR($A249="",D249="",D249&lt;=0,Séries!S248=""),"",D249/Séries!S248-1)</f>
        <v/>
      </c>
      <c r="I249" s="22" t="str">
        <f>IF(OR($A249="",E249="",E249&lt;=0,Séries!T248=""),"",E249/Séries!T248-1)</f>
        <v/>
      </c>
      <c r="J249" s="27"/>
      <c r="K249" s="1" t="str">
        <f>IF(COUNTA(A249:E249)=0,"",IF(A249="","Preencha a data",IF(NOT(ISNUMBER(A249)),"Data inválida",IF(OR(A249&lt;36526,A249&gt;73050,A249&lt;&gt;INT(A249)),"Data inválida",IF(A249&lt;=Séries!U248,"Data repetida / fora de ordem",IF(COUNTA(B249:E249)&lt;&gt;COUNT(B249:E249),"Use preços numéricos",IF(OR(AND(ISNUMBER(B249),B249&lt;=0),AND(ISNUMBER(C249),C249&lt;=0),AND(ISNUMBER(D249),D249&lt;=0),AND(ISNUMBER(E249),E249&lt;=0)),"Use preços positivos","")))))))</f>
        <v/>
      </c>
    </row>
    <row r="250" spans="1:11" ht="22.95" customHeight="1">
      <c r="A250" s="28"/>
      <c r="B250" s="29"/>
      <c r="C250" s="29"/>
      <c r="D250" s="29"/>
      <c r="E250" s="30"/>
      <c r="F250" s="22" t="str">
        <f>IF(OR($A250="",B250="",B250&lt;=0,Séries!Q249=""),"",B250/Séries!Q249-1)</f>
        <v/>
      </c>
      <c r="G250" s="22" t="str">
        <f>IF(OR($A250="",C250="",C250&lt;=0,Séries!R249=""),"",C250/Séries!R249-1)</f>
        <v/>
      </c>
      <c r="H250" s="22" t="str">
        <f>IF(OR($A250="",D250="",D250&lt;=0,Séries!S249=""),"",D250/Séries!S249-1)</f>
        <v/>
      </c>
      <c r="I250" s="22" t="str">
        <f>IF(OR($A250="",E250="",E250&lt;=0,Séries!T249=""),"",E250/Séries!T249-1)</f>
        <v/>
      </c>
      <c r="J250" s="27"/>
      <c r="K250" s="1" t="str">
        <f>IF(COUNTA(A250:E250)=0,"",IF(A250="","Preencha a data",IF(NOT(ISNUMBER(A250)),"Data inválida",IF(OR(A250&lt;36526,A250&gt;73050,A250&lt;&gt;INT(A250)),"Data inválida",IF(A250&lt;=Séries!U249,"Data repetida / fora de ordem",IF(COUNTA(B250:E250)&lt;&gt;COUNT(B250:E250),"Use preços numéricos",IF(OR(AND(ISNUMBER(B250),B250&lt;=0),AND(ISNUMBER(C250),C250&lt;=0),AND(ISNUMBER(D250),D250&lt;=0),AND(ISNUMBER(E250),E250&lt;=0)),"Use preços positivos","")))))))</f>
        <v/>
      </c>
    </row>
    <row r="251" spans="1:11" ht="22.95" customHeight="1">
      <c r="A251" s="28"/>
      <c r="B251" s="29"/>
      <c r="C251" s="29"/>
      <c r="D251" s="29"/>
      <c r="E251" s="30"/>
      <c r="F251" s="22" t="str">
        <f>IF(OR($A251="",B251="",B251&lt;=0,Séries!Q250=""),"",B251/Séries!Q250-1)</f>
        <v/>
      </c>
      <c r="G251" s="22" t="str">
        <f>IF(OR($A251="",C251="",C251&lt;=0,Séries!R250=""),"",C251/Séries!R250-1)</f>
        <v/>
      </c>
      <c r="H251" s="22" t="str">
        <f>IF(OR($A251="",D251="",D251&lt;=0,Séries!S250=""),"",D251/Séries!S250-1)</f>
        <v/>
      </c>
      <c r="I251" s="22" t="str">
        <f>IF(OR($A251="",E251="",E251&lt;=0,Séries!T250=""),"",E251/Séries!T250-1)</f>
        <v/>
      </c>
      <c r="J251" s="27"/>
      <c r="K251" s="1" t="str">
        <f>IF(COUNTA(A251:E251)=0,"",IF(A251="","Preencha a data",IF(NOT(ISNUMBER(A251)),"Data inválida",IF(OR(A251&lt;36526,A251&gt;73050,A251&lt;&gt;INT(A251)),"Data inválida",IF(A251&lt;=Séries!U250,"Data repetida / fora de ordem",IF(COUNTA(B251:E251)&lt;&gt;COUNT(B251:E251),"Use preços numéricos",IF(OR(AND(ISNUMBER(B251),B251&lt;=0),AND(ISNUMBER(C251),C251&lt;=0),AND(ISNUMBER(D251),D251&lt;=0),AND(ISNUMBER(E251),E251&lt;=0)),"Use preços positivos","")))))))</f>
        <v/>
      </c>
    </row>
    <row r="252" spans="1:11" ht="22.95" customHeight="1">
      <c r="A252" s="28"/>
      <c r="B252" s="29"/>
      <c r="C252" s="29"/>
      <c r="D252" s="29"/>
      <c r="E252" s="30"/>
      <c r="F252" s="22" t="str">
        <f>IF(OR($A252="",B252="",B252&lt;=0,Séries!Q251=""),"",B252/Séries!Q251-1)</f>
        <v/>
      </c>
      <c r="G252" s="22" t="str">
        <f>IF(OR($A252="",C252="",C252&lt;=0,Séries!R251=""),"",C252/Séries!R251-1)</f>
        <v/>
      </c>
      <c r="H252" s="22" t="str">
        <f>IF(OR($A252="",D252="",D252&lt;=0,Séries!S251=""),"",D252/Séries!S251-1)</f>
        <v/>
      </c>
      <c r="I252" s="22" t="str">
        <f>IF(OR($A252="",E252="",E252&lt;=0,Séries!T251=""),"",E252/Séries!T251-1)</f>
        <v/>
      </c>
      <c r="J252" s="27"/>
      <c r="K252" s="1" t="str">
        <f>IF(COUNTA(A252:E252)=0,"",IF(A252="","Preencha a data",IF(NOT(ISNUMBER(A252)),"Data inválida",IF(OR(A252&lt;36526,A252&gt;73050,A252&lt;&gt;INT(A252)),"Data inválida",IF(A252&lt;=Séries!U251,"Data repetida / fora de ordem",IF(COUNTA(B252:E252)&lt;&gt;COUNT(B252:E252),"Use preços numéricos",IF(OR(AND(ISNUMBER(B252),B252&lt;=0),AND(ISNUMBER(C252),C252&lt;=0),AND(ISNUMBER(D252),D252&lt;=0),AND(ISNUMBER(E252),E252&lt;=0)),"Use preços positivos","")))))))</f>
        <v/>
      </c>
    </row>
    <row r="253" spans="1:11" ht="22.95" customHeight="1">
      <c r="A253" s="28"/>
      <c r="B253" s="29"/>
      <c r="C253" s="29"/>
      <c r="D253" s="29"/>
      <c r="E253" s="30"/>
      <c r="F253" s="22" t="str">
        <f>IF(OR($A253="",B253="",B253&lt;=0,Séries!Q252=""),"",B253/Séries!Q252-1)</f>
        <v/>
      </c>
      <c r="G253" s="22" t="str">
        <f>IF(OR($A253="",C253="",C253&lt;=0,Séries!R252=""),"",C253/Séries!R252-1)</f>
        <v/>
      </c>
      <c r="H253" s="22" t="str">
        <f>IF(OR($A253="",D253="",D253&lt;=0,Séries!S252=""),"",D253/Séries!S252-1)</f>
        <v/>
      </c>
      <c r="I253" s="22" t="str">
        <f>IF(OR($A253="",E253="",E253&lt;=0,Séries!T252=""),"",E253/Séries!T252-1)</f>
        <v/>
      </c>
      <c r="J253" s="27"/>
      <c r="K253" s="1" t="str">
        <f>IF(COUNTA(A253:E253)=0,"",IF(A253="","Preencha a data",IF(NOT(ISNUMBER(A253)),"Data inválida",IF(OR(A253&lt;36526,A253&gt;73050,A253&lt;&gt;INT(A253)),"Data inválida",IF(A253&lt;=Séries!U252,"Data repetida / fora de ordem",IF(COUNTA(B253:E253)&lt;&gt;COUNT(B253:E253),"Use preços numéricos",IF(OR(AND(ISNUMBER(B253),B253&lt;=0),AND(ISNUMBER(C253),C253&lt;=0),AND(ISNUMBER(D253),D253&lt;=0),AND(ISNUMBER(E253),E253&lt;=0)),"Use preços positivos","")))))))</f>
        <v/>
      </c>
    </row>
    <row r="254" spans="1:11" ht="22.95" customHeight="1">
      <c r="A254" s="28"/>
      <c r="B254" s="29"/>
      <c r="C254" s="29"/>
      <c r="D254" s="29"/>
      <c r="E254" s="30"/>
      <c r="F254" s="22" t="str">
        <f>IF(OR($A254="",B254="",B254&lt;=0,Séries!Q253=""),"",B254/Séries!Q253-1)</f>
        <v/>
      </c>
      <c r="G254" s="22" t="str">
        <f>IF(OR($A254="",C254="",C254&lt;=0,Séries!R253=""),"",C254/Séries!R253-1)</f>
        <v/>
      </c>
      <c r="H254" s="22" t="str">
        <f>IF(OR($A254="",D254="",D254&lt;=0,Séries!S253=""),"",D254/Séries!S253-1)</f>
        <v/>
      </c>
      <c r="I254" s="22" t="str">
        <f>IF(OR($A254="",E254="",E254&lt;=0,Séries!T253=""),"",E254/Séries!T253-1)</f>
        <v/>
      </c>
      <c r="J254" s="27"/>
      <c r="K254" s="1" t="str">
        <f>IF(COUNTA(A254:E254)=0,"",IF(A254="","Preencha a data",IF(NOT(ISNUMBER(A254)),"Data inválida",IF(OR(A254&lt;36526,A254&gt;73050,A254&lt;&gt;INT(A254)),"Data inválida",IF(A254&lt;=Séries!U253,"Data repetida / fora de ordem",IF(COUNTA(B254:E254)&lt;&gt;COUNT(B254:E254),"Use preços numéricos",IF(OR(AND(ISNUMBER(B254),B254&lt;=0),AND(ISNUMBER(C254),C254&lt;=0),AND(ISNUMBER(D254),D254&lt;=0),AND(ISNUMBER(E254),E254&lt;=0)),"Use preços positivos","")))))))</f>
        <v/>
      </c>
    </row>
    <row r="255" spans="1:11" ht="22.95" customHeight="1">
      <c r="A255" s="28"/>
      <c r="B255" s="29"/>
      <c r="C255" s="29"/>
      <c r="D255" s="29"/>
      <c r="E255" s="30"/>
      <c r="F255" s="22" t="str">
        <f>IF(OR($A255="",B255="",B255&lt;=0,Séries!Q254=""),"",B255/Séries!Q254-1)</f>
        <v/>
      </c>
      <c r="G255" s="22" t="str">
        <f>IF(OR($A255="",C255="",C255&lt;=0,Séries!R254=""),"",C255/Séries!R254-1)</f>
        <v/>
      </c>
      <c r="H255" s="22" t="str">
        <f>IF(OR($A255="",D255="",D255&lt;=0,Séries!S254=""),"",D255/Séries!S254-1)</f>
        <v/>
      </c>
      <c r="I255" s="22" t="str">
        <f>IF(OR($A255="",E255="",E255&lt;=0,Séries!T254=""),"",E255/Séries!T254-1)</f>
        <v/>
      </c>
      <c r="J255" s="27"/>
      <c r="K255" s="1" t="str">
        <f>IF(COUNTA(A255:E255)=0,"",IF(A255="","Preencha a data",IF(NOT(ISNUMBER(A255)),"Data inválida",IF(OR(A255&lt;36526,A255&gt;73050,A255&lt;&gt;INT(A255)),"Data inválida",IF(A255&lt;=Séries!U254,"Data repetida / fora de ordem",IF(COUNTA(B255:E255)&lt;&gt;COUNT(B255:E255),"Use preços numéricos",IF(OR(AND(ISNUMBER(B255),B255&lt;=0),AND(ISNUMBER(C255),C255&lt;=0),AND(ISNUMBER(D255),D255&lt;=0),AND(ISNUMBER(E255),E255&lt;=0)),"Use preços positivos","")))))))</f>
        <v/>
      </c>
    </row>
    <row r="256" spans="1:11" ht="22.95" customHeight="1">
      <c r="A256" s="28"/>
      <c r="B256" s="29"/>
      <c r="C256" s="29"/>
      <c r="D256" s="29"/>
      <c r="E256" s="30"/>
      <c r="F256" s="22" t="str">
        <f>IF(OR($A256="",B256="",B256&lt;=0,Séries!Q255=""),"",B256/Séries!Q255-1)</f>
        <v/>
      </c>
      <c r="G256" s="22" t="str">
        <f>IF(OR($A256="",C256="",C256&lt;=0,Séries!R255=""),"",C256/Séries!R255-1)</f>
        <v/>
      </c>
      <c r="H256" s="22" t="str">
        <f>IF(OR($A256="",D256="",D256&lt;=0,Séries!S255=""),"",D256/Séries!S255-1)</f>
        <v/>
      </c>
      <c r="I256" s="22" t="str">
        <f>IF(OR($A256="",E256="",E256&lt;=0,Séries!T255=""),"",E256/Séries!T255-1)</f>
        <v/>
      </c>
      <c r="J256" s="27"/>
      <c r="K256" s="1" t="str">
        <f>IF(COUNTA(A256:E256)=0,"",IF(A256="","Preencha a data",IF(NOT(ISNUMBER(A256)),"Data inválida",IF(OR(A256&lt;36526,A256&gt;73050,A256&lt;&gt;INT(A256)),"Data inválida",IF(A256&lt;=Séries!U255,"Data repetida / fora de ordem",IF(COUNTA(B256:E256)&lt;&gt;COUNT(B256:E256),"Use preços numéricos",IF(OR(AND(ISNUMBER(B256),B256&lt;=0),AND(ISNUMBER(C256),C256&lt;=0),AND(ISNUMBER(D256),D256&lt;=0),AND(ISNUMBER(E256),E256&lt;=0)),"Use preços positivos","")))))))</f>
        <v/>
      </c>
    </row>
    <row r="257" spans="1:11" ht="22.95" customHeight="1">
      <c r="A257" s="28"/>
      <c r="B257" s="29"/>
      <c r="C257" s="29"/>
      <c r="D257" s="29"/>
      <c r="E257" s="30"/>
      <c r="F257" s="22" t="str">
        <f>IF(OR($A257="",B257="",B257&lt;=0,Séries!Q256=""),"",B257/Séries!Q256-1)</f>
        <v/>
      </c>
      <c r="G257" s="22" t="str">
        <f>IF(OR($A257="",C257="",C257&lt;=0,Séries!R256=""),"",C257/Séries!R256-1)</f>
        <v/>
      </c>
      <c r="H257" s="22" t="str">
        <f>IF(OR($A257="",D257="",D257&lt;=0,Séries!S256=""),"",D257/Séries!S256-1)</f>
        <v/>
      </c>
      <c r="I257" s="22" t="str">
        <f>IF(OR($A257="",E257="",E257&lt;=0,Séries!T256=""),"",E257/Séries!T256-1)</f>
        <v/>
      </c>
      <c r="J257" s="27"/>
      <c r="K257" s="1" t="str">
        <f>IF(COUNTA(A257:E257)=0,"",IF(A257="","Preencha a data",IF(NOT(ISNUMBER(A257)),"Data inválida",IF(OR(A257&lt;36526,A257&gt;73050,A257&lt;&gt;INT(A257)),"Data inválida",IF(A257&lt;=Séries!U256,"Data repetida / fora de ordem",IF(COUNTA(B257:E257)&lt;&gt;COUNT(B257:E257),"Use preços numéricos",IF(OR(AND(ISNUMBER(B257),B257&lt;=0),AND(ISNUMBER(C257),C257&lt;=0),AND(ISNUMBER(D257),D257&lt;=0),AND(ISNUMBER(E257),E257&lt;=0)),"Use preços positivos","")))))))</f>
        <v/>
      </c>
    </row>
    <row r="258" spans="1:11" ht="22.95" customHeight="1">
      <c r="A258" s="28"/>
      <c r="B258" s="29"/>
      <c r="C258" s="29"/>
      <c r="D258" s="29"/>
      <c r="E258" s="30"/>
      <c r="F258" s="22" t="str">
        <f>IF(OR($A258="",B258="",B258&lt;=0,Séries!Q257=""),"",B258/Séries!Q257-1)</f>
        <v/>
      </c>
      <c r="G258" s="22" t="str">
        <f>IF(OR($A258="",C258="",C258&lt;=0,Séries!R257=""),"",C258/Séries!R257-1)</f>
        <v/>
      </c>
      <c r="H258" s="22" t="str">
        <f>IF(OR($A258="",D258="",D258&lt;=0,Séries!S257=""),"",D258/Séries!S257-1)</f>
        <v/>
      </c>
      <c r="I258" s="22" t="str">
        <f>IF(OR($A258="",E258="",E258&lt;=0,Séries!T257=""),"",E258/Séries!T257-1)</f>
        <v/>
      </c>
      <c r="J258" s="27"/>
      <c r="K258" s="1" t="str">
        <f>IF(COUNTA(A258:E258)=0,"",IF(A258="","Preencha a data",IF(NOT(ISNUMBER(A258)),"Data inválida",IF(OR(A258&lt;36526,A258&gt;73050,A258&lt;&gt;INT(A258)),"Data inválida",IF(A258&lt;=Séries!U257,"Data repetida / fora de ordem",IF(COUNTA(B258:E258)&lt;&gt;COUNT(B258:E258),"Use preços numéricos",IF(OR(AND(ISNUMBER(B258),B258&lt;=0),AND(ISNUMBER(C258),C258&lt;=0),AND(ISNUMBER(D258),D258&lt;=0),AND(ISNUMBER(E258),E258&lt;=0)),"Use preços positivos","")))))))</f>
        <v/>
      </c>
    </row>
    <row r="259" spans="1:11" ht="22.95" customHeight="1">
      <c r="A259" s="28"/>
      <c r="B259" s="29"/>
      <c r="C259" s="29"/>
      <c r="D259" s="29"/>
      <c r="E259" s="30"/>
      <c r="F259" s="22" t="str">
        <f>IF(OR($A259="",B259="",B259&lt;=0,Séries!Q258=""),"",B259/Séries!Q258-1)</f>
        <v/>
      </c>
      <c r="G259" s="22" t="str">
        <f>IF(OR($A259="",C259="",C259&lt;=0,Séries!R258=""),"",C259/Séries!R258-1)</f>
        <v/>
      </c>
      <c r="H259" s="22" t="str">
        <f>IF(OR($A259="",D259="",D259&lt;=0,Séries!S258=""),"",D259/Séries!S258-1)</f>
        <v/>
      </c>
      <c r="I259" s="22" t="str">
        <f>IF(OR($A259="",E259="",E259&lt;=0,Séries!T258=""),"",E259/Séries!T258-1)</f>
        <v/>
      </c>
      <c r="J259" s="27"/>
      <c r="K259" s="1" t="str">
        <f>IF(COUNTA(A259:E259)=0,"",IF(A259="","Preencha a data",IF(NOT(ISNUMBER(A259)),"Data inválida",IF(OR(A259&lt;36526,A259&gt;73050,A259&lt;&gt;INT(A259)),"Data inválida",IF(A259&lt;=Séries!U258,"Data repetida / fora de ordem",IF(COUNTA(B259:E259)&lt;&gt;COUNT(B259:E259),"Use preços numéricos",IF(OR(AND(ISNUMBER(B259),B259&lt;=0),AND(ISNUMBER(C259),C259&lt;=0),AND(ISNUMBER(D259),D259&lt;=0),AND(ISNUMBER(E259),E259&lt;=0)),"Use preços positivos","")))))))</f>
        <v/>
      </c>
    </row>
    <row r="260" spans="1:11" ht="22.95" customHeight="1">
      <c r="A260" s="28"/>
      <c r="B260" s="29"/>
      <c r="C260" s="29"/>
      <c r="D260" s="29"/>
      <c r="E260" s="30"/>
      <c r="F260" s="22" t="str">
        <f>IF(OR($A260="",B260="",B260&lt;=0,Séries!Q259=""),"",B260/Séries!Q259-1)</f>
        <v/>
      </c>
      <c r="G260" s="22" t="str">
        <f>IF(OR($A260="",C260="",C260&lt;=0,Séries!R259=""),"",C260/Séries!R259-1)</f>
        <v/>
      </c>
      <c r="H260" s="22" t="str">
        <f>IF(OR($A260="",D260="",D260&lt;=0,Séries!S259=""),"",D260/Séries!S259-1)</f>
        <v/>
      </c>
      <c r="I260" s="22" t="str">
        <f>IF(OR($A260="",E260="",E260&lt;=0,Séries!T259=""),"",E260/Séries!T259-1)</f>
        <v/>
      </c>
      <c r="J260" s="27"/>
      <c r="K260" s="1" t="str">
        <f>IF(COUNTA(A260:E260)=0,"",IF(A260="","Preencha a data",IF(NOT(ISNUMBER(A260)),"Data inválida",IF(OR(A260&lt;36526,A260&gt;73050,A260&lt;&gt;INT(A260)),"Data inválida",IF(A260&lt;=Séries!U259,"Data repetida / fora de ordem",IF(COUNTA(B260:E260)&lt;&gt;COUNT(B260:E260),"Use preços numéricos",IF(OR(AND(ISNUMBER(B260),B260&lt;=0),AND(ISNUMBER(C260),C260&lt;=0),AND(ISNUMBER(D260),D260&lt;=0),AND(ISNUMBER(E260),E260&lt;=0)),"Use preços positivos","")))))))</f>
        <v/>
      </c>
    </row>
    <row r="261" spans="1:11" ht="22.95" customHeight="1">
      <c r="A261" s="28"/>
      <c r="B261" s="29"/>
      <c r="C261" s="29"/>
      <c r="D261" s="29"/>
      <c r="E261" s="30"/>
      <c r="F261" s="22" t="str">
        <f>IF(OR($A261="",B261="",B261&lt;=0,Séries!Q260=""),"",B261/Séries!Q260-1)</f>
        <v/>
      </c>
      <c r="G261" s="22" t="str">
        <f>IF(OR($A261="",C261="",C261&lt;=0,Séries!R260=""),"",C261/Séries!R260-1)</f>
        <v/>
      </c>
      <c r="H261" s="22" t="str">
        <f>IF(OR($A261="",D261="",D261&lt;=0,Séries!S260=""),"",D261/Séries!S260-1)</f>
        <v/>
      </c>
      <c r="I261" s="22" t="str">
        <f>IF(OR($A261="",E261="",E261&lt;=0,Séries!T260=""),"",E261/Séries!T260-1)</f>
        <v/>
      </c>
      <c r="J261" s="27"/>
      <c r="K261" s="1" t="str">
        <f>IF(COUNTA(A261:E261)=0,"",IF(A261="","Preencha a data",IF(NOT(ISNUMBER(A261)),"Data inválida",IF(OR(A261&lt;36526,A261&gt;73050,A261&lt;&gt;INT(A261)),"Data inválida",IF(A261&lt;=Séries!U260,"Data repetida / fora de ordem",IF(COUNTA(B261:E261)&lt;&gt;COUNT(B261:E261),"Use preços numéricos",IF(OR(AND(ISNUMBER(B261),B261&lt;=0),AND(ISNUMBER(C261),C261&lt;=0),AND(ISNUMBER(D261),D261&lt;=0),AND(ISNUMBER(E261),E261&lt;=0)),"Use preços positivos","")))))))</f>
        <v/>
      </c>
    </row>
    <row r="262" spans="1:11" ht="22.95" customHeight="1">
      <c r="A262" s="28"/>
      <c r="B262" s="29"/>
      <c r="C262" s="29"/>
      <c r="D262" s="29"/>
      <c r="E262" s="30"/>
      <c r="F262" s="22" t="str">
        <f>IF(OR($A262="",B262="",B262&lt;=0,Séries!Q261=""),"",B262/Séries!Q261-1)</f>
        <v/>
      </c>
      <c r="G262" s="22" t="str">
        <f>IF(OR($A262="",C262="",C262&lt;=0,Séries!R261=""),"",C262/Séries!R261-1)</f>
        <v/>
      </c>
      <c r="H262" s="22" t="str">
        <f>IF(OR($A262="",D262="",D262&lt;=0,Séries!S261=""),"",D262/Séries!S261-1)</f>
        <v/>
      </c>
      <c r="I262" s="22" t="str">
        <f>IF(OR($A262="",E262="",E262&lt;=0,Séries!T261=""),"",E262/Séries!T261-1)</f>
        <v/>
      </c>
      <c r="J262" s="27"/>
      <c r="K262" s="1" t="str">
        <f>IF(COUNTA(A262:E262)=0,"",IF(A262="","Preencha a data",IF(NOT(ISNUMBER(A262)),"Data inválida",IF(OR(A262&lt;36526,A262&gt;73050,A262&lt;&gt;INT(A262)),"Data inválida",IF(A262&lt;=Séries!U261,"Data repetida / fora de ordem",IF(COUNTA(B262:E262)&lt;&gt;COUNT(B262:E262),"Use preços numéricos",IF(OR(AND(ISNUMBER(B262),B262&lt;=0),AND(ISNUMBER(C262),C262&lt;=0),AND(ISNUMBER(D262),D262&lt;=0),AND(ISNUMBER(E262),E262&lt;=0)),"Use preços positivos","")))))))</f>
        <v/>
      </c>
    </row>
    <row r="263" spans="1:11" ht="22.95" customHeight="1">
      <c r="A263" s="28"/>
      <c r="B263" s="29"/>
      <c r="C263" s="29"/>
      <c r="D263" s="29"/>
      <c r="E263" s="30"/>
      <c r="F263" s="22" t="str">
        <f>IF(OR($A263="",B263="",B263&lt;=0,Séries!Q262=""),"",B263/Séries!Q262-1)</f>
        <v/>
      </c>
      <c r="G263" s="22" t="str">
        <f>IF(OR($A263="",C263="",C263&lt;=0,Séries!R262=""),"",C263/Séries!R262-1)</f>
        <v/>
      </c>
      <c r="H263" s="22" t="str">
        <f>IF(OR($A263="",D263="",D263&lt;=0,Séries!S262=""),"",D263/Séries!S262-1)</f>
        <v/>
      </c>
      <c r="I263" s="22" t="str">
        <f>IF(OR($A263="",E263="",E263&lt;=0,Séries!T262=""),"",E263/Séries!T262-1)</f>
        <v/>
      </c>
      <c r="J263" s="27"/>
      <c r="K263" s="1" t="str">
        <f>IF(COUNTA(A263:E263)=0,"",IF(A263="","Preencha a data",IF(NOT(ISNUMBER(A263)),"Data inválida",IF(OR(A263&lt;36526,A263&gt;73050,A263&lt;&gt;INT(A263)),"Data inválida",IF(A263&lt;=Séries!U262,"Data repetida / fora de ordem",IF(COUNTA(B263:E263)&lt;&gt;COUNT(B263:E263),"Use preços numéricos",IF(OR(AND(ISNUMBER(B263),B263&lt;=0),AND(ISNUMBER(C263),C263&lt;=0),AND(ISNUMBER(D263),D263&lt;=0),AND(ISNUMBER(E263),E263&lt;=0)),"Use preços positivos","")))))))</f>
        <v/>
      </c>
    </row>
    <row r="264" spans="1:11" ht="22.95" customHeight="1">
      <c r="A264" s="28"/>
      <c r="B264" s="29"/>
      <c r="C264" s="29"/>
      <c r="D264" s="29"/>
      <c r="E264" s="30"/>
      <c r="F264" s="22" t="str">
        <f>IF(OR($A264="",B264="",B264&lt;=0,Séries!Q263=""),"",B264/Séries!Q263-1)</f>
        <v/>
      </c>
      <c r="G264" s="22" t="str">
        <f>IF(OR($A264="",C264="",C264&lt;=0,Séries!R263=""),"",C264/Séries!R263-1)</f>
        <v/>
      </c>
      <c r="H264" s="22" t="str">
        <f>IF(OR($A264="",D264="",D264&lt;=0,Séries!S263=""),"",D264/Séries!S263-1)</f>
        <v/>
      </c>
      <c r="I264" s="22" t="str">
        <f>IF(OR($A264="",E264="",E264&lt;=0,Séries!T263=""),"",E264/Séries!T263-1)</f>
        <v/>
      </c>
      <c r="J264" s="27"/>
      <c r="K264" s="1" t="str">
        <f>IF(COUNTA(A264:E264)=0,"",IF(A264="","Preencha a data",IF(NOT(ISNUMBER(A264)),"Data inválida",IF(OR(A264&lt;36526,A264&gt;73050,A264&lt;&gt;INT(A264)),"Data inválida",IF(A264&lt;=Séries!U263,"Data repetida / fora de ordem",IF(COUNTA(B264:E264)&lt;&gt;COUNT(B264:E264),"Use preços numéricos",IF(OR(AND(ISNUMBER(B264),B264&lt;=0),AND(ISNUMBER(C264),C264&lt;=0),AND(ISNUMBER(D264),D264&lt;=0),AND(ISNUMBER(E264),E264&lt;=0)),"Use preços positivos","")))))))</f>
        <v/>
      </c>
    </row>
    <row r="265" spans="1:11" ht="22.95" customHeight="1">
      <c r="A265" s="28"/>
      <c r="B265" s="29"/>
      <c r="C265" s="29"/>
      <c r="D265" s="29"/>
      <c r="E265" s="30"/>
      <c r="F265" s="22" t="str">
        <f>IF(OR($A265="",B265="",B265&lt;=0,Séries!Q264=""),"",B265/Séries!Q264-1)</f>
        <v/>
      </c>
      <c r="G265" s="22" t="str">
        <f>IF(OR($A265="",C265="",C265&lt;=0,Séries!R264=""),"",C265/Séries!R264-1)</f>
        <v/>
      </c>
      <c r="H265" s="22" t="str">
        <f>IF(OR($A265="",D265="",D265&lt;=0,Séries!S264=""),"",D265/Séries!S264-1)</f>
        <v/>
      </c>
      <c r="I265" s="22" t="str">
        <f>IF(OR($A265="",E265="",E265&lt;=0,Séries!T264=""),"",E265/Séries!T264-1)</f>
        <v/>
      </c>
      <c r="J265" s="27"/>
      <c r="K265" s="1" t="str">
        <f>IF(COUNTA(A265:E265)=0,"",IF(A265="","Preencha a data",IF(NOT(ISNUMBER(A265)),"Data inválida",IF(OR(A265&lt;36526,A265&gt;73050,A265&lt;&gt;INT(A265)),"Data inválida",IF(A265&lt;=Séries!U264,"Data repetida / fora de ordem",IF(COUNTA(B265:E265)&lt;&gt;COUNT(B265:E265),"Use preços numéricos",IF(OR(AND(ISNUMBER(B265),B265&lt;=0),AND(ISNUMBER(C265),C265&lt;=0),AND(ISNUMBER(D265),D265&lt;=0),AND(ISNUMBER(E265),E265&lt;=0)),"Use preços positivos","")))))))</f>
        <v/>
      </c>
    </row>
    <row r="266" spans="1:11" ht="22.95" customHeight="1">
      <c r="A266" s="28"/>
      <c r="B266" s="29"/>
      <c r="C266" s="29"/>
      <c r="D266" s="29"/>
      <c r="E266" s="30"/>
      <c r="F266" s="22" t="str">
        <f>IF(OR($A266="",B266="",B266&lt;=0,Séries!Q265=""),"",B266/Séries!Q265-1)</f>
        <v/>
      </c>
      <c r="G266" s="22" t="str">
        <f>IF(OR($A266="",C266="",C266&lt;=0,Séries!R265=""),"",C266/Séries!R265-1)</f>
        <v/>
      </c>
      <c r="H266" s="22" t="str">
        <f>IF(OR($A266="",D266="",D266&lt;=0,Séries!S265=""),"",D266/Séries!S265-1)</f>
        <v/>
      </c>
      <c r="I266" s="22" t="str">
        <f>IF(OR($A266="",E266="",E266&lt;=0,Séries!T265=""),"",E266/Séries!T265-1)</f>
        <v/>
      </c>
      <c r="J266" s="27"/>
      <c r="K266" s="1" t="str">
        <f>IF(COUNTA(A266:E266)=0,"",IF(A266="","Preencha a data",IF(NOT(ISNUMBER(A266)),"Data inválida",IF(OR(A266&lt;36526,A266&gt;73050,A266&lt;&gt;INT(A266)),"Data inválida",IF(A266&lt;=Séries!U265,"Data repetida / fora de ordem",IF(COUNTA(B266:E266)&lt;&gt;COUNT(B266:E266),"Use preços numéricos",IF(OR(AND(ISNUMBER(B266),B266&lt;=0),AND(ISNUMBER(C266),C266&lt;=0),AND(ISNUMBER(D266),D266&lt;=0),AND(ISNUMBER(E266),E266&lt;=0)),"Use preços positivos","")))))))</f>
        <v/>
      </c>
    </row>
    <row r="267" spans="1:11" ht="22.95" customHeight="1">
      <c r="A267" s="28"/>
      <c r="B267" s="29"/>
      <c r="C267" s="29"/>
      <c r="D267" s="29"/>
      <c r="E267" s="30"/>
      <c r="F267" s="22" t="str">
        <f>IF(OR($A267="",B267="",B267&lt;=0,Séries!Q266=""),"",B267/Séries!Q266-1)</f>
        <v/>
      </c>
      <c r="G267" s="22" t="str">
        <f>IF(OR($A267="",C267="",C267&lt;=0,Séries!R266=""),"",C267/Séries!R266-1)</f>
        <v/>
      </c>
      <c r="H267" s="22" t="str">
        <f>IF(OR($A267="",D267="",D267&lt;=0,Séries!S266=""),"",D267/Séries!S266-1)</f>
        <v/>
      </c>
      <c r="I267" s="22" t="str">
        <f>IF(OR($A267="",E267="",E267&lt;=0,Séries!T266=""),"",E267/Séries!T266-1)</f>
        <v/>
      </c>
      <c r="J267" s="27"/>
      <c r="K267" s="1" t="str">
        <f>IF(COUNTA(A267:E267)=0,"",IF(A267="","Preencha a data",IF(NOT(ISNUMBER(A267)),"Data inválida",IF(OR(A267&lt;36526,A267&gt;73050,A267&lt;&gt;INT(A267)),"Data inválida",IF(A267&lt;=Séries!U266,"Data repetida / fora de ordem",IF(COUNTA(B267:E267)&lt;&gt;COUNT(B267:E267),"Use preços numéricos",IF(OR(AND(ISNUMBER(B267),B267&lt;=0),AND(ISNUMBER(C267),C267&lt;=0),AND(ISNUMBER(D267),D267&lt;=0),AND(ISNUMBER(E267),E267&lt;=0)),"Use preços positivos","")))))))</f>
        <v/>
      </c>
    </row>
    <row r="268" spans="1:11" ht="22.95" customHeight="1">
      <c r="A268" s="28"/>
      <c r="B268" s="29"/>
      <c r="C268" s="29"/>
      <c r="D268" s="29"/>
      <c r="E268" s="30"/>
      <c r="F268" s="22" t="str">
        <f>IF(OR($A268="",B268="",B268&lt;=0,Séries!Q267=""),"",B268/Séries!Q267-1)</f>
        <v/>
      </c>
      <c r="G268" s="22" t="str">
        <f>IF(OR($A268="",C268="",C268&lt;=0,Séries!R267=""),"",C268/Séries!R267-1)</f>
        <v/>
      </c>
      <c r="H268" s="22" t="str">
        <f>IF(OR($A268="",D268="",D268&lt;=0,Séries!S267=""),"",D268/Séries!S267-1)</f>
        <v/>
      </c>
      <c r="I268" s="22" t="str">
        <f>IF(OR($A268="",E268="",E268&lt;=0,Séries!T267=""),"",E268/Séries!T267-1)</f>
        <v/>
      </c>
      <c r="J268" s="27"/>
      <c r="K268" s="1" t="str">
        <f>IF(COUNTA(A268:E268)=0,"",IF(A268="","Preencha a data",IF(NOT(ISNUMBER(A268)),"Data inválida",IF(OR(A268&lt;36526,A268&gt;73050,A268&lt;&gt;INT(A268)),"Data inválida",IF(A268&lt;=Séries!U267,"Data repetida / fora de ordem",IF(COUNTA(B268:E268)&lt;&gt;COUNT(B268:E268),"Use preços numéricos",IF(OR(AND(ISNUMBER(B268),B268&lt;=0),AND(ISNUMBER(C268),C268&lt;=0),AND(ISNUMBER(D268),D268&lt;=0),AND(ISNUMBER(E268),E268&lt;=0)),"Use preços positivos","")))))))</f>
        <v/>
      </c>
    </row>
    <row r="269" spans="1:11" ht="22.95" customHeight="1">
      <c r="A269" s="28"/>
      <c r="B269" s="29"/>
      <c r="C269" s="29"/>
      <c r="D269" s="29"/>
      <c r="E269" s="30"/>
      <c r="F269" s="22" t="str">
        <f>IF(OR($A269="",B269="",B269&lt;=0,Séries!Q268=""),"",B269/Séries!Q268-1)</f>
        <v/>
      </c>
      <c r="G269" s="22" t="str">
        <f>IF(OR($A269="",C269="",C269&lt;=0,Séries!R268=""),"",C269/Séries!R268-1)</f>
        <v/>
      </c>
      <c r="H269" s="22" t="str">
        <f>IF(OR($A269="",D269="",D269&lt;=0,Séries!S268=""),"",D269/Séries!S268-1)</f>
        <v/>
      </c>
      <c r="I269" s="22" t="str">
        <f>IF(OR($A269="",E269="",E269&lt;=0,Séries!T268=""),"",E269/Séries!T268-1)</f>
        <v/>
      </c>
      <c r="J269" s="27"/>
      <c r="K269" s="1" t="str">
        <f>IF(COUNTA(A269:E269)=0,"",IF(A269="","Preencha a data",IF(NOT(ISNUMBER(A269)),"Data inválida",IF(OR(A269&lt;36526,A269&gt;73050,A269&lt;&gt;INT(A269)),"Data inválida",IF(A269&lt;=Séries!U268,"Data repetida / fora de ordem",IF(COUNTA(B269:E269)&lt;&gt;COUNT(B269:E269),"Use preços numéricos",IF(OR(AND(ISNUMBER(B269),B269&lt;=0),AND(ISNUMBER(C269),C269&lt;=0),AND(ISNUMBER(D269),D269&lt;=0),AND(ISNUMBER(E269),E269&lt;=0)),"Use preços positivos","")))))))</f>
        <v/>
      </c>
    </row>
    <row r="270" spans="1:11" ht="22.95" customHeight="1">
      <c r="A270" s="28"/>
      <c r="B270" s="29"/>
      <c r="C270" s="29"/>
      <c r="D270" s="29"/>
      <c r="E270" s="30"/>
      <c r="F270" s="22" t="str">
        <f>IF(OR($A270="",B270="",B270&lt;=0,Séries!Q269=""),"",B270/Séries!Q269-1)</f>
        <v/>
      </c>
      <c r="G270" s="22" t="str">
        <f>IF(OR($A270="",C270="",C270&lt;=0,Séries!R269=""),"",C270/Séries!R269-1)</f>
        <v/>
      </c>
      <c r="H270" s="22" t="str">
        <f>IF(OR($A270="",D270="",D270&lt;=0,Séries!S269=""),"",D270/Séries!S269-1)</f>
        <v/>
      </c>
      <c r="I270" s="22" t="str">
        <f>IF(OR($A270="",E270="",E270&lt;=0,Séries!T269=""),"",E270/Séries!T269-1)</f>
        <v/>
      </c>
      <c r="J270" s="27"/>
      <c r="K270" s="1" t="str">
        <f>IF(COUNTA(A270:E270)=0,"",IF(A270="","Preencha a data",IF(NOT(ISNUMBER(A270)),"Data inválida",IF(OR(A270&lt;36526,A270&gt;73050,A270&lt;&gt;INT(A270)),"Data inválida",IF(A270&lt;=Séries!U269,"Data repetida / fora de ordem",IF(COUNTA(B270:E270)&lt;&gt;COUNT(B270:E270),"Use preços numéricos",IF(OR(AND(ISNUMBER(B270),B270&lt;=0),AND(ISNUMBER(C270),C270&lt;=0),AND(ISNUMBER(D270),D270&lt;=0),AND(ISNUMBER(E270),E270&lt;=0)),"Use preços positivos","")))))))</f>
        <v/>
      </c>
    </row>
    <row r="271" spans="1:11" ht="22.95" customHeight="1">
      <c r="A271" s="28"/>
      <c r="B271" s="29"/>
      <c r="C271" s="29"/>
      <c r="D271" s="29"/>
      <c r="E271" s="30"/>
      <c r="F271" s="22" t="str">
        <f>IF(OR($A271="",B271="",B271&lt;=0,Séries!Q270=""),"",B271/Séries!Q270-1)</f>
        <v/>
      </c>
      <c r="G271" s="22" t="str">
        <f>IF(OR($A271="",C271="",C271&lt;=0,Séries!R270=""),"",C271/Séries!R270-1)</f>
        <v/>
      </c>
      <c r="H271" s="22" t="str">
        <f>IF(OR($A271="",D271="",D271&lt;=0,Séries!S270=""),"",D271/Séries!S270-1)</f>
        <v/>
      </c>
      <c r="I271" s="22" t="str">
        <f>IF(OR($A271="",E271="",E271&lt;=0,Séries!T270=""),"",E271/Séries!T270-1)</f>
        <v/>
      </c>
      <c r="J271" s="27"/>
      <c r="K271" s="1" t="str">
        <f>IF(COUNTA(A271:E271)=0,"",IF(A271="","Preencha a data",IF(NOT(ISNUMBER(A271)),"Data inválida",IF(OR(A271&lt;36526,A271&gt;73050,A271&lt;&gt;INT(A271)),"Data inválida",IF(A271&lt;=Séries!U270,"Data repetida / fora de ordem",IF(COUNTA(B271:E271)&lt;&gt;COUNT(B271:E271),"Use preços numéricos",IF(OR(AND(ISNUMBER(B271),B271&lt;=0),AND(ISNUMBER(C271),C271&lt;=0),AND(ISNUMBER(D271),D271&lt;=0),AND(ISNUMBER(E271),E271&lt;=0)),"Use preços positivos","")))))))</f>
        <v/>
      </c>
    </row>
    <row r="272" spans="1:11" ht="22.95" customHeight="1">
      <c r="A272" s="28"/>
      <c r="B272" s="29"/>
      <c r="C272" s="29"/>
      <c r="D272" s="29"/>
      <c r="E272" s="30"/>
      <c r="F272" s="22" t="str">
        <f>IF(OR($A272="",B272="",B272&lt;=0,Séries!Q271=""),"",B272/Séries!Q271-1)</f>
        <v/>
      </c>
      <c r="G272" s="22" t="str">
        <f>IF(OR($A272="",C272="",C272&lt;=0,Séries!R271=""),"",C272/Séries!R271-1)</f>
        <v/>
      </c>
      <c r="H272" s="22" t="str">
        <f>IF(OR($A272="",D272="",D272&lt;=0,Séries!S271=""),"",D272/Séries!S271-1)</f>
        <v/>
      </c>
      <c r="I272" s="22" t="str">
        <f>IF(OR($A272="",E272="",E272&lt;=0,Séries!T271=""),"",E272/Séries!T271-1)</f>
        <v/>
      </c>
      <c r="J272" s="27"/>
      <c r="K272" s="1" t="str">
        <f>IF(COUNTA(A272:E272)=0,"",IF(A272="","Preencha a data",IF(NOT(ISNUMBER(A272)),"Data inválida",IF(OR(A272&lt;36526,A272&gt;73050,A272&lt;&gt;INT(A272)),"Data inválida",IF(A272&lt;=Séries!U271,"Data repetida / fora de ordem",IF(COUNTA(B272:E272)&lt;&gt;COUNT(B272:E272),"Use preços numéricos",IF(OR(AND(ISNUMBER(B272),B272&lt;=0),AND(ISNUMBER(C272),C272&lt;=0),AND(ISNUMBER(D272),D272&lt;=0),AND(ISNUMBER(E272),E272&lt;=0)),"Use preços positivos","")))))))</f>
        <v/>
      </c>
    </row>
    <row r="273" spans="1:11" ht="22.95" customHeight="1">
      <c r="A273" s="28"/>
      <c r="B273" s="29"/>
      <c r="C273" s="29"/>
      <c r="D273" s="29"/>
      <c r="E273" s="30"/>
      <c r="F273" s="22" t="str">
        <f>IF(OR($A273="",B273="",B273&lt;=0,Séries!Q272=""),"",B273/Séries!Q272-1)</f>
        <v/>
      </c>
      <c r="G273" s="22" t="str">
        <f>IF(OR($A273="",C273="",C273&lt;=0,Séries!R272=""),"",C273/Séries!R272-1)</f>
        <v/>
      </c>
      <c r="H273" s="22" t="str">
        <f>IF(OR($A273="",D273="",D273&lt;=0,Séries!S272=""),"",D273/Séries!S272-1)</f>
        <v/>
      </c>
      <c r="I273" s="22" t="str">
        <f>IF(OR($A273="",E273="",E273&lt;=0,Séries!T272=""),"",E273/Séries!T272-1)</f>
        <v/>
      </c>
      <c r="J273" s="27"/>
      <c r="K273" s="1" t="str">
        <f>IF(COUNTA(A273:E273)=0,"",IF(A273="","Preencha a data",IF(NOT(ISNUMBER(A273)),"Data inválida",IF(OR(A273&lt;36526,A273&gt;73050,A273&lt;&gt;INT(A273)),"Data inválida",IF(A273&lt;=Séries!U272,"Data repetida / fora de ordem",IF(COUNTA(B273:E273)&lt;&gt;COUNT(B273:E273),"Use preços numéricos",IF(OR(AND(ISNUMBER(B273),B273&lt;=0),AND(ISNUMBER(C273),C273&lt;=0),AND(ISNUMBER(D273),D273&lt;=0),AND(ISNUMBER(E273),E273&lt;=0)),"Use preços positivos","")))))))</f>
        <v/>
      </c>
    </row>
    <row r="274" spans="1:11" ht="22.95" customHeight="1">
      <c r="A274" s="28"/>
      <c r="B274" s="29"/>
      <c r="C274" s="29"/>
      <c r="D274" s="29"/>
      <c r="E274" s="30"/>
      <c r="F274" s="22" t="str">
        <f>IF(OR($A274="",B274="",B274&lt;=0,Séries!Q273=""),"",B274/Séries!Q273-1)</f>
        <v/>
      </c>
      <c r="G274" s="22" t="str">
        <f>IF(OR($A274="",C274="",C274&lt;=0,Séries!R273=""),"",C274/Séries!R273-1)</f>
        <v/>
      </c>
      <c r="H274" s="22" t="str">
        <f>IF(OR($A274="",D274="",D274&lt;=0,Séries!S273=""),"",D274/Séries!S273-1)</f>
        <v/>
      </c>
      <c r="I274" s="22" t="str">
        <f>IF(OR($A274="",E274="",E274&lt;=0,Séries!T273=""),"",E274/Séries!T273-1)</f>
        <v/>
      </c>
      <c r="J274" s="27"/>
      <c r="K274" s="1" t="str">
        <f>IF(COUNTA(A274:E274)=0,"",IF(A274="","Preencha a data",IF(NOT(ISNUMBER(A274)),"Data inválida",IF(OR(A274&lt;36526,A274&gt;73050,A274&lt;&gt;INT(A274)),"Data inválida",IF(A274&lt;=Séries!U273,"Data repetida / fora de ordem",IF(COUNTA(B274:E274)&lt;&gt;COUNT(B274:E274),"Use preços numéricos",IF(OR(AND(ISNUMBER(B274),B274&lt;=0),AND(ISNUMBER(C274),C274&lt;=0),AND(ISNUMBER(D274),D274&lt;=0),AND(ISNUMBER(E274),E274&lt;=0)),"Use preços positivos","")))))))</f>
        <v/>
      </c>
    </row>
    <row r="275" spans="1:11" ht="22.95" customHeight="1">
      <c r="A275" s="28"/>
      <c r="B275" s="29"/>
      <c r="C275" s="29"/>
      <c r="D275" s="29"/>
      <c r="E275" s="30"/>
      <c r="F275" s="22" t="str">
        <f>IF(OR($A275="",B275="",B275&lt;=0,Séries!Q274=""),"",B275/Séries!Q274-1)</f>
        <v/>
      </c>
      <c r="G275" s="22" t="str">
        <f>IF(OR($A275="",C275="",C275&lt;=0,Séries!R274=""),"",C275/Séries!R274-1)</f>
        <v/>
      </c>
      <c r="H275" s="22" t="str">
        <f>IF(OR($A275="",D275="",D275&lt;=0,Séries!S274=""),"",D275/Séries!S274-1)</f>
        <v/>
      </c>
      <c r="I275" s="22" t="str">
        <f>IF(OR($A275="",E275="",E275&lt;=0,Séries!T274=""),"",E275/Séries!T274-1)</f>
        <v/>
      </c>
      <c r="J275" s="27"/>
      <c r="K275" s="1" t="str">
        <f>IF(COUNTA(A275:E275)=0,"",IF(A275="","Preencha a data",IF(NOT(ISNUMBER(A275)),"Data inválida",IF(OR(A275&lt;36526,A275&gt;73050,A275&lt;&gt;INT(A275)),"Data inválida",IF(A275&lt;=Séries!U274,"Data repetida / fora de ordem",IF(COUNTA(B275:E275)&lt;&gt;COUNT(B275:E275),"Use preços numéricos",IF(OR(AND(ISNUMBER(B275),B275&lt;=0),AND(ISNUMBER(C275),C275&lt;=0),AND(ISNUMBER(D275),D275&lt;=0),AND(ISNUMBER(E275),E275&lt;=0)),"Use preços positivos","")))))))</f>
        <v/>
      </c>
    </row>
    <row r="276" spans="1:11" ht="22.95" customHeight="1">
      <c r="A276" s="28"/>
      <c r="B276" s="29"/>
      <c r="C276" s="29"/>
      <c r="D276" s="29"/>
      <c r="E276" s="30"/>
      <c r="F276" s="22" t="str">
        <f>IF(OR($A276="",B276="",B276&lt;=0,Séries!Q275=""),"",B276/Séries!Q275-1)</f>
        <v/>
      </c>
      <c r="G276" s="22" t="str">
        <f>IF(OR($A276="",C276="",C276&lt;=0,Séries!R275=""),"",C276/Séries!R275-1)</f>
        <v/>
      </c>
      <c r="H276" s="22" t="str">
        <f>IF(OR($A276="",D276="",D276&lt;=0,Séries!S275=""),"",D276/Séries!S275-1)</f>
        <v/>
      </c>
      <c r="I276" s="22" t="str">
        <f>IF(OR($A276="",E276="",E276&lt;=0,Séries!T275=""),"",E276/Séries!T275-1)</f>
        <v/>
      </c>
      <c r="J276" s="27"/>
      <c r="K276" s="1" t="str">
        <f>IF(COUNTA(A276:E276)=0,"",IF(A276="","Preencha a data",IF(NOT(ISNUMBER(A276)),"Data inválida",IF(OR(A276&lt;36526,A276&gt;73050,A276&lt;&gt;INT(A276)),"Data inválida",IF(A276&lt;=Séries!U275,"Data repetida / fora de ordem",IF(COUNTA(B276:E276)&lt;&gt;COUNT(B276:E276),"Use preços numéricos",IF(OR(AND(ISNUMBER(B276),B276&lt;=0),AND(ISNUMBER(C276),C276&lt;=0),AND(ISNUMBER(D276),D276&lt;=0),AND(ISNUMBER(E276),E276&lt;=0)),"Use preços positivos","")))))))</f>
        <v/>
      </c>
    </row>
    <row r="277" spans="1:11" ht="22.95" customHeight="1">
      <c r="A277" s="28"/>
      <c r="B277" s="29"/>
      <c r="C277" s="29"/>
      <c r="D277" s="29"/>
      <c r="E277" s="30"/>
      <c r="F277" s="22" t="str">
        <f>IF(OR($A277="",B277="",B277&lt;=0,Séries!Q276=""),"",B277/Séries!Q276-1)</f>
        <v/>
      </c>
      <c r="G277" s="22" t="str">
        <f>IF(OR($A277="",C277="",C277&lt;=0,Séries!R276=""),"",C277/Séries!R276-1)</f>
        <v/>
      </c>
      <c r="H277" s="22" t="str">
        <f>IF(OR($A277="",D277="",D277&lt;=0,Séries!S276=""),"",D277/Séries!S276-1)</f>
        <v/>
      </c>
      <c r="I277" s="22" t="str">
        <f>IF(OR($A277="",E277="",E277&lt;=0,Séries!T276=""),"",E277/Séries!T276-1)</f>
        <v/>
      </c>
      <c r="J277" s="27"/>
      <c r="K277" s="1" t="str">
        <f>IF(COUNTA(A277:E277)=0,"",IF(A277="","Preencha a data",IF(NOT(ISNUMBER(A277)),"Data inválida",IF(OR(A277&lt;36526,A277&gt;73050,A277&lt;&gt;INT(A277)),"Data inválida",IF(A277&lt;=Séries!U276,"Data repetida / fora de ordem",IF(COUNTA(B277:E277)&lt;&gt;COUNT(B277:E277),"Use preços numéricos",IF(OR(AND(ISNUMBER(B277),B277&lt;=0),AND(ISNUMBER(C277),C277&lt;=0),AND(ISNUMBER(D277),D277&lt;=0),AND(ISNUMBER(E277),E277&lt;=0)),"Use preços positivos","")))))))</f>
        <v/>
      </c>
    </row>
    <row r="278" spans="1:11" ht="22.95" customHeight="1">
      <c r="A278" s="28"/>
      <c r="B278" s="29"/>
      <c r="C278" s="29"/>
      <c r="D278" s="29"/>
      <c r="E278" s="30"/>
      <c r="F278" s="22" t="str">
        <f>IF(OR($A278="",B278="",B278&lt;=0,Séries!Q277=""),"",B278/Séries!Q277-1)</f>
        <v/>
      </c>
      <c r="G278" s="22" t="str">
        <f>IF(OR($A278="",C278="",C278&lt;=0,Séries!R277=""),"",C278/Séries!R277-1)</f>
        <v/>
      </c>
      <c r="H278" s="22" t="str">
        <f>IF(OR($A278="",D278="",D278&lt;=0,Séries!S277=""),"",D278/Séries!S277-1)</f>
        <v/>
      </c>
      <c r="I278" s="22" t="str">
        <f>IF(OR($A278="",E278="",E278&lt;=0,Séries!T277=""),"",E278/Séries!T277-1)</f>
        <v/>
      </c>
      <c r="J278" s="27"/>
      <c r="K278" s="1" t="str">
        <f>IF(COUNTA(A278:E278)=0,"",IF(A278="","Preencha a data",IF(NOT(ISNUMBER(A278)),"Data inválida",IF(OR(A278&lt;36526,A278&gt;73050,A278&lt;&gt;INT(A278)),"Data inválida",IF(A278&lt;=Séries!U277,"Data repetida / fora de ordem",IF(COUNTA(B278:E278)&lt;&gt;COUNT(B278:E278),"Use preços numéricos",IF(OR(AND(ISNUMBER(B278),B278&lt;=0),AND(ISNUMBER(C278),C278&lt;=0),AND(ISNUMBER(D278),D278&lt;=0),AND(ISNUMBER(E278),E278&lt;=0)),"Use preços positivos","")))))))</f>
        <v/>
      </c>
    </row>
    <row r="279" spans="1:11" ht="22.95" customHeight="1">
      <c r="A279" s="28"/>
      <c r="B279" s="29"/>
      <c r="C279" s="29"/>
      <c r="D279" s="29"/>
      <c r="E279" s="30"/>
      <c r="F279" s="22" t="str">
        <f>IF(OR($A279="",B279="",B279&lt;=0,Séries!Q278=""),"",B279/Séries!Q278-1)</f>
        <v/>
      </c>
      <c r="G279" s="22" t="str">
        <f>IF(OR($A279="",C279="",C279&lt;=0,Séries!R278=""),"",C279/Séries!R278-1)</f>
        <v/>
      </c>
      <c r="H279" s="22" t="str">
        <f>IF(OR($A279="",D279="",D279&lt;=0,Séries!S278=""),"",D279/Séries!S278-1)</f>
        <v/>
      </c>
      <c r="I279" s="22" t="str">
        <f>IF(OR($A279="",E279="",E279&lt;=0,Séries!T278=""),"",E279/Séries!T278-1)</f>
        <v/>
      </c>
      <c r="J279" s="27"/>
      <c r="K279" s="1" t="str">
        <f>IF(COUNTA(A279:E279)=0,"",IF(A279="","Preencha a data",IF(NOT(ISNUMBER(A279)),"Data inválida",IF(OR(A279&lt;36526,A279&gt;73050,A279&lt;&gt;INT(A279)),"Data inválida",IF(A279&lt;=Séries!U278,"Data repetida / fora de ordem",IF(COUNTA(B279:E279)&lt;&gt;COUNT(B279:E279),"Use preços numéricos",IF(OR(AND(ISNUMBER(B279),B279&lt;=0),AND(ISNUMBER(C279),C279&lt;=0),AND(ISNUMBER(D279),D279&lt;=0),AND(ISNUMBER(E279),E279&lt;=0)),"Use preços positivos","")))))))</f>
        <v/>
      </c>
    </row>
    <row r="280" spans="1:11" ht="22.95" customHeight="1">
      <c r="A280" s="28"/>
      <c r="B280" s="29"/>
      <c r="C280" s="29"/>
      <c r="D280" s="29"/>
      <c r="E280" s="30"/>
      <c r="F280" s="22" t="str">
        <f>IF(OR($A280="",B280="",B280&lt;=0,Séries!Q279=""),"",B280/Séries!Q279-1)</f>
        <v/>
      </c>
      <c r="G280" s="22" t="str">
        <f>IF(OR($A280="",C280="",C280&lt;=0,Séries!R279=""),"",C280/Séries!R279-1)</f>
        <v/>
      </c>
      <c r="H280" s="22" t="str">
        <f>IF(OR($A280="",D280="",D280&lt;=0,Séries!S279=""),"",D280/Séries!S279-1)</f>
        <v/>
      </c>
      <c r="I280" s="22" t="str">
        <f>IF(OR($A280="",E280="",E280&lt;=0,Séries!T279=""),"",E280/Séries!T279-1)</f>
        <v/>
      </c>
      <c r="J280" s="27"/>
      <c r="K280" s="1" t="str">
        <f>IF(COUNTA(A280:E280)=0,"",IF(A280="","Preencha a data",IF(NOT(ISNUMBER(A280)),"Data inválida",IF(OR(A280&lt;36526,A280&gt;73050,A280&lt;&gt;INT(A280)),"Data inválida",IF(A280&lt;=Séries!U279,"Data repetida / fora de ordem",IF(COUNTA(B280:E280)&lt;&gt;COUNT(B280:E280),"Use preços numéricos",IF(OR(AND(ISNUMBER(B280),B280&lt;=0),AND(ISNUMBER(C280),C280&lt;=0),AND(ISNUMBER(D280),D280&lt;=0),AND(ISNUMBER(E280),E280&lt;=0)),"Use preços positivos","")))))))</f>
        <v/>
      </c>
    </row>
    <row r="281" spans="1:11" ht="22.95" customHeight="1">
      <c r="A281" s="28"/>
      <c r="B281" s="29"/>
      <c r="C281" s="29"/>
      <c r="D281" s="29"/>
      <c r="E281" s="30"/>
      <c r="F281" s="22" t="str">
        <f>IF(OR($A281="",B281="",B281&lt;=0,Séries!Q280=""),"",B281/Séries!Q280-1)</f>
        <v/>
      </c>
      <c r="G281" s="22" t="str">
        <f>IF(OR($A281="",C281="",C281&lt;=0,Séries!R280=""),"",C281/Séries!R280-1)</f>
        <v/>
      </c>
      <c r="H281" s="22" t="str">
        <f>IF(OR($A281="",D281="",D281&lt;=0,Séries!S280=""),"",D281/Séries!S280-1)</f>
        <v/>
      </c>
      <c r="I281" s="22" t="str">
        <f>IF(OR($A281="",E281="",E281&lt;=0,Séries!T280=""),"",E281/Séries!T280-1)</f>
        <v/>
      </c>
      <c r="J281" s="27"/>
      <c r="K281" s="1" t="str">
        <f>IF(COUNTA(A281:E281)=0,"",IF(A281="","Preencha a data",IF(NOT(ISNUMBER(A281)),"Data inválida",IF(OR(A281&lt;36526,A281&gt;73050,A281&lt;&gt;INT(A281)),"Data inválida",IF(A281&lt;=Séries!U280,"Data repetida / fora de ordem",IF(COUNTA(B281:E281)&lt;&gt;COUNT(B281:E281),"Use preços numéricos",IF(OR(AND(ISNUMBER(B281),B281&lt;=0),AND(ISNUMBER(C281),C281&lt;=0),AND(ISNUMBER(D281),D281&lt;=0),AND(ISNUMBER(E281),E281&lt;=0)),"Use preços positivos","")))))))</f>
        <v/>
      </c>
    </row>
    <row r="282" spans="1:11" ht="22.95" customHeight="1">
      <c r="A282" s="28"/>
      <c r="B282" s="29"/>
      <c r="C282" s="29"/>
      <c r="D282" s="29"/>
      <c r="E282" s="30"/>
      <c r="F282" s="22" t="str">
        <f>IF(OR($A282="",B282="",B282&lt;=0,Séries!Q281=""),"",B282/Séries!Q281-1)</f>
        <v/>
      </c>
      <c r="G282" s="22" t="str">
        <f>IF(OR($A282="",C282="",C282&lt;=0,Séries!R281=""),"",C282/Séries!R281-1)</f>
        <v/>
      </c>
      <c r="H282" s="22" t="str">
        <f>IF(OR($A282="",D282="",D282&lt;=0,Séries!S281=""),"",D282/Séries!S281-1)</f>
        <v/>
      </c>
      <c r="I282" s="22" t="str">
        <f>IF(OR($A282="",E282="",E282&lt;=0,Séries!T281=""),"",E282/Séries!T281-1)</f>
        <v/>
      </c>
      <c r="J282" s="27"/>
      <c r="K282" s="1" t="str">
        <f>IF(COUNTA(A282:E282)=0,"",IF(A282="","Preencha a data",IF(NOT(ISNUMBER(A282)),"Data inválida",IF(OR(A282&lt;36526,A282&gt;73050,A282&lt;&gt;INT(A282)),"Data inválida",IF(A282&lt;=Séries!U281,"Data repetida / fora de ordem",IF(COUNTA(B282:E282)&lt;&gt;COUNT(B282:E282),"Use preços numéricos",IF(OR(AND(ISNUMBER(B282),B282&lt;=0),AND(ISNUMBER(C282),C282&lt;=0),AND(ISNUMBER(D282),D282&lt;=0),AND(ISNUMBER(E282),E282&lt;=0)),"Use preços positivos","")))))))</f>
        <v/>
      </c>
    </row>
    <row r="283" spans="1:11" ht="22.95" customHeight="1">
      <c r="A283" s="28"/>
      <c r="B283" s="29"/>
      <c r="C283" s="29"/>
      <c r="D283" s="29"/>
      <c r="E283" s="30"/>
      <c r="F283" s="22" t="str">
        <f>IF(OR($A283="",B283="",B283&lt;=0,Séries!Q282=""),"",B283/Séries!Q282-1)</f>
        <v/>
      </c>
      <c r="G283" s="22" t="str">
        <f>IF(OR($A283="",C283="",C283&lt;=0,Séries!R282=""),"",C283/Séries!R282-1)</f>
        <v/>
      </c>
      <c r="H283" s="22" t="str">
        <f>IF(OR($A283="",D283="",D283&lt;=0,Séries!S282=""),"",D283/Séries!S282-1)</f>
        <v/>
      </c>
      <c r="I283" s="22" t="str">
        <f>IF(OR($A283="",E283="",E283&lt;=0,Séries!T282=""),"",E283/Séries!T282-1)</f>
        <v/>
      </c>
      <c r="J283" s="27"/>
      <c r="K283" s="1" t="str">
        <f>IF(COUNTA(A283:E283)=0,"",IF(A283="","Preencha a data",IF(NOT(ISNUMBER(A283)),"Data inválida",IF(OR(A283&lt;36526,A283&gt;73050,A283&lt;&gt;INT(A283)),"Data inválida",IF(A283&lt;=Séries!U282,"Data repetida / fora de ordem",IF(COUNTA(B283:E283)&lt;&gt;COUNT(B283:E283),"Use preços numéricos",IF(OR(AND(ISNUMBER(B283),B283&lt;=0),AND(ISNUMBER(C283),C283&lt;=0),AND(ISNUMBER(D283),D283&lt;=0),AND(ISNUMBER(E283),E283&lt;=0)),"Use preços positivos","")))))))</f>
        <v/>
      </c>
    </row>
    <row r="284" spans="1:11" ht="22.95" customHeight="1">
      <c r="A284" s="28"/>
      <c r="B284" s="29"/>
      <c r="C284" s="29"/>
      <c r="D284" s="29"/>
      <c r="E284" s="30"/>
      <c r="F284" s="22" t="str">
        <f>IF(OR($A284="",B284="",B284&lt;=0,Séries!Q283=""),"",B284/Séries!Q283-1)</f>
        <v/>
      </c>
      <c r="G284" s="22" t="str">
        <f>IF(OR($A284="",C284="",C284&lt;=0,Séries!R283=""),"",C284/Séries!R283-1)</f>
        <v/>
      </c>
      <c r="H284" s="22" t="str">
        <f>IF(OR($A284="",D284="",D284&lt;=0,Séries!S283=""),"",D284/Séries!S283-1)</f>
        <v/>
      </c>
      <c r="I284" s="22" t="str">
        <f>IF(OR($A284="",E284="",E284&lt;=0,Séries!T283=""),"",E284/Séries!T283-1)</f>
        <v/>
      </c>
      <c r="J284" s="27"/>
      <c r="K284" s="1" t="str">
        <f>IF(COUNTA(A284:E284)=0,"",IF(A284="","Preencha a data",IF(NOT(ISNUMBER(A284)),"Data inválida",IF(OR(A284&lt;36526,A284&gt;73050,A284&lt;&gt;INT(A284)),"Data inválida",IF(A284&lt;=Séries!U283,"Data repetida / fora de ordem",IF(COUNTA(B284:E284)&lt;&gt;COUNT(B284:E284),"Use preços numéricos",IF(OR(AND(ISNUMBER(B284),B284&lt;=0),AND(ISNUMBER(C284),C284&lt;=0),AND(ISNUMBER(D284),D284&lt;=0),AND(ISNUMBER(E284),E284&lt;=0)),"Use preços positivos","")))))))</f>
        <v/>
      </c>
    </row>
    <row r="285" spans="1:11" ht="22.95" customHeight="1">
      <c r="A285" s="28"/>
      <c r="B285" s="29"/>
      <c r="C285" s="29"/>
      <c r="D285" s="29"/>
      <c r="E285" s="30"/>
      <c r="F285" s="22" t="str">
        <f>IF(OR($A285="",B285="",B285&lt;=0,Séries!Q284=""),"",B285/Séries!Q284-1)</f>
        <v/>
      </c>
      <c r="G285" s="22" t="str">
        <f>IF(OR($A285="",C285="",C285&lt;=0,Séries!R284=""),"",C285/Séries!R284-1)</f>
        <v/>
      </c>
      <c r="H285" s="22" t="str">
        <f>IF(OR($A285="",D285="",D285&lt;=0,Séries!S284=""),"",D285/Séries!S284-1)</f>
        <v/>
      </c>
      <c r="I285" s="22" t="str">
        <f>IF(OR($A285="",E285="",E285&lt;=0,Séries!T284=""),"",E285/Séries!T284-1)</f>
        <v/>
      </c>
      <c r="J285" s="27"/>
      <c r="K285" s="1" t="str">
        <f>IF(COUNTA(A285:E285)=0,"",IF(A285="","Preencha a data",IF(NOT(ISNUMBER(A285)),"Data inválida",IF(OR(A285&lt;36526,A285&gt;73050,A285&lt;&gt;INT(A285)),"Data inválida",IF(A285&lt;=Séries!U284,"Data repetida / fora de ordem",IF(COUNTA(B285:E285)&lt;&gt;COUNT(B285:E285),"Use preços numéricos",IF(OR(AND(ISNUMBER(B285),B285&lt;=0),AND(ISNUMBER(C285),C285&lt;=0),AND(ISNUMBER(D285),D285&lt;=0),AND(ISNUMBER(E285),E285&lt;=0)),"Use preços positivos","")))))))</f>
        <v/>
      </c>
    </row>
    <row r="286" spans="1:11" ht="22.95" customHeight="1">
      <c r="A286" s="28"/>
      <c r="B286" s="29"/>
      <c r="C286" s="29"/>
      <c r="D286" s="29"/>
      <c r="E286" s="30"/>
      <c r="F286" s="22" t="str">
        <f>IF(OR($A286="",B286="",B286&lt;=0,Séries!Q285=""),"",B286/Séries!Q285-1)</f>
        <v/>
      </c>
      <c r="G286" s="22" t="str">
        <f>IF(OR($A286="",C286="",C286&lt;=0,Séries!R285=""),"",C286/Séries!R285-1)</f>
        <v/>
      </c>
      <c r="H286" s="22" t="str">
        <f>IF(OR($A286="",D286="",D286&lt;=0,Séries!S285=""),"",D286/Séries!S285-1)</f>
        <v/>
      </c>
      <c r="I286" s="22" t="str">
        <f>IF(OR($A286="",E286="",E286&lt;=0,Séries!T285=""),"",E286/Séries!T285-1)</f>
        <v/>
      </c>
      <c r="J286" s="27"/>
      <c r="K286" s="1" t="str">
        <f>IF(COUNTA(A286:E286)=0,"",IF(A286="","Preencha a data",IF(NOT(ISNUMBER(A286)),"Data inválida",IF(OR(A286&lt;36526,A286&gt;73050,A286&lt;&gt;INT(A286)),"Data inválida",IF(A286&lt;=Séries!U285,"Data repetida / fora de ordem",IF(COUNTA(B286:E286)&lt;&gt;COUNT(B286:E286),"Use preços numéricos",IF(OR(AND(ISNUMBER(B286),B286&lt;=0),AND(ISNUMBER(C286),C286&lt;=0),AND(ISNUMBER(D286),D286&lt;=0),AND(ISNUMBER(E286),E286&lt;=0)),"Use preços positivos","")))))))</f>
        <v/>
      </c>
    </row>
    <row r="287" spans="1:11" ht="22.95" customHeight="1">
      <c r="A287" s="28"/>
      <c r="B287" s="29"/>
      <c r="C287" s="29"/>
      <c r="D287" s="29"/>
      <c r="E287" s="30"/>
      <c r="F287" s="22" t="str">
        <f>IF(OR($A287="",B287="",B287&lt;=0,Séries!Q286=""),"",B287/Séries!Q286-1)</f>
        <v/>
      </c>
      <c r="G287" s="22" t="str">
        <f>IF(OR($A287="",C287="",C287&lt;=0,Séries!R286=""),"",C287/Séries!R286-1)</f>
        <v/>
      </c>
      <c r="H287" s="22" t="str">
        <f>IF(OR($A287="",D287="",D287&lt;=0,Séries!S286=""),"",D287/Séries!S286-1)</f>
        <v/>
      </c>
      <c r="I287" s="22" t="str">
        <f>IF(OR($A287="",E287="",E287&lt;=0,Séries!T286=""),"",E287/Séries!T286-1)</f>
        <v/>
      </c>
      <c r="J287" s="27"/>
      <c r="K287" s="1" t="str">
        <f>IF(COUNTA(A287:E287)=0,"",IF(A287="","Preencha a data",IF(NOT(ISNUMBER(A287)),"Data inválida",IF(OR(A287&lt;36526,A287&gt;73050,A287&lt;&gt;INT(A287)),"Data inválida",IF(A287&lt;=Séries!U286,"Data repetida / fora de ordem",IF(COUNTA(B287:E287)&lt;&gt;COUNT(B287:E287),"Use preços numéricos",IF(OR(AND(ISNUMBER(B287),B287&lt;=0),AND(ISNUMBER(C287),C287&lt;=0),AND(ISNUMBER(D287),D287&lt;=0),AND(ISNUMBER(E287),E287&lt;=0)),"Use preços positivos","")))))))</f>
        <v/>
      </c>
    </row>
    <row r="288" spans="1:11" ht="22.95" customHeight="1">
      <c r="A288" s="28"/>
      <c r="B288" s="29"/>
      <c r="C288" s="29"/>
      <c r="D288" s="29"/>
      <c r="E288" s="30"/>
      <c r="F288" s="22" t="str">
        <f>IF(OR($A288="",B288="",B288&lt;=0,Séries!Q287=""),"",B288/Séries!Q287-1)</f>
        <v/>
      </c>
      <c r="G288" s="22" t="str">
        <f>IF(OR($A288="",C288="",C288&lt;=0,Séries!R287=""),"",C288/Séries!R287-1)</f>
        <v/>
      </c>
      <c r="H288" s="22" t="str">
        <f>IF(OR($A288="",D288="",D288&lt;=0,Séries!S287=""),"",D288/Séries!S287-1)</f>
        <v/>
      </c>
      <c r="I288" s="22" t="str">
        <f>IF(OR($A288="",E288="",E288&lt;=0,Séries!T287=""),"",E288/Séries!T287-1)</f>
        <v/>
      </c>
      <c r="J288" s="27"/>
      <c r="K288" s="1" t="str">
        <f>IF(COUNTA(A288:E288)=0,"",IF(A288="","Preencha a data",IF(NOT(ISNUMBER(A288)),"Data inválida",IF(OR(A288&lt;36526,A288&gt;73050,A288&lt;&gt;INT(A288)),"Data inválida",IF(A288&lt;=Séries!U287,"Data repetida / fora de ordem",IF(COUNTA(B288:E288)&lt;&gt;COUNT(B288:E288),"Use preços numéricos",IF(OR(AND(ISNUMBER(B288),B288&lt;=0),AND(ISNUMBER(C288),C288&lt;=0),AND(ISNUMBER(D288),D288&lt;=0),AND(ISNUMBER(E288),E288&lt;=0)),"Use preços positivos","")))))))</f>
        <v/>
      </c>
    </row>
    <row r="289" spans="1:11" ht="22.95" customHeight="1">
      <c r="A289" s="28"/>
      <c r="B289" s="29"/>
      <c r="C289" s="29"/>
      <c r="D289" s="29"/>
      <c r="E289" s="30"/>
      <c r="F289" s="22" t="str">
        <f>IF(OR($A289="",B289="",B289&lt;=0,Séries!Q288=""),"",B289/Séries!Q288-1)</f>
        <v/>
      </c>
      <c r="G289" s="22" t="str">
        <f>IF(OR($A289="",C289="",C289&lt;=0,Séries!R288=""),"",C289/Séries!R288-1)</f>
        <v/>
      </c>
      <c r="H289" s="22" t="str">
        <f>IF(OR($A289="",D289="",D289&lt;=0,Séries!S288=""),"",D289/Séries!S288-1)</f>
        <v/>
      </c>
      <c r="I289" s="22" t="str">
        <f>IF(OR($A289="",E289="",E289&lt;=0,Séries!T288=""),"",E289/Séries!T288-1)</f>
        <v/>
      </c>
      <c r="J289" s="27"/>
      <c r="K289" s="1" t="str">
        <f>IF(COUNTA(A289:E289)=0,"",IF(A289="","Preencha a data",IF(NOT(ISNUMBER(A289)),"Data inválida",IF(OR(A289&lt;36526,A289&gt;73050,A289&lt;&gt;INT(A289)),"Data inválida",IF(A289&lt;=Séries!U288,"Data repetida / fora de ordem",IF(COUNTA(B289:E289)&lt;&gt;COUNT(B289:E289),"Use preços numéricos",IF(OR(AND(ISNUMBER(B289),B289&lt;=0),AND(ISNUMBER(C289),C289&lt;=0),AND(ISNUMBER(D289),D289&lt;=0),AND(ISNUMBER(E289),E289&lt;=0)),"Use preços positivos","")))))))</f>
        <v/>
      </c>
    </row>
    <row r="290" spans="1:11" ht="22.95" customHeight="1">
      <c r="A290" s="28"/>
      <c r="B290" s="29"/>
      <c r="C290" s="29"/>
      <c r="D290" s="29"/>
      <c r="E290" s="30"/>
      <c r="F290" s="22" t="str">
        <f>IF(OR($A290="",B290="",B290&lt;=0,Séries!Q289=""),"",B290/Séries!Q289-1)</f>
        <v/>
      </c>
      <c r="G290" s="22" t="str">
        <f>IF(OR($A290="",C290="",C290&lt;=0,Séries!R289=""),"",C290/Séries!R289-1)</f>
        <v/>
      </c>
      <c r="H290" s="22" t="str">
        <f>IF(OR($A290="",D290="",D290&lt;=0,Séries!S289=""),"",D290/Séries!S289-1)</f>
        <v/>
      </c>
      <c r="I290" s="22" t="str">
        <f>IF(OR($A290="",E290="",E290&lt;=0,Séries!T289=""),"",E290/Séries!T289-1)</f>
        <v/>
      </c>
      <c r="J290" s="27"/>
      <c r="K290" s="1" t="str">
        <f>IF(COUNTA(A290:E290)=0,"",IF(A290="","Preencha a data",IF(NOT(ISNUMBER(A290)),"Data inválida",IF(OR(A290&lt;36526,A290&gt;73050,A290&lt;&gt;INT(A290)),"Data inválida",IF(A290&lt;=Séries!U289,"Data repetida / fora de ordem",IF(COUNTA(B290:E290)&lt;&gt;COUNT(B290:E290),"Use preços numéricos",IF(OR(AND(ISNUMBER(B290),B290&lt;=0),AND(ISNUMBER(C290),C290&lt;=0),AND(ISNUMBER(D290),D290&lt;=0),AND(ISNUMBER(E290),E290&lt;=0)),"Use preços positivos","")))))))</f>
        <v/>
      </c>
    </row>
    <row r="291" spans="1:11" ht="22.95" customHeight="1">
      <c r="A291" s="28"/>
      <c r="B291" s="29"/>
      <c r="C291" s="29"/>
      <c r="D291" s="29"/>
      <c r="E291" s="30"/>
      <c r="F291" s="22" t="str">
        <f>IF(OR($A291="",B291="",B291&lt;=0,Séries!Q290=""),"",B291/Séries!Q290-1)</f>
        <v/>
      </c>
      <c r="G291" s="22" t="str">
        <f>IF(OR($A291="",C291="",C291&lt;=0,Séries!R290=""),"",C291/Séries!R290-1)</f>
        <v/>
      </c>
      <c r="H291" s="22" t="str">
        <f>IF(OR($A291="",D291="",D291&lt;=0,Séries!S290=""),"",D291/Séries!S290-1)</f>
        <v/>
      </c>
      <c r="I291" s="22" t="str">
        <f>IF(OR($A291="",E291="",E291&lt;=0,Séries!T290=""),"",E291/Séries!T290-1)</f>
        <v/>
      </c>
      <c r="J291" s="27"/>
      <c r="K291" s="1" t="str">
        <f>IF(COUNTA(A291:E291)=0,"",IF(A291="","Preencha a data",IF(NOT(ISNUMBER(A291)),"Data inválida",IF(OR(A291&lt;36526,A291&gt;73050,A291&lt;&gt;INT(A291)),"Data inválida",IF(A291&lt;=Séries!U290,"Data repetida / fora de ordem",IF(COUNTA(B291:E291)&lt;&gt;COUNT(B291:E291),"Use preços numéricos",IF(OR(AND(ISNUMBER(B291),B291&lt;=0),AND(ISNUMBER(C291),C291&lt;=0),AND(ISNUMBER(D291),D291&lt;=0),AND(ISNUMBER(E291),E291&lt;=0)),"Use preços positivos","")))))))</f>
        <v/>
      </c>
    </row>
    <row r="292" spans="1:11" ht="22.95" customHeight="1">
      <c r="A292" s="28"/>
      <c r="B292" s="29"/>
      <c r="C292" s="29"/>
      <c r="D292" s="29"/>
      <c r="E292" s="30"/>
      <c r="F292" s="22" t="str">
        <f>IF(OR($A292="",B292="",B292&lt;=0,Séries!Q291=""),"",B292/Séries!Q291-1)</f>
        <v/>
      </c>
      <c r="G292" s="22" t="str">
        <f>IF(OR($A292="",C292="",C292&lt;=0,Séries!R291=""),"",C292/Séries!R291-1)</f>
        <v/>
      </c>
      <c r="H292" s="22" t="str">
        <f>IF(OR($A292="",D292="",D292&lt;=0,Séries!S291=""),"",D292/Séries!S291-1)</f>
        <v/>
      </c>
      <c r="I292" s="22" t="str">
        <f>IF(OR($A292="",E292="",E292&lt;=0,Séries!T291=""),"",E292/Séries!T291-1)</f>
        <v/>
      </c>
      <c r="J292" s="27"/>
      <c r="K292" s="1" t="str">
        <f>IF(COUNTA(A292:E292)=0,"",IF(A292="","Preencha a data",IF(NOT(ISNUMBER(A292)),"Data inválida",IF(OR(A292&lt;36526,A292&gt;73050,A292&lt;&gt;INT(A292)),"Data inválida",IF(A292&lt;=Séries!U291,"Data repetida / fora de ordem",IF(COUNTA(B292:E292)&lt;&gt;COUNT(B292:E292),"Use preços numéricos",IF(OR(AND(ISNUMBER(B292),B292&lt;=0),AND(ISNUMBER(C292),C292&lt;=0),AND(ISNUMBER(D292),D292&lt;=0),AND(ISNUMBER(E292),E292&lt;=0)),"Use preços positivos","")))))))</f>
        <v/>
      </c>
    </row>
    <row r="293" spans="1:11" ht="22.95" customHeight="1">
      <c r="A293" s="28"/>
      <c r="B293" s="29"/>
      <c r="C293" s="29"/>
      <c r="D293" s="29"/>
      <c r="E293" s="30"/>
      <c r="F293" s="22" t="str">
        <f>IF(OR($A293="",B293="",B293&lt;=0,Séries!Q292=""),"",B293/Séries!Q292-1)</f>
        <v/>
      </c>
      <c r="G293" s="22" t="str">
        <f>IF(OR($A293="",C293="",C293&lt;=0,Séries!R292=""),"",C293/Séries!R292-1)</f>
        <v/>
      </c>
      <c r="H293" s="22" t="str">
        <f>IF(OR($A293="",D293="",D293&lt;=0,Séries!S292=""),"",D293/Séries!S292-1)</f>
        <v/>
      </c>
      <c r="I293" s="22" t="str">
        <f>IF(OR($A293="",E293="",E293&lt;=0,Séries!T292=""),"",E293/Séries!T292-1)</f>
        <v/>
      </c>
      <c r="J293" s="27"/>
      <c r="K293" s="1" t="str">
        <f>IF(COUNTA(A293:E293)=0,"",IF(A293="","Preencha a data",IF(NOT(ISNUMBER(A293)),"Data inválida",IF(OR(A293&lt;36526,A293&gt;73050,A293&lt;&gt;INT(A293)),"Data inválida",IF(A293&lt;=Séries!U292,"Data repetida / fora de ordem",IF(COUNTA(B293:E293)&lt;&gt;COUNT(B293:E293),"Use preços numéricos",IF(OR(AND(ISNUMBER(B293),B293&lt;=0),AND(ISNUMBER(C293),C293&lt;=0),AND(ISNUMBER(D293),D293&lt;=0),AND(ISNUMBER(E293),E293&lt;=0)),"Use preços positivos","")))))))</f>
        <v/>
      </c>
    </row>
    <row r="294" spans="1:11" ht="22.95" customHeight="1">
      <c r="A294" s="28"/>
      <c r="B294" s="29"/>
      <c r="C294" s="29"/>
      <c r="D294" s="29"/>
      <c r="E294" s="30"/>
      <c r="F294" s="22" t="str">
        <f>IF(OR($A294="",B294="",B294&lt;=0,Séries!Q293=""),"",B294/Séries!Q293-1)</f>
        <v/>
      </c>
      <c r="G294" s="22" t="str">
        <f>IF(OR($A294="",C294="",C294&lt;=0,Séries!R293=""),"",C294/Séries!R293-1)</f>
        <v/>
      </c>
      <c r="H294" s="22" t="str">
        <f>IF(OR($A294="",D294="",D294&lt;=0,Séries!S293=""),"",D294/Séries!S293-1)</f>
        <v/>
      </c>
      <c r="I294" s="22" t="str">
        <f>IF(OR($A294="",E294="",E294&lt;=0,Séries!T293=""),"",E294/Séries!T293-1)</f>
        <v/>
      </c>
      <c r="J294" s="27"/>
      <c r="K294" s="1" t="str">
        <f>IF(COUNTA(A294:E294)=0,"",IF(A294="","Preencha a data",IF(NOT(ISNUMBER(A294)),"Data inválida",IF(OR(A294&lt;36526,A294&gt;73050,A294&lt;&gt;INT(A294)),"Data inválida",IF(A294&lt;=Séries!U293,"Data repetida / fora de ordem",IF(COUNTA(B294:E294)&lt;&gt;COUNT(B294:E294),"Use preços numéricos",IF(OR(AND(ISNUMBER(B294),B294&lt;=0),AND(ISNUMBER(C294),C294&lt;=0),AND(ISNUMBER(D294),D294&lt;=0),AND(ISNUMBER(E294),E294&lt;=0)),"Use preços positivos","")))))))</f>
        <v/>
      </c>
    </row>
    <row r="295" spans="1:11" ht="22.95" customHeight="1">
      <c r="A295" s="28"/>
      <c r="B295" s="29"/>
      <c r="C295" s="29"/>
      <c r="D295" s="29"/>
      <c r="E295" s="30"/>
      <c r="F295" s="22" t="str">
        <f>IF(OR($A295="",B295="",B295&lt;=0,Séries!Q294=""),"",B295/Séries!Q294-1)</f>
        <v/>
      </c>
      <c r="G295" s="22" t="str">
        <f>IF(OR($A295="",C295="",C295&lt;=0,Séries!R294=""),"",C295/Séries!R294-1)</f>
        <v/>
      </c>
      <c r="H295" s="22" t="str">
        <f>IF(OR($A295="",D295="",D295&lt;=0,Séries!S294=""),"",D295/Séries!S294-1)</f>
        <v/>
      </c>
      <c r="I295" s="22" t="str">
        <f>IF(OR($A295="",E295="",E295&lt;=0,Séries!T294=""),"",E295/Séries!T294-1)</f>
        <v/>
      </c>
      <c r="J295" s="27"/>
      <c r="K295" s="1" t="str">
        <f>IF(COUNTA(A295:E295)=0,"",IF(A295="","Preencha a data",IF(NOT(ISNUMBER(A295)),"Data inválida",IF(OR(A295&lt;36526,A295&gt;73050,A295&lt;&gt;INT(A295)),"Data inválida",IF(A295&lt;=Séries!U294,"Data repetida / fora de ordem",IF(COUNTA(B295:E295)&lt;&gt;COUNT(B295:E295),"Use preços numéricos",IF(OR(AND(ISNUMBER(B295),B295&lt;=0),AND(ISNUMBER(C295),C295&lt;=0),AND(ISNUMBER(D295),D295&lt;=0),AND(ISNUMBER(E295),E295&lt;=0)),"Use preços positivos","")))))))</f>
        <v/>
      </c>
    </row>
    <row r="296" spans="1:11" ht="22.95" customHeight="1">
      <c r="A296" s="28"/>
      <c r="B296" s="29"/>
      <c r="C296" s="29"/>
      <c r="D296" s="29"/>
      <c r="E296" s="30"/>
      <c r="F296" s="22" t="str">
        <f>IF(OR($A296="",B296="",B296&lt;=0,Séries!Q295=""),"",B296/Séries!Q295-1)</f>
        <v/>
      </c>
      <c r="G296" s="22" t="str">
        <f>IF(OR($A296="",C296="",C296&lt;=0,Séries!R295=""),"",C296/Séries!R295-1)</f>
        <v/>
      </c>
      <c r="H296" s="22" t="str">
        <f>IF(OR($A296="",D296="",D296&lt;=0,Séries!S295=""),"",D296/Séries!S295-1)</f>
        <v/>
      </c>
      <c r="I296" s="22" t="str">
        <f>IF(OR($A296="",E296="",E296&lt;=0,Séries!T295=""),"",E296/Séries!T295-1)</f>
        <v/>
      </c>
      <c r="J296" s="27"/>
      <c r="K296" s="1" t="str">
        <f>IF(COUNTA(A296:E296)=0,"",IF(A296="","Preencha a data",IF(NOT(ISNUMBER(A296)),"Data inválida",IF(OR(A296&lt;36526,A296&gt;73050,A296&lt;&gt;INT(A296)),"Data inválida",IF(A296&lt;=Séries!U295,"Data repetida / fora de ordem",IF(COUNTA(B296:E296)&lt;&gt;COUNT(B296:E296),"Use preços numéricos",IF(OR(AND(ISNUMBER(B296),B296&lt;=0),AND(ISNUMBER(C296),C296&lt;=0),AND(ISNUMBER(D296),D296&lt;=0),AND(ISNUMBER(E296),E296&lt;=0)),"Use preços positivos","")))))))</f>
        <v/>
      </c>
    </row>
    <row r="297" spans="1:11" ht="22.95" customHeight="1">
      <c r="A297" s="28"/>
      <c r="B297" s="29"/>
      <c r="C297" s="29"/>
      <c r="D297" s="29"/>
      <c r="E297" s="30"/>
      <c r="F297" s="22" t="str">
        <f>IF(OR($A297="",B297="",B297&lt;=0,Séries!Q296=""),"",B297/Séries!Q296-1)</f>
        <v/>
      </c>
      <c r="G297" s="22" t="str">
        <f>IF(OR($A297="",C297="",C297&lt;=0,Séries!R296=""),"",C297/Séries!R296-1)</f>
        <v/>
      </c>
      <c r="H297" s="22" t="str">
        <f>IF(OR($A297="",D297="",D297&lt;=0,Séries!S296=""),"",D297/Séries!S296-1)</f>
        <v/>
      </c>
      <c r="I297" s="22" t="str">
        <f>IF(OR($A297="",E297="",E297&lt;=0,Séries!T296=""),"",E297/Séries!T296-1)</f>
        <v/>
      </c>
      <c r="J297" s="27"/>
      <c r="K297" s="1" t="str">
        <f>IF(COUNTA(A297:E297)=0,"",IF(A297="","Preencha a data",IF(NOT(ISNUMBER(A297)),"Data inválida",IF(OR(A297&lt;36526,A297&gt;73050,A297&lt;&gt;INT(A297)),"Data inválida",IF(A297&lt;=Séries!U296,"Data repetida / fora de ordem",IF(COUNTA(B297:E297)&lt;&gt;COUNT(B297:E297),"Use preços numéricos",IF(OR(AND(ISNUMBER(B297),B297&lt;=0),AND(ISNUMBER(C297),C297&lt;=0),AND(ISNUMBER(D297),D297&lt;=0),AND(ISNUMBER(E297),E297&lt;=0)),"Use preços positivos","")))))))</f>
        <v/>
      </c>
    </row>
    <row r="298" spans="1:11" ht="22.95" customHeight="1">
      <c r="A298" s="28"/>
      <c r="B298" s="29"/>
      <c r="C298" s="29"/>
      <c r="D298" s="29"/>
      <c r="E298" s="30"/>
      <c r="F298" s="22" t="str">
        <f>IF(OR($A298="",B298="",B298&lt;=0,Séries!Q297=""),"",B298/Séries!Q297-1)</f>
        <v/>
      </c>
      <c r="G298" s="22" t="str">
        <f>IF(OR($A298="",C298="",C298&lt;=0,Séries!R297=""),"",C298/Séries!R297-1)</f>
        <v/>
      </c>
      <c r="H298" s="22" t="str">
        <f>IF(OR($A298="",D298="",D298&lt;=0,Séries!S297=""),"",D298/Séries!S297-1)</f>
        <v/>
      </c>
      <c r="I298" s="22" t="str">
        <f>IF(OR($A298="",E298="",E298&lt;=0,Séries!T297=""),"",E298/Séries!T297-1)</f>
        <v/>
      </c>
      <c r="J298" s="27"/>
      <c r="K298" s="1" t="str">
        <f>IF(COUNTA(A298:E298)=0,"",IF(A298="","Preencha a data",IF(NOT(ISNUMBER(A298)),"Data inválida",IF(OR(A298&lt;36526,A298&gt;73050,A298&lt;&gt;INT(A298)),"Data inválida",IF(A298&lt;=Séries!U297,"Data repetida / fora de ordem",IF(COUNTA(B298:E298)&lt;&gt;COUNT(B298:E298),"Use preços numéricos",IF(OR(AND(ISNUMBER(B298),B298&lt;=0),AND(ISNUMBER(C298),C298&lt;=0),AND(ISNUMBER(D298),D298&lt;=0),AND(ISNUMBER(E298),E298&lt;=0)),"Use preços positivos","")))))))</f>
        <v/>
      </c>
    </row>
    <row r="299" spans="1:11" ht="22.95" customHeight="1">
      <c r="A299" s="28"/>
      <c r="B299" s="29"/>
      <c r="C299" s="29"/>
      <c r="D299" s="29"/>
      <c r="E299" s="30"/>
      <c r="F299" s="22" t="str">
        <f>IF(OR($A299="",B299="",B299&lt;=0,Séries!Q298=""),"",B299/Séries!Q298-1)</f>
        <v/>
      </c>
      <c r="G299" s="22" t="str">
        <f>IF(OR($A299="",C299="",C299&lt;=0,Séries!R298=""),"",C299/Séries!R298-1)</f>
        <v/>
      </c>
      <c r="H299" s="22" t="str">
        <f>IF(OR($A299="",D299="",D299&lt;=0,Séries!S298=""),"",D299/Séries!S298-1)</f>
        <v/>
      </c>
      <c r="I299" s="22" t="str">
        <f>IF(OR($A299="",E299="",E299&lt;=0,Séries!T298=""),"",E299/Séries!T298-1)</f>
        <v/>
      </c>
      <c r="J299" s="27"/>
      <c r="K299" s="1" t="str">
        <f>IF(COUNTA(A299:E299)=0,"",IF(A299="","Preencha a data",IF(NOT(ISNUMBER(A299)),"Data inválida",IF(OR(A299&lt;36526,A299&gt;73050,A299&lt;&gt;INT(A299)),"Data inválida",IF(A299&lt;=Séries!U298,"Data repetida / fora de ordem",IF(COUNTA(B299:E299)&lt;&gt;COUNT(B299:E299),"Use preços numéricos",IF(OR(AND(ISNUMBER(B299),B299&lt;=0),AND(ISNUMBER(C299),C299&lt;=0),AND(ISNUMBER(D299),D299&lt;=0),AND(ISNUMBER(E299),E299&lt;=0)),"Use preços positivos","")))))))</f>
        <v/>
      </c>
    </row>
    <row r="300" spans="1:11" ht="22.95" customHeight="1">
      <c r="A300" s="28"/>
      <c r="B300" s="29"/>
      <c r="C300" s="29"/>
      <c r="D300" s="29"/>
      <c r="E300" s="30"/>
      <c r="F300" s="22" t="str">
        <f>IF(OR($A300="",B300="",B300&lt;=0,Séries!Q299=""),"",B300/Séries!Q299-1)</f>
        <v/>
      </c>
      <c r="G300" s="22" t="str">
        <f>IF(OR($A300="",C300="",C300&lt;=0,Séries!R299=""),"",C300/Séries!R299-1)</f>
        <v/>
      </c>
      <c r="H300" s="22" t="str">
        <f>IF(OR($A300="",D300="",D300&lt;=0,Séries!S299=""),"",D300/Séries!S299-1)</f>
        <v/>
      </c>
      <c r="I300" s="22" t="str">
        <f>IF(OR($A300="",E300="",E300&lt;=0,Séries!T299=""),"",E300/Séries!T299-1)</f>
        <v/>
      </c>
      <c r="J300" s="27"/>
      <c r="K300" s="1" t="str">
        <f>IF(COUNTA(A300:E300)=0,"",IF(A300="","Preencha a data",IF(NOT(ISNUMBER(A300)),"Data inválida",IF(OR(A300&lt;36526,A300&gt;73050,A300&lt;&gt;INT(A300)),"Data inválida",IF(A300&lt;=Séries!U299,"Data repetida / fora de ordem",IF(COUNTA(B300:E300)&lt;&gt;COUNT(B300:E300),"Use preços numéricos",IF(OR(AND(ISNUMBER(B300),B300&lt;=0),AND(ISNUMBER(C300),C300&lt;=0),AND(ISNUMBER(D300),D300&lt;=0),AND(ISNUMBER(E300),E300&lt;=0)),"Use preços positivos","")))))))</f>
        <v/>
      </c>
    </row>
    <row r="301" spans="1:11" ht="22.95" customHeight="1">
      <c r="A301" s="28"/>
      <c r="B301" s="29"/>
      <c r="C301" s="29"/>
      <c r="D301" s="29"/>
      <c r="E301" s="30"/>
      <c r="F301" s="22" t="str">
        <f>IF(OR($A301="",B301="",B301&lt;=0,Séries!Q300=""),"",B301/Séries!Q300-1)</f>
        <v/>
      </c>
      <c r="G301" s="22" t="str">
        <f>IF(OR($A301="",C301="",C301&lt;=0,Séries!R300=""),"",C301/Séries!R300-1)</f>
        <v/>
      </c>
      <c r="H301" s="22" t="str">
        <f>IF(OR($A301="",D301="",D301&lt;=0,Séries!S300=""),"",D301/Séries!S300-1)</f>
        <v/>
      </c>
      <c r="I301" s="22" t="str">
        <f>IF(OR($A301="",E301="",E301&lt;=0,Séries!T300=""),"",E301/Séries!T300-1)</f>
        <v/>
      </c>
      <c r="J301" s="27"/>
      <c r="K301" s="1" t="str">
        <f>IF(COUNTA(A301:E301)=0,"",IF(A301="","Preencha a data",IF(NOT(ISNUMBER(A301)),"Data inválida",IF(OR(A301&lt;36526,A301&gt;73050,A301&lt;&gt;INT(A301)),"Data inválida",IF(A301&lt;=Séries!U300,"Data repetida / fora de ordem",IF(COUNTA(B301:E301)&lt;&gt;COUNT(B301:E301),"Use preços numéricos",IF(OR(AND(ISNUMBER(B301),B301&lt;=0),AND(ISNUMBER(C301),C301&lt;=0),AND(ISNUMBER(D301),D301&lt;=0),AND(ISNUMBER(E301),E301&lt;=0)),"Use preços positivos","")))))))</f>
        <v/>
      </c>
    </row>
    <row r="302" spans="1:11" ht="22.95" customHeight="1">
      <c r="A302" s="28"/>
      <c r="B302" s="29"/>
      <c r="C302" s="29"/>
      <c r="D302" s="29"/>
      <c r="E302" s="30"/>
      <c r="F302" s="22" t="str">
        <f>IF(OR($A302="",B302="",B302&lt;=0,Séries!Q301=""),"",B302/Séries!Q301-1)</f>
        <v/>
      </c>
      <c r="G302" s="22" t="str">
        <f>IF(OR($A302="",C302="",C302&lt;=0,Séries!R301=""),"",C302/Séries!R301-1)</f>
        <v/>
      </c>
      <c r="H302" s="22" t="str">
        <f>IF(OR($A302="",D302="",D302&lt;=0,Séries!S301=""),"",D302/Séries!S301-1)</f>
        <v/>
      </c>
      <c r="I302" s="22" t="str">
        <f>IF(OR($A302="",E302="",E302&lt;=0,Séries!T301=""),"",E302/Séries!T301-1)</f>
        <v/>
      </c>
      <c r="J302" s="27"/>
      <c r="K302" s="1" t="str">
        <f>IF(COUNTA(A302:E302)=0,"",IF(A302="","Preencha a data",IF(NOT(ISNUMBER(A302)),"Data inválida",IF(OR(A302&lt;36526,A302&gt;73050,A302&lt;&gt;INT(A302)),"Data inválida",IF(A302&lt;=Séries!U301,"Data repetida / fora de ordem",IF(COUNTA(B302:E302)&lt;&gt;COUNT(B302:E302),"Use preços numéricos",IF(OR(AND(ISNUMBER(B302),B302&lt;=0),AND(ISNUMBER(C302),C302&lt;=0),AND(ISNUMBER(D302),D302&lt;=0),AND(ISNUMBER(E302),E302&lt;=0)),"Use preços positivos","")))))))</f>
        <v/>
      </c>
    </row>
    <row r="303" spans="1:11" ht="22.95" customHeight="1">
      <c r="A303" s="28"/>
      <c r="B303" s="29"/>
      <c r="C303" s="29"/>
      <c r="D303" s="29"/>
      <c r="E303" s="30"/>
      <c r="F303" s="22" t="str">
        <f>IF(OR($A303="",B303="",B303&lt;=0,Séries!Q302=""),"",B303/Séries!Q302-1)</f>
        <v/>
      </c>
      <c r="G303" s="22" t="str">
        <f>IF(OR($A303="",C303="",C303&lt;=0,Séries!R302=""),"",C303/Séries!R302-1)</f>
        <v/>
      </c>
      <c r="H303" s="22" t="str">
        <f>IF(OR($A303="",D303="",D303&lt;=0,Séries!S302=""),"",D303/Séries!S302-1)</f>
        <v/>
      </c>
      <c r="I303" s="22" t="str">
        <f>IF(OR($A303="",E303="",E303&lt;=0,Séries!T302=""),"",E303/Séries!T302-1)</f>
        <v/>
      </c>
      <c r="J303" s="27"/>
      <c r="K303" s="1" t="str">
        <f>IF(COUNTA(A303:E303)=0,"",IF(A303="","Preencha a data",IF(NOT(ISNUMBER(A303)),"Data inválida",IF(OR(A303&lt;36526,A303&gt;73050,A303&lt;&gt;INT(A303)),"Data inválida",IF(A303&lt;=Séries!U302,"Data repetida / fora de ordem",IF(COUNTA(B303:E303)&lt;&gt;COUNT(B303:E303),"Use preços numéricos",IF(OR(AND(ISNUMBER(B303),B303&lt;=0),AND(ISNUMBER(C303),C303&lt;=0),AND(ISNUMBER(D303),D303&lt;=0),AND(ISNUMBER(E303),E303&lt;=0)),"Use preços positivos","")))))))</f>
        <v/>
      </c>
    </row>
    <row r="304" spans="1:11" ht="22.95" customHeight="1">
      <c r="A304" s="28"/>
      <c r="B304" s="29"/>
      <c r="C304" s="29"/>
      <c r="D304" s="29"/>
      <c r="E304" s="30"/>
      <c r="F304" s="22" t="str">
        <f>IF(OR($A304="",B304="",B304&lt;=0,Séries!Q303=""),"",B304/Séries!Q303-1)</f>
        <v/>
      </c>
      <c r="G304" s="22" t="str">
        <f>IF(OR($A304="",C304="",C304&lt;=0,Séries!R303=""),"",C304/Séries!R303-1)</f>
        <v/>
      </c>
      <c r="H304" s="22" t="str">
        <f>IF(OR($A304="",D304="",D304&lt;=0,Séries!S303=""),"",D304/Séries!S303-1)</f>
        <v/>
      </c>
      <c r="I304" s="22" t="str">
        <f>IF(OR($A304="",E304="",E304&lt;=0,Séries!T303=""),"",E304/Séries!T303-1)</f>
        <v/>
      </c>
      <c r="J304" s="27"/>
      <c r="K304" s="1" t="str">
        <f>IF(COUNTA(A304:E304)=0,"",IF(A304="","Preencha a data",IF(NOT(ISNUMBER(A304)),"Data inválida",IF(OR(A304&lt;36526,A304&gt;73050,A304&lt;&gt;INT(A304)),"Data inválida",IF(A304&lt;=Séries!U303,"Data repetida / fora de ordem",IF(COUNTA(B304:E304)&lt;&gt;COUNT(B304:E304),"Use preços numéricos",IF(OR(AND(ISNUMBER(B304),B304&lt;=0),AND(ISNUMBER(C304),C304&lt;=0),AND(ISNUMBER(D304),D304&lt;=0),AND(ISNUMBER(E304),E304&lt;=0)),"Use preços positivos","")))))))</f>
        <v/>
      </c>
    </row>
    <row r="305" spans="1:11" ht="22.95" customHeight="1">
      <c r="A305" s="28"/>
      <c r="B305" s="29"/>
      <c r="C305" s="29"/>
      <c r="D305" s="29"/>
      <c r="E305" s="30"/>
      <c r="F305" s="22" t="str">
        <f>IF(OR($A305="",B305="",B305&lt;=0,Séries!Q304=""),"",B305/Séries!Q304-1)</f>
        <v/>
      </c>
      <c r="G305" s="22" t="str">
        <f>IF(OR($A305="",C305="",C305&lt;=0,Séries!R304=""),"",C305/Séries!R304-1)</f>
        <v/>
      </c>
      <c r="H305" s="22" t="str">
        <f>IF(OR($A305="",D305="",D305&lt;=0,Séries!S304=""),"",D305/Séries!S304-1)</f>
        <v/>
      </c>
      <c r="I305" s="22" t="str">
        <f>IF(OR($A305="",E305="",E305&lt;=0,Séries!T304=""),"",E305/Séries!T304-1)</f>
        <v/>
      </c>
      <c r="J305" s="27"/>
      <c r="K305" s="1" t="str">
        <f>IF(COUNTA(A305:E305)=0,"",IF(A305="","Preencha a data",IF(NOT(ISNUMBER(A305)),"Data inválida",IF(OR(A305&lt;36526,A305&gt;73050,A305&lt;&gt;INT(A305)),"Data inválida",IF(A305&lt;=Séries!U304,"Data repetida / fora de ordem",IF(COUNTA(B305:E305)&lt;&gt;COUNT(B305:E305),"Use preços numéricos",IF(OR(AND(ISNUMBER(B305),B305&lt;=0),AND(ISNUMBER(C305),C305&lt;=0),AND(ISNUMBER(D305),D305&lt;=0),AND(ISNUMBER(E305),E305&lt;=0)),"Use preços positivos","")))))))</f>
        <v/>
      </c>
    </row>
    <row r="306" spans="1:11" ht="22.95" customHeight="1">
      <c r="A306" s="28"/>
      <c r="B306" s="29"/>
      <c r="C306" s="29"/>
      <c r="D306" s="29"/>
      <c r="E306" s="30"/>
      <c r="F306" s="22" t="str">
        <f>IF(OR($A306="",B306="",B306&lt;=0,Séries!Q305=""),"",B306/Séries!Q305-1)</f>
        <v/>
      </c>
      <c r="G306" s="22" t="str">
        <f>IF(OR($A306="",C306="",C306&lt;=0,Séries!R305=""),"",C306/Séries!R305-1)</f>
        <v/>
      </c>
      <c r="H306" s="22" t="str">
        <f>IF(OR($A306="",D306="",D306&lt;=0,Séries!S305=""),"",D306/Séries!S305-1)</f>
        <v/>
      </c>
      <c r="I306" s="22" t="str">
        <f>IF(OR($A306="",E306="",E306&lt;=0,Séries!T305=""),"",E306/Séries!T305-1)</f>
        <v/>
      </c>
      <c r="J306" s="27"/>
      <c r="K306" s="1" t="str">
        <f>IF(COUNTA(A306:E306)=0,"",IF(A306="","Preencha a data",IF(NOT(ISNUMBER(A306)),"Data inválida",IF(OR(A306&lt;36526,A306&gt;73050,A306&lt;&gt;INT(A306)),"Data inválida",IF(A306&lt;=Séries!U305,"Data repetida / fora de ordem",IF(COUNTA(B306:E306)&lt;&gt;COUNT(B306:E306),"Use preços numéricos",IF(OR(AND(ISNUMBER(B306),B306&lt;=0),AND(ISNUMBER(C306),C306&lt;=0),AND(ISNUMBER(D306),D306&lt;=0),AND(ISNUMBER(E306),E306&lt;=0)),"Use preços positivos","")))))))</f>
        <v/>
      </c>
    </row>
    <row r="307" spans="1:11" ht="22.95" customHeight="1">
      <c r="A307" s="28"/>
      <c r="B307" s="29"/>
      <c r="C307" s="29"/>
      <c r="D307" s="29"/>
      <c r="E307" s="30"/>
      <c r="F307" s="22" t="str">
        <f>IF(OR($A307="",B307="",B307&lt;=0,Séries!Q306=""),"",B307/Séries!Q306-1)</f>
        <v/>
      </c>
      <c r="G307" s="22" t="str">
        <f>IF(OR($A307="",C307="",C307&lt;=0,Séries!R306=""),"",C307/Séries!R306-1)</f>
        <v/>
      </c>
      <c r="H307" s="22" t="str">
        <f>IF(OR($A307="",D307="",D307&lt;=0,Séries!S306=""),"",D307/Séries!S306-1)</f>
        <v/>
      </c>
      <c r="I307" s="22" t="str">
        <f>IF(OR($A307="",E307="",E307&lt;=0,Séries!T306=""),"",E307/Séries!T306-1)</f>
        <v/>
      </c>
      <c r="J307" s="27"/>
      <c r="K307" s="1" t="str">
        <f>IF(COUNTA(A307:E307)=0,"",IF(A307="","Preencha a data",IF(NOT(ISNUMBER(A307)),"Data inválida",IF(OR(A307&lt;36526,A307&gt;73050,A307&lt;&gt;INT(A307)),"Data inválida",IF(A307&lt;=Séries!U306,"Data repetida / fora de ordem",IF(COUNTA(B307:E307)&lt;&gt;COUNT(B307:E307),"Use preços numéricos",IF(OR(AND(ISNUMBER(B307),B307&lt;=0),AND(ISNUMBER(C307),C307&lt;=0),AND(ISNUMBER(D307),D307&lt;=0),AND(ISNUMBER(E307),E307&lt;=0)),"Use preços positivos","")))))))</f>
        <v/>
      </c>
    </row>
    <row r="308" spans="1:11" ht="22.95" customHeight="1">
      <c r="A308" s="28"/>
      <c r="B308" s="29"/>
      <c r="C308" s="29"/>
      <c r="D308" s="29"/>
      <c r="E308" s="30"/>
      <c r="F308" s="22" t="str">
        <f>IF(OR($A308="",B308="",B308&lt;=0,Séries!Q307=""),"",B308/Séries!Q307-1)</f>
        <v/>
      </c>
      <c r="G308" s="22" t="str">
        <f>IF(OR($A308="",C308="",C308&lt;=0,Séries!R307=""),"",C308/Séries!R307-1)</f>
        <v/>
      </c>
      <c r="H308" s="22" t="str">
        <f>IF(OR($A308="",D308="",D308&lt;=0,Séries!S307=""),"",D308/Séries!S307-1)</f>
        <v/>
      </c>
      <c r="I308" s="22" t="str">
        <f>IF(OR($A308="",E308="",E308&lt;=0,Séries!T307=""),"",E308/Séries!T307-1)</f>
        <v/>
      </c>
      <c r="J308" s="27"/>
      <c r="K308" s="1" t="str">
        <f>IF(COUNTA(A308:E308)=0,"",IF(A308="","Preencha a data",IF(NOT(ISNUMBER(A308)),"Data inválida",IF(OR(A308&lt;36526,A308&gt;73050,A308&lt;&gt;INT(A308)),"Data inválida",IF(A308&lt;=Séries!U307,"Data repetida / fora de ordem",IF(COUNTA(B308:E308)&lt;&gt;COUNT(B308:E308),"Use preços numéricos",IF(OR(AND(ISNUMBER(B308),B308&lt;=0),AND(ISNUMBER(C308),C308&lt;=0),AND(ISNUMBER(D308),D308&lt;=0),AND(ISNUMBER(E308),E308&lt;=0)),"Use preços positivos","")))))))</f>
        <v/>
      </c>
    </row>
    <row r="309" spans="1:11" ht="22.95" customHeight="1">
      <c r="A309" s="28"/>
      <c r="B309" s="29"/>
      <c r="C309" s="29"/>
      <c r="D309" s="29"/>
      <c r="E309" s="30"/>
      <c r="F309" s="22" t="str">
        <f>IF(OR($A309="",B309="",B309&lt;=0,Séries!Q308=""),"",B309/Séries!Q308-1)</f>
        <v/>
      </c>
      <c r="G309" s="22" t="str">
        <f>IF(OR($A309="",C309="",C309&lt;=0,Séries!R308=""),"",C309/Séries!R308-1)</f>
        <v/>
      </c>
      <c r="H309" s="22" t="str">
        <f>IF(OR($A309="",D309="",D309&lt;=0,Séries!S308=""),"",D309/Séries!S308-1)</f>
        <v/>
      </c>
      <c r="I309" s="22" t="str">
        <f>IF(OR($A309="",E309="",E309&lt;=0,Séries!T308=""),"",E309/Séries!T308-1)</f>
        <v/>
      </c>
      <c r="J309" s="27"/>
      <c r="K309" s="1" t="str">
        <f>IF(COUNTA(A309:E309)=0,"",IF(A309="","Preencha a data",IF(NOT(ISNUMBER(A309)),"Data inválida",IF(OR(A309&lt;36526,A309&gt;73050,A309&lt;&gt;INT(A309)),"Data inválida",IF(A309&lt;=Séries!U308,"Data repetida / fora de ordem",IF(COUNTA(B309:E309)&lt;&gt;COUNT(B309:E309),"Use preços numéricos",IF(OR(AND(ISNUMBER(B309),B309&lt;=0),AND(ISNUMBER(C309),C309&lt;=0),AND(ISNUMBER(D309),D309&lt;=0),AND(ISNUMBER(E309),E309&lt;=0)),"Use preços positivos","")))))))</f>
        <v/>
      </c>
    </row>
    <row r="310" spans="1:11" ht="22.95" customHeight="1">
      <c r="A310" s="28"/>
      <c r="B310" s="29"/>
      <c r="C310" s="29"/>
      <c r="D310" s="29"/>
      <c r="E310" s="30"/>
      <c r="F310" s="22" t="str">
        <f>IF(OR($A310="",B310="",B310&lt;=0,Séries!Q309=""),"",B310/Séries!Q309-1)</f>
        <v/>
      </c>
      <c r="G310" s="22" t="str">
        <f>IF(OR($A310="",C310="",C310&lt;=0,Séries!R309=""),"",C310/Séries!R309-1)</f>
        <v/>
      </c>
      <c r="H310" s="22" t="str">
        <f>IF(OR($A310="",D310="",D310&lt;=0,Séries!S309=""),"",D310/Séries!S309-1)</f>
        <v/>
      </c>
      <c r="I310" s="22" t="str">
        <f>IF(OR($A310="",E310="",E310&lt;=0,Séries!T309=""),"",E310/Séries!T309-1)</f>
        <v/>
      </c>
      <c r="J310" s="27"/>
      <c r="K310" s="1" t="str">
        <f>IF(COUNTA(A310:E310)=0,"",IF(A310="","Preencha a data",IF(NOT(ISNUMBER(A310)),"Data inválida",IF(OR(A310&lt;36526,A310&gt;73050,A310&lt;&gt;INT(A310)),"Data inválida",IF(A310&lt;=Séries!U309,"Data repetida / fora de ordem",IF(COUNTA(B310:E310)&lt;&gt;COUNT(B310:E310),"Use preços numéricos",IF(OR(AND(ISNUMBER(B310),B310&lt;=0),AND(ISNUMBER(C310),C310&lt;=0),AND(ISNUMBER(D310),D310&lt;=0),AND(ISNUMBER(E310),E310&lt;=0)),"Use preços positivos","")))))))</f>
        <v/>
      </c>
    </row>
    <row r="311" spans="1:11" ht="22.95" customHeight="1">
      <c r="A311" s="28"/>
      <c r="B311" s="29"/>
      <c r="C311" s="29"/>
      <c r="D311" s="29"/>
      <c r="E311" s="30"/>
      <c r="F311" s="22" t="str">
        <f>IF(OR($A311="",B311="",B311&lt;=0,Séries!Q310=""),"",B311/Séries!Q310-1)</f>
        <v/>
      </c>
      <c r="G311" s="22" t="str">
        <f>IF(OR($A311="",C311="",C311&lt;=0,Séries!R310=""),"",C311/Séries!R310-1)</f>
        <v/>
      </c>
      <c r="H311" s="22" t="str">
        <f>IF(OR($A311="",D311="",D311&lt;=0,Séries!S310=""),"",D311/Séries!S310-1)</f>
        <v/>
      </c>
      <c r="I311" s="22" t="str">
        <f>IF(OR($A311="",E311="",E311&lt;=0,Séries!T310=""),"",E311/Séries!T310-1)</f>
        <v/>
      </c>
      <c r="J311" s="27"/>
      <c r="K311" s="1" t="str">
        <f>IF(COUNTA(A311:E311)=0,"",IF(A311="","Preencha a data",IF(NOT(ISNUMBER(A311)),"Data inválida",IF(OR(A311&lt;36526,A311&gt;73050,A311&lt;&gt;INT(A311)),"Data inválida",IF(A311&lt;=Séries!U310,"Data repetida / fora de ordem",IF(COUNTA(B311:E311)&lt;&gt;COUNT(B311:E311),"Use preços numéricos",IF(OR(AND(ISNUMBER(B311),B311&lt;=0),AND(ISNUMBER(C311),C311&lt;=0),AND(ISNUMBER(D311),D311&lt;=0),AND(ISNUMBER(E311),E311&lt;=0)),"Use preços positivos","")))))))</f>
        <v/>
      </c>
    </row>
    <row r="312" spans="1:11" ht="22.95" customHeight="1">
      <c r="A312" s="28"/>
      <c r="B312" s="29"/>
      <c r="C312" s="29"/>
      <c r="D312" s="29"/>
      <c r="E312" s="30"/>
      <c r="F312" s="22" t="str">
        <f>IF(OR($A312="",B312="",B312&lt;=0,Séries!Q311=""),"",B312/Séries!Q311-1)</f>
        <v/>
      </c>
      <c r="G312" s="22" t="str">
        <f>IF(OR($A312="",C312="",C312&lt;=0,Séries!R311=""),"",C312/Séries!R311-1)</f>
        <v/>
      </c>
      <c r="H312" s="22" t="str">
        <f>IF(OR($A312="",D312="",D312&lt;=0,Séries!S311=""),"",D312/Séries!S311-1)</f>
        <v/>
      </c>
      <c r="I312" s="22" t="str">
        <f>IF(OR($A312="",E312="",E312&lt;=0,Séries!T311=""),"",E312/Séries!T311-1)</f>
        <v/>
      </c>
      <c r="J312" s="27"/>
      <c r="K312" s="1" t="str">
        <f>IF(COUNTA(A312:E312)=0,"",IF(A312="","Preencha a data",IF(NOT(ISNUMBER(A312)),"Data inválida",IF(OR(A312&lt;36526,A312&gt;73050,A312&lt;&gt;INT(A312)),"Data inválida",IF(A312&lt;=Séries!U311,"Data repetida / fora de ordem",IF(COUNTA(B312:E312)&lt;&gt;COUNT(B312:E312),"Use preços numéricos",IF(OR(AND(ISNUMBER(B312),B312&lt;=0),AND(ISNUMBER(C312),C312&lt;=0),AND(ISNUMBER(D312),D312&lt;=0),AND(ISNUMBER(E312),E312&lt;=0)),"Use preços positivos","")))))))</f>
        <v/>
      </c>
    </row>
    <row r="313" spans="1:11" ht="22.95" customHeight="1">
      <c r="A313" s="28"/>
      <c r="B313" s="29"/>
      <c r="C313" s="29"/>
      <c r="D313" s="29"/>
      <c r="E313" s="30"/>
      <c r="F313" s="22" t="str">
        <f>IF(OR($A313="",B313="",B313&lt;=0,Séries!Q312=""),"",B313/Séries!Q312-1)</f>
        <v/>
      </c>
      <c r="G313" s="22" t="str">
        <f>IF(OR($A313="",C313="",C313&lt;=0,Séries!R312=""),"",C313/Séries!R312-1)</f>
        <v/>
      </c>
      <c r="H313" s="22" t="str">
        <f>IF(OR($A313="",D313="",D313&lt;=0,Séries!S312=""),"",D313/Séries!S312-1)</f>
        <v/>
      </c>
      <c r="I313" s="22" t="str">
        <f>IF(OR($A313="",E313="",E313&lt;=0,Séries!T312=""),"",E313/Séries!T312-1)</f>
        <v/>
      </c>
      <c r="J313" s="27"/>
      <c r="K313" s="1" t="str">
        <f>IF(COUNTA(A313:E313)=0,"",IF(A313="","Preencha a data",IF(NOT(ISNUMBER(A313)),"Data inválida",IF(OR(A313&lt;36526,A313&gt;73050,A313&lt;&gt;INT(A313)),"Data inválida",IF(A313&lt;=Séries!U312,"Data repetida / fora de ordem",IF(COUNTA(B313:E313)&lt;&gt;COUNT(B313:E313),"Use preços numéricos",IF(OR(AND(ISNUMBER(B313),B313&lt;=0),AND(ISNUMBER(C313),C313&lt;=0),AND(ISNUMBER(D313),D313&lt;=0),AND(ISNUMBER(E313),E313&lt;=0)),"Use preços positivos","")))))))</f>
        <v/>
      </c>
    </row>
    <row r="314" spans="1:11" ht="22.95" customHeight="1">
      <c r="A314" s="28"/>
      <c r="B314" s="29"/>
      <c r="C314" s="29"/>
      <c r="D314" s="29"/>
      <c r="E314" s="30"/>
      <c r="F314" s="22" t="str">
        <f>IF(OR($A314="",B314="",B314&lt;=0,Séries!Q313=""),"",B314/Séries!Q313-1)</f>
        <v/>
      </c>
      <c r="G314" s="22" t="str">
        <f>IF(OR($A314="",C314="",C314&lt;=0,Séries!R313=""),"",C314/Séries!R313-1)</f>
        <v/>
      </c>
      <c r="H314" s="22" t="str">
        <f>IF(OR($A314="",D314="",D314&lt;=0,Séries!S313=""),"",D314/Séries!S313-1)</f>
        <v/>
      </c>
      <c r="I314" s="22" t="str">
        <f>IF(OR($A314="",E314="",E314&lt;=0,Séries!T313=""),"",E314/Séries!T313-1)</f>
        <v/>
      </c>
      <c r="J314" s="27"/>
      <c r="K314" s="1" t="str">
        <f>IF(COUNTA(A314:E314)=0,"",IF(A314="","Preencha a data",IF(NOT(ISNUMBER(A314)),"Data inválida",IF(OR(A314&lt;36526,A314&gt;73050,A314&lt;&gt;INT(A314)),"Data inválida",IF(A314&lt;=Séries!U313,"Data repetida / fora de ordem",IF(COUNTA(B314:E314)&lt;&gt;COUNT(B314:E314),"Use preços numéricos",IF(OR(AND(ISNUMBER(B314),B314&lt;=0),AND(ISNUMBER(C314),C314&lt;=0),AND(ISNUMBER(D314),D314&lt;=0),AND(ISNUMBER(E314),E314&lt;=0)),"Use preços positivos","")))))))</f>
        <v/>
      </c>
    </row>
    <row r="315" spans="1:11" ht="22.95" customHeight="1">
      <c r="A315" s="28"/>
      <c r="B315" s="29"/>
      <c r="C315" s="29"/>
      <c r="D315" s="29"/>
      <c r="E315" s="30"/>
      <c r="F315" s="22" t="str">
        <f>IF(OR($A315="",B315="",B315&lt;=0,Séries!Q314=""),"",B315/Séries!Q314-1)</f>
        <v/>
      </c>
      <c r="G315" s="22" t="str">
        <f>IF(OR($A315="",C315="",C315&lt;=0,Séries!R314=""),"",C315/Séries!R314-1)</f>
        <v/>
      </c>
      <c r="H315" s="22" t="str">
        <f>IF(OR($A315="",D315="",D315&lt;=0,Séries!S314=""),"",D315/Séries!S314-1)</f>
        <v/>
      </c>
      <c r="I315" s="22" t="str">
        <f>IF(OR($A315="",E315="",E315&lt;=0,Séries!T314=""),"",E315/Séries!T314-1)</f>
        <v/>
      </c>
      <c r="J315" s="27"/>
      <c r="K315" s="1" t="str">
        <f>IF(COUNTA(A315:E315)=0,"",IF(A315="","Preencha a data",IF(NOT(ISNUMBER(A315)),"Data inválida",IF(OR(A315&lt;36526,A315&gt;73050,A315&lt;&gt;INT(A315)),"Data inválida",IF(A315&lt;=Séries!U314,"Data repetida / fora de ordem",IF(COUNTA(B315:E315)&lt;&gt;COUNT(B315:E315),"Use preços numéricos",IF(OR(AND(ISNUMBER(B315),B315&lt;=0),AND(ISNUMBER(C315),C315&lt;=0),AND(ISNUMBER(D315),D315&lt;=0),AND(ISNUMBER(E315),E315&lt;=0)),"Use preços positivos","")))))))</f>
        <v/>
      </c>
    </row>
    <row r="316" spans="1:11" ht="22.95" customHeight="1">
      <c r="A316" s="28"/>
      <c r="B316" s="29"/>
      <c r="C316" s="29"/>
      <c r="D316" s="29"/>
      <c r="E316" s="30"/>
      <c r="F316" s="22" t="str">
        <f>IF(OR($A316="",B316="",B316&lt;=0,Séries!Q315=""),"",B316/Séries!Q315-1)</f>
        <v/>
      </c>
      <c r="G316" s="22" t="str">
        <f>IF(OR($A316="",C316="",C316&lt;=0,Séries!R315=""),"",C316/Séries!R315-1)</f>
        <v/>
      </c>
      <c r="H316" s="22" t="str">
        <f>IF(OR($A316="",D316="",D316&lt;=0,Séries!S315=""),"",D316/Séries!S315-1)</f>
        <v/>
      </c>
      <c r="I316" s="22" t="str">
        <f>IF(OR($A316="",E316="",E316&lt;=0,Séries!T315=""),"",E316/Séries!T315-1)</f>
        <v/>
      </c>
      <c r="J316" s="27"/>
      <c r="K316" s="1" t="str">
        <f>IF(COUNTA(A316:E316)=0,"",IF(A316="","Preencha a data",IF(NOT(ISNUMBER(A316)),"Data inválida",IF(OR(A316&lt;36526,A316&gt;73050,A316&lt;&gt;INT(A316)),"Data inválida",IF(A316&lt;=Séries!U315,"Data repetida / fora de ordem",IF(COUNTA(B316:E316)&lt;&gt;COUNT(B316:E316),"Use preços numéricos",IF(OR(AND(ISNUMBER(B316),B316&lt;=0),AND(ISNUMBER(C316),C316&lt;=0),AND(ISNUMBER(D316),D316&lt;=0),AND(ISNUMBER(E316),E316&lt;=0)),"Use preços positivos","")))))))</f>
        <v/>
      </c>
    </row>
    <row r="317" spans="1:11" ht="22.95" customHeight="1">
      <c r="A317" s="28"/>
      <c r="B317" s="29"/>
      <c r="C317" s="29"/>
      <c r="D317" s="29"/>
      <c r="E317" s="30"/>
      <c r="F317" s="22" t="str">
        <f>IF(OR($A317="",B317="",B317&lt;=0,Séries!Q316=""),"",B317/Séries!Q316-1)</f>
        <v/>
      </c>
      <c r="G317" s="22" t="str">
        <f>IF(OR($A317="",C317="",C317&lt;=0,Séries!R316=""),"",C317/Séries!R316-1)</f>
        <v/>
      </c>
      <c r="H317" s="22" t="str">
        <f>IF(OR($A317="",D317="",D317&lt;=0,Séries!S316=""),"",D317/Séries!S316-1)</f>
        <v/>
      </c>
      <c r="I317" s="22" t="str">
        <f>IF(OR($A317="",E317="",E317&lt;=0,Séries!T316=""),"",E317/Séries!T316-1)</f>
        <v/>
      </c>
      <c r="J317" s="27"/>
      <c r="K317" s="1" t="str">
        <f>IF(COUNTA(A317:E317)=0,"",IF(A317="","Preencha a data",IF(NOT(ISNUMBER(A317)),"Data inválida",IF(OR(A317&lt;36526,A317&gt;73050,A317&lt;&gt;INT(A317)),"Data inválida",IF(A317&lt;=Séries!U316,"Data repetida / fora de ordem",IF(COUNTA(B317:E317)&lt;&gt;COUNT(B317:E317),"Use preços numéricos",IF(OR(AND(ISNUMBER(B317),B317&lt;=0),AND(ISNUMBER(C317),C317&lt;=0),AND(ISNUMBER(D317),D317&lt;=0),AND(ISNUMBER(E317),E317&lt;=0)),"Use preços positivos","")))))))</f>
        <v/>
      </c>
    </row>
    <row r="318" spans="1:11" ht="22.95" customHeight="1">
      <c r="A318" s="28"/>
      <c r="B318" s="29"/>
      <c r="C318" s="29"/>
      <c r="D318" s="29"/>
      <c r="E318" s="30"/>
      <c r="F318" s="22" t="str">
        <f>IF(OR($A318="",B318="",B318&lt;=0,Séries!Q317=""),"",B318/Séries!Q317-1)</f>
        <v/>
      </c>
      <c r="G318" s="22" t="str">
        <f>IF(OR($A318="",C318="",C318&lt;=0,Séries!R317=""),"",C318/Séries!R317-1)</f>
        <v/>
      </c>
      <c r="H318" s="22" t="str">
        <f>IF(OR($A318="",D318="",D318&lt;=0,Séries!S317=""),"",D318/Séries!S317-1)</f>
        <v/>
      </c>
      <c r="I318" s="22" t="str">
        <f>IF(OR($A318="",E318="",E318&lt;=0,Séries!T317=""),"",E318/Séries!T317-1)</f>
        <v/>
      </c>
      <c r="J318" s="27"/>
      <c r="K318" s="1" t="str">
        <f>IF(COUNTA(A318:E318)=0,"",IF(A318="","Preencha a data",IF(NOT(ISNUMBER(A318)),"Data inválida",IF(OR(A318&lt;36526,A318&gt;73050,A318&lt;&gt;INT(A318)),"Data inválida",IF(A318&lt;=Séries!U317,"Data repetida / fora de ordem",IF(COUNTA(B318:E318)&lt;&gt;COUNT(B318:E318),"Use preços numéricos",IF(OR(AND(ISNUMBER(B318),B318&lt;=0),AND(ISNUMBER(C318),C318&lt;=0),AND(ISNUMBER(D318),D318&lt;=0),AND(ISNUMBER(E318),E318&lt;=0)),"Use preços positivos","")))))))</f>
        <v/>
      </c>
    </row>
    <row r="319" spans="1:11" ht="22.95" customHeight="1">
      <c r="A319" s="28"/>
      <c r="B319" s="29"/>
      <c r="C319" s="29"/>
      <c r="D319" s="29"/>
      <c r="E319" s="30"/>
      <c r="F319" s="22" t="str">
        <f>IF(OR($A319="",B319="",B319&lt;=0,Séries!Q318=""),"",B319/Séries!Q318-1)</f>
        <v/>
      </c>
      <c r="G319" s="22" t="str">
        <f>IF(OR($A319="",C319="",C319&lt;=0,Séries!R318=""),"",C319/Séries!R318-1)</f>
        <v/>
      </c>
      <c r="H319" s="22" t="str">
        <f>IF(OR($A319="",D319="",D319&lt;=0,Séries!S318=""),"",D319/Séries!S318-1)</f>
        <v/>
      </c>
      <c r="I319" s="22" t="str">
        <f>IF(OR($A319="",E319="",E319&lt;=0,Séries!T318=""),"",E319/Séries!T318-1)</f>
        <v/>
      </c>
      <c r="J319" s="27"/>
      <c r="K319" s="1" t="str">
        <f>IF(COUNTA(A319:E319)=0,"",IF(A319="","Preencha a data",IF(NOT(ISNUMBER(A319)),"Data inválida",IF(OR(A319&lt;36526,A319&gt;73050,A319&lt;&gt;INT(A319)),"Data inválida",IF(A319&lt;=Séries!U318,"Data repetida / fora de ordem",IF(COUNTA(B319:E319)&lt;&gt;COUNT(B319:E319),"Use preços numéricos",IF(OR(AND(ISNUMBER(B319),B319&lt;=0),AND(ISNUMBER(C319),C319&lt;=0),AND(ISNUMBER(D319),D319&lt;=0),AND(ISNUMBER(E319),E319&lt;=0)),"Use preços positivos","")))))))</f>
        <v/>
      </c>
    </row>
    <row r="320" spans="1:11" ht="22.95" customHeight="1">
      <c r="A320" s="28"/>
      <c r="B320" s="29"/>
      <c r="C320" s="29"/>
      <c r="D320" s="29"/>
      <c r="E320" s="30"/>
      <c r="F320" s="22" t="str">
        <f>IF(OR($A320="",B320="",B320&lt;=0,Séries!Q319=""),"",B320/Séries!Q319-1)</f>
        <v/>
      </c>
      <c r="G320" s="22" t="str">
        <f>IF(OR($A320="",C320="",C320&lt;=0,Séries!R319=""),"",C320/Séries!R319-1)</f>
        <v/>
      </c>
      <c r="H320" s="22" t="str">
        <f>IF(OR($A320="",D320="",D320&lt;=0,Séries!S319=""),"",D320/Séries!S319-1)</f>
        <v/>
      </c>
      <c r="I320" s="22" t="str">
        <f>IF(OR($A320="",E320="",E320&lt;=0,Séries!T319=""),"",E320/Séries!T319-1)</f>
        <v/>
      </c>
      <c r="J320" s="27"/>
      <c r="K320" s="1" t="str">
        <f>IF(COUNTA(A320:E320)=0,"",IF(A320="","Preencha a data",IF(NOT(ISNUMBER(A320)),"Data inválida",IF(OR(A320&lt;36526,A320&gt;73050,A320&lt;&gt;INT(A320)),"Data inválida",IF(A320&lt;=Séries!U319,"Data repetida / fora de ordem",IF(COUNTA(B320:E320)&lt;&gt;COUNT(B320:E320),"Use preços numéricos",IF(OR(AND(ISNUMBER(B320),B320&lt;=0),AND(ISNUMBER(C320),C320&lt;=0),AND(ISNUMBER(D320),D320&lt;=0),AND(ISNUMBER(E320),E320&lt;=0)),"Use preços positivos","")))))))</f>
        <v/>
      </c>
    </row>
    <row r="321" spans="1:11" ht="22.95" customHeight="1">
      <c r="A321" s="28"/>
      <c r="B321" s="29"/>
      <c r="C321" s="29"/>
      <c r="D321" s="29"/>
      <c r="E321" s="30"/>
      <c r="F321" s="22" t="str">
        <f>IF(OR($A321="",B321="",B321&lt;=0,Séries!Q320=""),"",B321/Séries!Q320-1)</f>
        <v/>
      </c>
      <c r="G321" s="22" t="str">
        <f>IF(OR($A321="",C321="",C321&lt;=0,Séries!R320=""),"",C321/Séries!R320-1)</f>
        <v/>
      </c>
      <c r="H321" s="22" t="str">
        <f>IF(OR($A321="",D321="",D321&lt;=0,Séries!S320=""),"",D321/Séries!S320-1)</f>
        <v/>
      </c>
      <c r="I321" s="22" t="str">
        <f>IF(OR($A321="",E321="",E321&lt;=0,Séries!T320=""),"",E321/Séries!T320-1)</f>
        <v/>
      </c>
      <c r="J321" s="27"/>
      <c r="K321" s="1" t="str">
        <f>IF(COUNTA(A321:E321)=0,"",IF(A321="","Preencha a data",IF(NOT(ISNUMBER(A321)),"Data inválida",IF(OR(A321&lt;36526,A321&gt;73050,A321&lt;&gt;INT(A321)),"Data inválida",IF(A321&lt;=Séries!U320,"Data repetida / fora de ordem",IF(COUNTA(B321:E321)&lt;&gt;COUNT(B321:E321),"Use preços numéricos",IF(OR(AND(ISNUMBER(B321),B321&lt;=0),AND(ISNUMBER(C321),C321&lt;=0),AND(ISNUMBER(D321),D321&lt;=0),AND(ISNUMBER(E321),E321&lt;=0)),"Use preços positivos","")))))))</f>
        <v/>
      </c>
    </row>
    <row r="322" spans="1:11" ht="22.95" customHeight="1">
      <c r="A322" s="28"/>
      <c r="B322" s="29"/>
      <c r="C322" s="29"/>
      <c r="D322" s="29"/>
      <c r="E322" s="30"/>
      <c r="F322" s="22" t="str">
        <f>IF(OR($A322="",B322="",B322&lt;=0,Séries!Q321=""),"",B322/Séries!Q321-1)</f>
        <v/>
      </c>
      <c r="G322" s="22" t="str">
        <f>IF(OR($A322="",C322="",C322&lt;=0,Séries!R321=""),"",C322/Séries!R321-1)</f>
        <v/>
      </c>
      <c r="H322" s="22" t="str">
        <f>IF(OR($A322="",D322="",D322&lt;=0,Séries!S321=""),"",D322/Séries!S321-1)</f>
        <v/>
      </c>
      <c r="I322" s="22" t="str">
        <f>IF(OR($A322="",E322="",E322&lt;=0,Séries!T321=""),"",E322/Séries!T321-1)</f>
        <v/>
      </c>
      <c r="J322" s="27"/>
      <c r="K322" s="1" t="str">
        <f>IF(COUNTA(A322:E322)=0,"",IF(A322="","Preencha a data",IF(NOT(ISNUMBER(A322)),"Data inválida",IF(OR(A322&lt;36526,A322&gt;73050,A322&lt;&gt;INT(A322)),"Data inválida",IF(A322&lt;=Séries!U321,"Data repetida / fora de ordem",IF(COUNTA(B322:E322)&lt;&gt;COUNT(B322:E322),"Use preços numéricos",IF(OR(AND(ISNUMBER(B322),B322&lt;=0),AND(ISNUMBER(C322),C322&lt;=0),AND(ISNUMBER(D322),D322&lt;=0),AND(ISNUMBER(E322),E322&lt;=0)),"Use preços positivos","")))))))</f>
        <v/>
      </c>
    </row>
    <row r="323" spans="1:11" ht="22.95" customHeight="1">
      <c r="A323" s="28"/>
      <c r="B323" s="29"/>
      <c r="C323" s="29"/>
      <c r="D323" s="29"/>
      <c r="E323" s="30"/>
      <c r="F323" s="22" t="str">
        <f>IF(OR($A323="",B323="",B323&lt;=0,Séries!Q322=""),"",B323/Séries!Q322-1)</f>
        <v/>
      </c>
      <c r="G323" s="22" t="str">
        <f>IF(OR($A323="",C323="",C323&lt;=0,Séries!R322=""),"",C323/Séries!R322-1)</f>
        <v/>
      </c>
      <c r="H323" s="22" t="str">
        <f>IF(OR($A323="",D323="",D323&lt;=0,Séries!S322=""),"",D323/Séries!S322-1)</f>
        <v/>
      </c>
      <c r="I323" s="22" t="str">
        <f>IF(OR($A323="",E323="",E323&lt;=0,Séries!T322=""),"",E323/Séries!T322-1)</f>
        <v/>
      </c>
      <c r="J323" s="27"/>
      <c r="K323" s="1" t="str">
        <f>IF(COUNTA(A323:E323)=0,"",IF(A323="","Preencha a data",IF(NOT(ISNUMBER(A323)),"Data inválida",IF(OR(A323&lt;36526,A323&gt;73050,A323&lt;&gt;INT(A323)),"Data inválida",IF(A323&lt;=Séries!U322,"Data repetida / fora de ordem",IF(COUNTA(B323:E323)&lt;&gt;COUNT(B323:E323),"Use preços numéricos",IF(OR(AND(ISNUMBER(B323),B323&lt;=0),AND(ISNUMBER(C323),C323&lt;=0),AND(ISNUMBER(D323),D323&lt;=0),AND(ISNUMBER(E323),E323&lt;=0)),"Use preços positivos","")))))))</f>
        <v/>
      </c>
    </row>
    <row r="324" spans="1:11" ht="22.95" customHeight="1">
      <c r="A324" s="28"/>
      <c r="B324" s="29"/>
      <c r="C324" s="29"/>
      <c r="D324" s="29"/>
      <c r="E324" s="30"/>
      <c r="F324" s="22" t="str">
        <f>IF(OR($A324="",B324="",B324&lt;=0,Séries!Q323=""),"",B324/Séries!Q323-1)</f>
        <v/>
      </c>
      <c r="G324" s="22" t="str">
        <f>IF(OR($A324="",C324="",C324&lt;=0,Séries!R323=""),"",C324/Séries!R323-1)</f>
        <v/>
      </c>
      <c r="H324" s="22" t="str">
        <f>IF(OR($A324="",D324="",D324&lt;=0,Séries!S323=""),"",D324/Séries!S323-1)</f>
        <v/>
      </c>
      <c r="I324" s="22" t="str">
        <f>IF(OR($A324="",E324="",E324&lt;=0,Séries!T323=""),"",E324/Séries!T323-1)</f>
        <v/>
      </c>
      <c r="J324" s="27"/>
      <c r="K324" s="1" t="str">
        <f>IF(COUNTA(A324:E324)=0,"",IF(A324="","Preencha a data",IF(NOT(ISNUMBER(A324)),"Data inválida",IF(OR(A324&lt;36526,A324&gt;73050,A324&lt;&gt;INT(A324)),"Data inválida",IF(A324&lt;=Séries!U323,"Data repetida / fora de ordem",IF(COUNTA(B324:E324)&lt;&gt;COUNT(B324:E324),"Use preços numéricos",IF(OR(AND(ISNUMBER(B324),B324&lt;=0),AND(ISNUMBER(C324),C324&lt;=0),AND(ISNUMBER(D324),D324&lt;=0),AND(ISNUMBER(E324),E324&lt;=0)),"Use preços positivos","")))))))</f>
        <v/>
      </c>
    </row>
    <row r="325" spans="1:11" ht="22.95" customHeight="1">
      <c r="A325" s="28"/>
      <c r="B325" s="29"/>
      <c r="C325" s="29"/>
      <c r="D325" s="29"/>
      <c r="E325" s="30"/>
      <c r="F325" s="22" t="str">
        <f>IF(OR($A325="",B325="",B325&lt;=0,Séries!Q324=""),"",B325/Séries!Q324-1)</f>
        <v/>
      </c>
      <c r="G325" s="22" t="str">
        <f>IF(OR($A325="",C325="",C325&lt;=0,Séries!R324=""),"",C325/Séries!R324-1)</f>
        <v/>
      </c>
      <c r="H325" s="22" t="str">
        <f>IF(OR($A325="",D325="",D325&lt;=0,Séries!S324=""),"",D325/Séries!S324-1)</f>
        <v/>
      </c>
      <c r="I325" s="22" t="str">
        <f>IF(OR($A325="",E325="",E325&lt;=0,Séries!T324=""),"",E325/Séries!T324-1)</f>
        <v/>
      </c>
      <c r="J325" s="27"/>
      <c r="K325" s="1" t="str">
        <f>IF(COUNTA(A325:E325)=0,"",IF(A325="","Preencha a data",IF(NOT(ISNUMBER(A325)),"Data inválida",IF(OR(A325&lt;36526,A325&gt;73050,A325&lt;&gt;INT(A325)),"Data inválida",IF(A325&lt;=Séries!U324,"Data repetida / fora de ordem",IF(COUNTA(B325:E325)&lt;&gt;COUNT(B325:E325),"Use preços numéricos",IF(OR(AND(ISNUMBER(B325),B325&lt;=0),AND(ISNUMBER(C325),C325&lt;=0),AND(ISNUMBER(D325),D325&lt;=0),AND(ISNUMBER(E325),E325&lt;=0)),"Use preços positivos","")))))))</f>
        <v/>
      </c>
    </row>
    <row r="326" spans="1:11" ht="22.95" customHeight="1">
      <c r="A326" s="28"/>
      <c r="B326" s="29"/>
      <c r="C326" s="29"/>
      <c r="D326" s="29"/>
      <c r="E326" s="30"/>
      <c r="F326" s="22" t="str">
        <f>IF(OR($A326="",B326="",B326&lt;=0,Séries!Q325=""),"",B326/Séries!Q325-1)</f>
        <v/>
      </c>
      <c r="G326" s="22" t="str">
        <f>IF(OR($A326="",C326="",C326&lt;=0,Séries!R325=""),"",C326/Séries!R325-1)</f>
        <v/>
      </c>
      <c r="H326" s="22" t="str">
        <f>IF(OR($A326="",D326="",D326&lt;=0,Séries!S325=""),"",D326/Séries!S325-1)</f>
        <v/>
      </c>
      <c r="I326" s="22" t="str">
        <f>IF(OR($A326="",E326="",E326&lt;=0,Séries!T325=""),"",E326/Séries!T325-1)</f>
        <v/>
      </c>
      <c r="J326" s="27"/>
      <c r="K326" s="1" t="str">
        <f>IF(COUNTA(A326:E326)=0,"",IF(A326="","Preencha a data",IF(NOT(ISNUMBER(A326)),"Data inválida",IF(OR(A326&lt;36526,A326&gt;73050,A326&lt;&gt;INT(A326)),"Data inválida",IF(A326&lt;=Séries!U325,"Data repetida / fora de ordem",IF(COUNTA(B326:E326)&lt;&gt;COUNT(B326:E326),"Use preços numéricos",IF(OR(AND(ISNUMBER(B326),B326&lt;=0),AND(ISNUMBER(C326),C326&lt;=0),AND(ISNUMBER(D326),D326&lt;=0),AND(ISNUMBER(E326),E326&lt;=0)),"Use preços positivos","")))))))</f>
        <v/>
      </c>
    </row>
    <row r="327" spans="1:11" ht="22.95" customHeight="1">
      <c r="A327" s="28"/>
      <c r="B327" s="29"/>
      <c r="C327" s="29"/>
      <c r="D327" s="29"/>
      <c r="E327" s="30"/>
      <c r="F327" s="22" t="str">
        <f>IF(OR($A327="",B327="",B327&lt;=0,Séries!Q326=""),"",B327/Séries!Q326-1)</f>
        <v/>
      </c>
      <c r="G327" s="22" t="str">
        <f>IF(OR($A327="",C327="",C327&lt;=0,Séries!R326=""),"",C327/Séries!R326-1)</f>
        <v/>
      </c>
      <c r="H327" s="22" t="str">
        <f>IF(OR($A327="",D327="",D327&lt;=0,Séries!S326=""),"",D327/Séries!S326-1)</f>
        <v/>
      </c>
      <c r="I327" s="22" t="str">
        <f>IF(OR($A327="",E327="",E327&lt;=0,Séries!T326=""),"",E327/Séries!T326-1)</f>
        <v/>
      </c>
      <c r="J327" s="27"/>
      <c r="K327" s="1" t="str">
        <f>IF(COUNTA(A327:E327)=0,"",IF(A327="","Preencha a data",IF(NOT(ISNUMBER(A327)),"Data inválida",IF(OR(A327&lt;36526,A327&gt;73050,A327&lt;&gt;INT(A327)),"Data inválida",IF(A327&lt;=Séries!U326,"Data repetida / fora de ordem",IF(COUNTA(B327:E327)&lt;&gt;COUNT(B327:E327),"Use preços numéricos",IF(OR(AND(ISNUMBER(B327),B327&lt;=0),AND(ISNUMBER(C327),C327&lt;=0),AND(ISNUMBER(D327),D327&lt;=0),AND(ISNUMBER(E327),E327&lt;=0)),"Use preços positivos","")))))))</f>
        <v/>
      </c>
    </row>
    <row r="328" spans="1:11" ht="22.95" customHeight="1">
      <c r="A328" s="28"/>
      <c r="B328" s="29"/>
      <c r="C328" s="29"/>
      <c r="D328" s="29"/>
      <c r="E328" s="30"/>
      <c r="F328" s="22" t="str">
        <f>IF(OR($A328="",B328="",B328&lt;=0,Séries!Q327=""),"",B328/Séries!Q327-1)</f>
        <v/>
      </c>
      <c r="G328" s="22" t="str">
        <f>IF(OR($A328="",C328="",C328&lt;=0,Séries!R327=""),"",C328/Séries!R327-1)</f>
        <v/>
      </c>
      <c r="H328" s="22" t="str">
        <f>IF(OR($A328="",D328="",D328&lt;=0,Séries!S327=""),"",D328/Séries!S327-1)</f>
        <v/>
      </c>
      <c r="I328" s="22" t="str">
        <f>IF(OR($A328="",E328="",E328&lt;=0,Séries!T327=""),"",E328/Séries!T327-1)</f>
        <v/>
      </c>
      <c r="J328" s="27"/>
      <c r="K328" s="1" t="str">
        <f>IF(COUNTA(A328:E328)=0,"",IF(A328="","Preencha a data",IF(NOT(ISNUMBER(A328)),"Data inválida",IF(OR(A328&lt;36526,A328&gt;73050,A328&lt;&gt;INT(A328)),"Data inválida",IF(A328&lt;=Séries!U327,"Data repetida / fora de ordem",IF(COUNTA(B328:E328)&lt;&gt;COUNT(B328:E328),"Use preços numéricos",IF(OR(AND(ISNUMBER(B328),B328&lt;=0),AND(ISNUMBER(C328),C328&lt;=0),AND(ISNUMBER(D328),D328&lt;=0),AND(ISNUMBER(E328),E328&lt;=0)),"Use preços positivos","")))))))</f>
        <v/>
      </c>
    </row>
    <row r="329" spans="1:11" ht="22.95" customHeight="1">
      <c r="A329" s="28"/>
      <c r="B329" s="29"/>
      <c r="C329" s="29"/>
      <c r="D329" s="29"/>
      <c r="E329" s="30"/>
      <c r="F329" s="22" t="str">
        <f>IF(OR($A329="",B329="",B329&lt;=0,Séries!Q328=""),"",B329/Séries!Q328-1)</f>
        <v/>
      </c>
      <c r="G329" s="22" t="str">
        <f>IF(OR($A329="",C329="",C329&lt;=0,Séries!R328=""),"",C329/Séries!R328-1)</f>
        <v/>
      </c>
      <c r="H329" s="22" t="str">
        <f>IF(OR($A329="",D329="",D329&lt;=0,Séries!S328=""),"",D329/Séries!S328-1)</f>
        <v/>
      </c>
      <c r="I329" s="22" t="str">
        <f>IF(OR($A329="",E329="",E329&lt;=0,Séries!T328=""),"",E329/Séries!T328-1)</f>
        <v/>
      </c>
      <c r="J329" s="27"/>
      <c r="K329" s="1" t="str">
        <f>IF(COUNTA(A329:E329)=0,"",IF(A329="","Preencha a data",IF(NOT(ISNUMBER(A329)),"Data inválida",IF(OR(A329&lt;36526,A329&gt;73050,A329&lt;&gt;INT(A329)),"Data inválida",IF(A329&lt;=Séries!U328,"Data repetida / fora de ordem",IF(COUNTA(B329:E329)&lt;&gt;COUNT(B329:E329),"Use preços numéricos",IF(OR(AND(ISNUMBER(B329),B329&lt;=0),AND(ISNUMBER(C329),C329&lt;=0),AND(ISNUMBER(D329),D329&lt;=0),AND(ISNUMBER(E329),E329&lt;=0)),"Use preços positivos","")))))))</f>
        <v/>
      </c>
    </row>
    <row r="330" spans="1:11" ht="22.95" customHeight="1">
      <c r="A330" s="28"/>
      <c r="B330" s="29"/>
      <c r="C330" s="29"/>
      <c r="D330" s="29"/>
      <c r="E330" s="30"/>
      <c r="F330" s="22" t="str">
        <f>IF(OR($A330="",B330="",B330&lt;=0,Séries!Q329=""),"",B330/Séries!Q329-1)</f>
        <v/>
      </c>
      <c r="G330" s="22" t="str">
        <f>IF(OR($A330="",C330="",C330&lt;=0,Séries!R329=""),"",C330/Séries!R329-1)</f>
        <v/>
      </c>
      <c r="H330" s="22" t="str">
        <f>IF(OR($A330="",D330="",D330&lt;=0,Séries!S329=""),"",D330/Séries!S329-1)</f>
        <v/>
      </c>
      <c r="I330" s="22" t="str">
        <f>IF(OR($A330="",E330="",E330&lt;=0,Séries!T329=""),"",E330/Séries!T329-1)</f>
        <v/>
      </c>
      <c r="J330" s="27"/>
      <c r="K330" s="1" t="str">
        <f>IF(COUNTA(A330:E330)=0,"",IF(A330="","Preencha a data",IF(NOT(ISNUMBER(A330)),"Data inválida",IF(OR(A330&lt;36526,A330&gt;73050,A330&lt;&gt;INT(A330)),"Data inválida",IF(A330&lt;=Séries!U329,"Data repetida / fora de ordem",IF(COUNTA(B330:E330)&lt;&gt;COUNT(B330:E330),"Use preços numéricos",IF(OR(AND(ISNUMBER(B330),B330&lt;=0),AND(ISNUMBER(C330),C330&lt;=0),AND(ISNUMBER(D330),D330&lt;=0),AND(ISNUMBER(E330),E330&lt;=0)),"Use preços positivos","")))))))</f>
        <v/>
      </c>
    </row>
    <row r="331" spans="1:11" ht="22.95" customHeight="1">
      <c r="A331" s="28"/>
      <c r="B331" s="29"/>
      <c r="C331" s="29"/>
      <c r="D331" s="29"/>
      <c r="E331" s="30"/>
      <c r="F331" s="22" t="str">
        <f>IF(OR($A331="",B331="",B331&lt;=0,Séries!Q330=""),"",B331/Séries!Q330-1)</f>
        <v/>
      </c>
      <c r="G331" s="22" t="str">
        <f>IF(OR($A331="",C331="",C331&lt;=0,Séries!R330=""),"",C331/Séries!R330-1)</f>
        <v/>
      </c>
      <c r="H331" s="22" t="str">
        <f>IF(OR($A331="",D331="",D331&lt;=0,Séries!S330=""),"",D331/Séries!S330-1)</f>
        <v/>
      </c>
      <c r="I331" s="22" t="str">
        <f>IF(OR($A331="",E331="",E331&lt;=0,Séries!T330=""),"",E331/Séries!T330-1)</f>
        <v/>
      </c>
      <c r="J331" s="27"/>
      <c r="K331" s="1" t="str">
        <f>IF(COUNTA(A331:E331)=0,"",IF(A331="","Preencha a data",IF(NOT(ISNUMBER(A331)),"Data inválida",IF(OR(A331&lt;36526,A331&gt;73050,A331&lt;&gt;INT(A331)),"Data inválida",IF(A331&lt;=Séries!U330,"Data repetida / fora de ordem",IF(COUNTA(B331:E331)&lt;&gt;COUNT(B331:E331),"Use preços numéricos",IF(OR(AND(ISNUMBER(B331),B331&lt;=0),AND(ISNUMBER(C331),C331&lt;=0),AND(ISNUMBER(D331),D331&lt;=0),AND(ISNUMBER(E331),E331&lt;=0)),"Use preços positivos","")))))))</f>
        <v/>
      </c>
    </row>
    <row r="332" spans="1:11" ht="22.95" customHeight="1">
      <c r="A332" s="28"/>
      <c r="B332" s="29"/>
      <c r="C332" s="29"/>
      <c r="D332" s="29"/>
      <c r="E332" s="30"/>
      <c r="F332" s="22" t="str">
        <f>IF(OR($A332="",B332="",B332&lt;=0,Séries!Q331=""),"",B332/Séries!Q331-1)</f>
        <v/>
      </c>
      <c r="G332" s="22" t="str">
        <f>IF(OR($A332="",C332="",C332&lt;=0,Séries!R331=""),"",C332/Séries!R331-1)</f>
        <v/>
      </c>
      <c r="H332" s="22" t="str">
        <f>IF(OR($A332="",D332="",D332&lt;=0,Séries!S331=""),"",D332/Séries!S331-1)</f>
        <v/>
      </c>
      <c r="I332" s="22" t="str">
        <f>IF(OR($A332="",E332="",E332&lt;=0,Séries!T331=""),"",E332/Séries!T331-1)</f>
        <v/>
      </c>
      <c r="J332" s="27"/>
      <c r="K332" s="1" t="str">
        <f>IF(COUNTA(A332:E332)=0,"",IF(A332="","Preencha a data",IF(NOT(ISNUMBER(A332)),"Data inválida",IF(OR(A332&lt;36526,A332&gt;73050,A332&lt;&gt;INT(A332)),"Data inválida",IF(A332&lt;=Séries!U331,"Data repetida / fora de ordem",IF(COUNTA(B332:E332)&lt;&gt;COUNT(B332:E332),"Use preços numéricos",IF(OR(AND(ISNUMBER(B332),B332&lt;=0),AND(ISNUMBER(C332),C332&lt;=0),AND(ISNUMBER(D332),D332&lt;=0),AND(ISNUMBER(E332),E332&lt;=0)),"Use preços positivos","")))))))</f>
        <v/>
      </c>
    </row>
    <row r="333" spans="1:11" ht="22.95" customHeight="1">
      <c r="A333" s="28"/>
      <c r="B333" s="29"/>
      <c r="C333" s="29"/>
      <c r="D333" s="29"/>
      <c r="E333" s="30"/>
      <c r="F333" s="22" t="str">
        <f>IF(OR($A333="",B333="",B333&lt;=0,Séries!Q332=""),"",B333/Séries!Q332-1)</f>
        <v/>
      </c>
      <c r="G333" s="22" t="str">
        <f>IF(OR($A333="",C333="",C333&lt;=0,Séries!R332=""),"",C333/Séries!R332-1)</f>
        <v/>
      </c>
      <c r="H333" s="22" t="str">
        <f>IF(OR($A333="",D333="",D333&lt;=0,Séries!S332=""),"",D333/Séries!S332-1)</f>
        <v/>
      </c>
      <c r="I333" s="22" t="str">
        <f>IF(OR($A333="",E333="",E333&lt;=0,Séries!T332=""),"",E333/Séries!T332-1)</f>
        <v/>
      </c>
      <c r="J333" s="27"/>
      <c r="K333" s="1" t="str">
        <f>IF(COUNTA(A333:E333)=0,"",IF(A333="","Preencha a data",IF(NOT(ISNUMBER(A333)),"Data inválida",IF(OR(A333&lt;36526,A333&gt;73050,A333&lt;&gt;INT(A333)),"Data inválida",IF(A333&lt;=Séries!U332,"Data repetida / fora de ordem",IF(COUNTA(B333:E333)&lt;&gt;COUNT(B333:E333),"Use preços numéricos",IF(OR(AND(ISNUMBER(B333),B333&lt;=0),AND(ISNUMBER(C333),C333&lt;=0),AND(ISNUMBER(D333),D333&lt;=0),AND(ISNUMBER(E333),E333&lt;=0)),"Use preços positivos","")))))))</f>
        <v/>
      </c>
    </row>
    <row r="334" spans="1:11" ht="22.95" customHeight="1">
      <c r="A334" s="28"/>
      <c r="B334" s="29"/>
      <c r="C334" s="29"/>
      <c r="D334" s="29"/>
      <c r="E334" s="30"/>
      <c r="F334" s="22" t="str">
        <f>IF(OR($A334="",B334="",B334&lt;=0,Séries!Q333=""),"",B334/Séries!Q333-1)</f>
        <v/>
      </c>
      <c r="G334" s="22" t="str">
        <f>IF(OR($A334="",C334="",C334&lt;=0,Séries!R333=""),"",C334/Séries!R333-1)</f>
        <v/>
      </c>
      <c r="H334" s="22" t="str">
        <f>IF(OR($A334="",D334="",D334&lt;=0,Séries!S333=""),"",D334/Séries!S333-1)</f>
        <v/>
      </c>
      <c r="I334" s="22" t="str">
        <f>IF(OR($A334="",E334="",E334&lt;=0,Séries!T333=""),"",E334/Séries!T333-1)</f>
        <v/>
      </c>
      <c r="J334" s="27"/>
      <c r="K334" s="1" t="str">
        <f>IF(COUNTA(A334:E334)=0,"",IF(A334="","Preencha a data",IF(NOT(ISNUMBER(A334)),"Data inválida",IF(OR(A334&lt;36526,A334&gt;73050,A334&lt;&gt;INT(A334)),"Data inválida",IF(A334&lt;=Séries!U333,"Data repetida / fora de ordem",IF(COUNTA(B334:E334)&lt;&gt;COUNT(B334:E334),"Use preços numéricos",IF(OR(AND(ISNUMBER(B334),B334&lt;=0),AND(ISNUMBER(C334),C334&lt;=0),AND(ISNUMBER(D334),D334&lt;=0),AND(ISNUMBER(E334),E334&lt;=0)),"Use preços positivos","")))))))</f>
        <v/>
      </c>
    </row>
    <row r="335" spans="1:11" ht="22.95" customHeight="1">
      <c r="A335" s="28"/>
      <c r="B335" s="29"/>
      <c r="C335" s="29"/>
      <c r="D335" s="29"/>
      <c r="E335" s="30"/>
      <c r="F335" s="22" t="str">
        <f>IF(OR($A335="",B335="",B335&lt;=0,Séries!Q334=""),"",B335/Séries!Q334-1)</f>
        <v/>
      </c>
      <c r="G335" s="22" t="str">
        <f>IF(OR($A335="",C335="",C335&lt;=0,Séries!R334=""),"",C335/Séries!R334-1)</f>
        <v/>
      </c>
      <c r="H335" s="22" t="str">
        <f>IF(OR($A335="",D335="",D335&lt;=0,Séries!S334=""),"",D335/Séries!S334-1)</f>
        <v/>
      </c>
      <c r="I335" s="22" t="str">
        <f>IF(OR($A335="",E335="",E335&lt;=0,Séries!T334=""),"",E335/Séries!T334-1)</f>
        <v/>
      </c>
      <c r="J335" s="27"/>
      <c r="K335" s="1" t="str">
        <f>IF(COUNTA(A335:E335)=0,"",IF(A335="","Preencha a data",IF(NOT(ISNUMBER(A335)),"Data inválida",IF(OR(A335&lt;36526,A335&gt;73050,A335&lt;&gt;INT(A335)),"Data inválida",IF(A335&lt;=Séries!U334,"Data repetida / fora de ordem",IF(COUNTA(B335:E335)&lt;&gt;COUNT(B335:E335),"Use preços numéricos",IF(OR(AND(ISNUMBER(B335),B335&lt;=0),AND(ISNUMBER(C335),C335&lt;=0),AND(ISNUMBER(D335),D335&lt;=0),AND(ISNUMBER(E335),E335&lt;=0)),"Use preços positivos","")))))))</f>
        <v/>
      </c>
    </row>
    <row r="336" spans="1:11" ht="22.95" customHeight="1">
      <c r="A336" s="28"/>
      <c r="B336" s="29"/>
      <c r="C336" s="29"/>
      <c r="D336" s="29"/>
      <c r="E336" s="30"/>
      <c r="F336" s="22" t="str">
        <f>IF(OR($A336="",B336="",B336&lt;=0,Séries!Q335=""),"",B336/Séries!Q335-1)</f>
        <v/>
      </c>
      <c r="G336" s="22" t="str">
        <f>IF(OR($A336="",C336="",C336&lt;=0,Séries!R335=""),"",C336/Séries!R335-1)</f>
        <v/>
      </c>
      <c r="H336" s="22" t="str">
        <f>IF(OR($A336="",D336="",D336&lt;=0,Séries!S335=""),"",D336/Séries!S335-1)</f>
        <v/>
      </c>
      <c r="I336" s="22" t="str">
        <f>IF(OR($A336="",E336="",E336&lt;=0,Séries!T335=""),"",E336/Séries!T335-1)</f>
        <v/>
      </c>
      <c r="J336" s="27"/>
      <c r="K336" s="1" t="str">
        <f>IF(COUNTA(A336:E336)=0,"",IF(A336="","Preencha a data",IF(NOT(ISNUMBER(A336)),"Data inválida",IF(OR(A336&lt;36526,A336&gt;73050,A336&lt;&gt;INT(A336)),"Data inválida",IF(A336&lt;=Séries!U335,"Data repetida / fora de ordem",IF(COUNTA(B336:E336)&lt;&gt;COUNT(B336:E336),"Use preços numéricos",IF(OR(AND(ISNUMBER(B336),B336&lt;=0),AND(ISNUMBER(C336),C336&lt;=0),AND(ISNUMBER(D336),D336&lt;=0),AND(ISNUMBER(E336),E336&lt;=0)),"Use preços positivos","")))))))</f>
        <v/>
      </c>
    </row>
    <row r="337" spans="1:11" ht="22.95" customHeight="1">
      <c r="A337" s="28"/>
      <c r="B337" s="29"/>
      <c r="C337" s="29"/>
      <c r="D337" s="29"/>
      <c r="E337" s="30"/>
      <c r="F337" s="22" t="str">
        <f>IF(OR($A337="",B337="",B337&lt;=0,Séries!Q336=""),"",B337/Séries!Q336-1)</f>
        <v/>
      </c>
      <c r="G337" s="22" t="str">
        <f>IF(OR($A337="",C337="",C337&lt;=0,Séries!R336=""),"",C337/Séries!R336-1)</f>
        <v/>
      </c>
      <c r="H337" s="22" t="str">
        <f>IF(OR($A337="",D337="",D337&lt;=0,Séries!S336=""),"",D337/Séries!S336-1)</f>
        <v/>
      </c>
      <c r="I337" s="22" t="str">
        <f>IF(OR($A337="",E337="",E337&lt;=0,Séries!T336=""),"",E337/Séries!T336-1)</f>
        <v/>
      </c>
      <c r="J337" s="27"/>
      <c r="K337" s="1" t="str">
        <f>IF(COUNTA(A337:E337)=0,"",IF(A337="","Preencha a data",IF(NOT(ISNUMBER(A337)),"Data inválida",IF(OR(A337&lt;36526,A337&gt;73050,A337&lt;&gt;INT(A337)),"Data inválida",IF(A337&lt;=Séries!U336,"Data repetida / fora de ordem",IF(COUNTA(B337:E337)&lt;&gt;COUNT(B337:E337),"Use preços numéricos",IF(OR(AND(ISNUMBER(B337),B337&lt;=0),AND(ISNUMBER(C337),C337&lt;=0),AND(ISNUMBER(D337),D337&lt;=0),AND(ISNUMBER(E337),E337&lt;=0)),"Use preços positivos","")))))))</f>
        <v/>
      </c>
    </row>
    <row r="338" spans="1:11" ht="22.95" customHeight="1">
      <c r="A338" s="28"/>
      <c r="B338" s="29"/>
      <c r="C338" s="29"/>
      <c r="D338" s="29"/>
      <c r="E338" s="30"/>
      <c r="F338" s="22" t="str">
        <f>IF(OR($A338="",B338="",B338&lt;=0,Séries!Q337=""),"",B338/Séries!Q337-1)</f>
        <v/>
      </c>
      <c r="G338" s="22" t="str">
        <f>IF(OR($A338="",C338="",C338&lt;=0,Séries!R337=""),"",C338/Séries!R337-1)</f>
        <v/>
      </c>
      <c r="H338" s="22" t="str">
        <f>IF(OR($A338="",D338="",D338&lt;=0,Séries!S337=""),"",D338/Séries!S337-1)</f>
        <v/>
      </c>
      <c r="I338" s="22" t="str">
        <f>IF(OR($A338="",E338="",E338&lt;=0,Séries!T337=""),"",E338/Séries!T337-1)</f>
        <v/>
      </c>
      <c r="J338" s="27"/>
      <c r="K338" s="1" t="str">
        <f>IF(COUNTA(A338:E338)=0,"",IF(A338="","Preencha a data",IF(NOT(ISNUMBER(A338)),"Data inválida",IF(OR(A338&lt;36526,A338&gt;73050,A338&lt;&gt;INT(A338)),"Data inválida",IF(A338&lt;=Séries!U337,"Data repetida / fora de ordem",IF(COUNTA(B338:E338)&lt;&gt;COUNT(B338:E338),"Use preços numéricos",IF(OR(AND(ISNUMBER(B338),B338&lt;=0),AND(ISNUMBER(C338),C338&lt;=0),AND(ISNUMBER(D338),D338&lt;=0),AND(ISNUMBER(E338),E338&lt;=0)),"Use preços positivos","")))))))</f>
        <v/>
      </c>
    </row>
    <row r="339" spans="1:11" ht="22.95" customHeight="1">
      <c r="A339" s="28"/>
      <c r="B339" s="29"/>
      <c r="C339" s="29"/>
      <c r="D339" s="29"/>
      <c r="E339" s="30"/>
      <c r="F339" s="22" t="str">
        <f>IF(OR($A339="",B339="",B339&lt;=0,Séries!Q338=""),"",B339/Séries!Q338-1)</f>
        <v/>
      </c>
      <c r="G339" s="22" t="str">
        <f>IF(OR($A339="",C339="",C339&lt;=0,Séries!R338=""),"",C339/Séries!R338-1)</f>
        <v/>
      </c>
      <c r="H339" s="22" t="str">
        <f>IF(OR($A339="",D339="",D339&lt;=0,Séries!S338=""),"",D339/Séries!S338-1)</f>
        <v/>
      </c>
      <c r="I339" s="22" t="str">
        <f>IF(OR($A339="",E339="",E339&lt;=0,Séries!T338=""),"",E339/Séries!T338-1)</f>
        <v/>
      </c>
      <c r="J339" s="27"/>
      <c r="K339" s="1" t="str">
        <f>IF(COUNTA(A339:E339)=0,"",IF(A339="","Preencha a data",IF(NOT(ISNUMBER(A339)),"Data inválida",IF(OR(A339&lt;36526,A339&gt;73050,A339&lt;&gt;INT(A339)),"Data inválida",IF(A339&lt;=Séries!U338,"Data repetida / fora de ordem",IF(COUNTA(B339:E339)&lt;&gt;COUNT(B339:E339),"Use preços numéricos",IF(OR(AND(ISNUMBER(B339),B339&lt;=0),AND(ISNUMBER(C339),C339&lt;=0),AND(ISNUMBER(D339),D339&lt;=0),AND(ISNUMBER(E339),E339&lt;=0)),"Use preços positivos","")))))))</f>
        <v/>
      </c>
    </row>
    <row r="340" spans="1:11" ht="22.95" customHeight="1">
      <c r="A340" s="28"/>
      <c r="B340" s="29"/>
      <c r="C340" s="29"/>
      <c r="D340" s="29"/>
      <c r="E340" s="30"/>
      <c r="F340" s="22" t="str">
        <f>IF(OR($A340="",B340="",B340&lt;=0,Séries!Q339=""),"",B340/Séries!Q339-1)</f>
        <v/>
      </c>
      <c r="G340" s="22" t="str">
        <f>IF(OR($A340="",C340="",C340&lt;=0,Séries!R339=""),"",C340/Séries!R339-1)</f>
        <v/>
      </c>
      <c r="H340" s="22" t="str">
        <f>IF(OR($A340="",D340="",D340&lt;=0,Séries!S339=""),"",D340/Séries!S339-1)</f>
        <v/>
      </c>
      <c r="I340" s="22" t="str">
        <f>IF(OR($A340="",E340="",E340&lt;=0,Séries!T339=""),"",E340/Séries!T339-1)</f>
        <v/>
      </c>
      <c r="J340" s="27"/>
      <c r="K340" s="1" t="str">
        <f>IF(COUNTA(A340:E340)=0,"",IF(A340="","Preencha a data",IF(NOT(ISNUMBER(A340)),"Data inválida",IF(OR(A340&lt;36526,A340&gt;73050,A340&lt;&gt;INT(A340)),"Data inválida",IF(A340&lt;=Séries!U339,"Data repetida / fora de ordem",IF(COUNTA(B340:E340)&lt;&gt;COUNT(B340:E340),"Use preços numéricos",IF(OR(AND(ISNUMBER(B340),B340&lt;=0),AND(ISNUMBER(C340),C340&lt;=0),AND(ISNUMBER(D340),D340&lt;=0),AND(ISNUMBER(E340),E340&lt;=0)),"Use preços positivos","")))))))</f>
        <v/>
      </c>
    </row>
    <row r="341" spans="1:11" ht="22.95" customHeight="1">
      <c r="A341" s="28"/>
      <c r="B341" s="29"/>
      <c r="C341" s="29"/>
      <c r="D341" s="29"/>
      <c r="E341" s="30"/>
      <c r="F341" s="22" t="str">
        <f>IF(OR($A341="",B341="",B341&lt;=0,Séries!Q340=""),"",B341/Séries!Q340-1)</f>
        <v/>
      </c>
      <c r="G341" s="22" t="str">
        <f>IF(OR($A341="",C341="",C341&lt;=0,Séries!R340=""),"",C341/Séries!R340-1)</f>
        <v/>
      </c>
      <c r="H341" s="22" t="str">
        <f>IF(OR($A341="",D341="",D341&lt;=0,Séries!S340=""),"",D341/Séries!S340-1)</f>
        <v/>
      </c>
      <c r="I341" s="22" t="str">
        <f>IF(OR($A341="",E341="",E341&lt;=0,Séries!T340=""),"",E341/Séries!T340-1)</f>
        <v/>
      </c>
      <c r="J341" s="27"/>
      <c r="K341" s="1" t="str">
        <f>IF(COUNTA(A341:E341)=0,"",IF(A341="","Preencha a data",IF(NOT(ISNUMBER(A341)),"Data inválida",IF(OR(A341&lt;36526,A341&gt;73050,A341&lt;&gt;INT(A341)),"Data inválida",IF(A341&lt;=Séries!U340,"Data repetida / fora de ordem",IF(COUNTA(B341:E341)&lt;&gt;COUNT(B341:E341),"Use preços numéricos",IF(OR(AND(ISNUMBER(B341),B341&lt;=0),AND(ISNUMBER(C341),C341&lt;=0),AND(ISNUMBER(D341),D341&lt;=0),AND(ISNUMBER(E341),E341&lt;=0)),"Use preços positivos","")))))))</f>
        <v/>
      </c>
    </row>
    <row r="342" spans="1:11" ht="22.95" customHeight="1">
      <c r="A342" s="28"/>
      <c r="B342" s="29"/>
      <c r="C342" s="29"/>
      <c r="D342" s="29"/>
      <c r="E342" s="30"/>
      <c r="F342" s="22" t="str">
        <f>IF(OR($A342="",B342="",B342&lt;=0,Séries!Q341=""),"",B342/Séries!Q341-1)</f>
        <v/>
      </c>
      <c r="G342" s="22" t="str">
        <f>IF(OR($A342="",C342="",C342&lt;=0,Séries!R341=""),"",C342/Séries!R341-1)</f>
        <v/>
      </c>
      <c r="H342" s="22" t="str">
        <f>IF(OR($A342="",D342="",D342&lt;=0,Séries!S341=""),"",D342/Séries!S341-1)</f>
        <v/>
      </c>
      <c r="I342" s="22" t="str">
        <f>IF(OR($A342="",E342="",E342&lt;=0,Séries!T341=""),"",E342/Séries!T341-1)</f>
        <v/>
      </c>
      <c r="J342" s="27"/>
      <c r="K342" s="1" t="str">
        <f>IF(COUNTA(A342:E342)=0,"",IF(A342="","Preencha a data",IF(NOT(ISNUMBER(A342)),"Data inválida",IF(OR(A342&lt;36526,A342&gt;73050,A342&lt;&gt;INT(A342)),"Data inválida",IF(A342&lt;=Séries!U341,"Data repetida / fora de ordem",IF(COUNTA(B342:E342)&lt;&gt;COUNT(B342:E342),"Use preços numéricos",IF(OR(AND(ISNUMBER(B342),B342&lt;=0),AND(ISNUMBER(C342),C342&lt;=0),AND(ISNUMBER(D342),D342&lt;=0),AND(ISNUMBER(E342),E342&lt;=0)),"Use preços positivos","")))))))</f>
        <v/>
      </c>
    </row>
    <row r="343" spans="1:11" ht="22.95" customHeight="1">
      <c r="A343" s="28"/>
      <c r="B343" s="29"/>
      <c r="C343" s="29"/>
      <c r="D343" s="29"/>
      <c r="E343" s="30"/>
      <c r="F343" s="22" t="str">
        <f>IF(OR($A343="",B343="",B343&lt;=0,Séries!Q342=""),"",B343/Séries!Q342-1)</f>
        <v/>
      </c>
      <c r="G343" s="22" t="str">
        <f>IF(OR($A343="",C343="",C343&lt;=0,Séries!R342=""),"",C343/Séries!R342-1)</f>
        <v/>
      </c>
      <c r="H343" s="22" t="str">
        <f>IF(OR($A343="",D343="",D343&lt;=0,Séries!S342=""),"",D343/Séries!S342-1)</f>
        <v/>
      </c>
      <c r="I343" s="22" t="str">
        <f>IF(OR($A343="",E343="",E343&lt;=0,Séries!T342=""),"",E343/Séries!T342-1)</f>
        <v/>
      </c>
      <c r="J343" s="27"/>
      <c r="K343" s="1" t="str">
        <f>IF(COUNTA(A343:E343)=0,"",IF(A343="","Preencha a data",IF(NOT(ISNUMBER(A343)),"Data inválida",IF(OR(A343&lt;36526,A343&gt;73050,A343&lt;&gt;INT(A343)),"Data inválida",IF(A343&lt;=Séries!U342,"Data repetida / fora de ordem",IF(COUNTA(B343:E343)&lt;&gt;COUNT(B343:E343),"Use preços numéricos",IF(OR(AND(ISNUMBER(B343),B343&lt;=0),AND(ISNUMBER(C343),C343&lt;=0),AND(ISNUMBER(D343),D343&lt;=0),AND(ISNUMBER(E343),E343&lt;=0)),"Use preços positivos","")))))))</f>
        <v/>
      </c>
    </row>
    <row r="344" spans="1:11" ht="22.95" customHeight="1">
      <c r="A344" s="28"/>
      <c r="B344" s="29"/>
      <c r="C344" s="29"/>
      <c r="D344" s="29"/>
      <c r="E344" s="30"/>
      <c r="F344" s="22" t="str">
        <f>IF(OR($A344="",B344="",B344&lt;=0,Séries!Q343=""),"",B344/Séries!Q343-1)</f>
        <v/>
      </c>
      <c r="G344" s="22" t="str">
        <f>IF(OR($A344="",C344="",C344&lt;=0,Séries!R343=""),"",C344/Séries!R343-1)</f>
        <v/>
      </c>
      <c r="H344" s="22" t="str">
        <f>IF(OR($A344="",D344="",D344&lt;=0,Séries!S343=""),"",D344/Séries!S343-1)</f>
        <v/>
      </c>
      <c r="I344" s="22" t="str">
        <f>IF(OR($A344="",E344="",E344&lt;=0,Séries!T343=""),"",E344/Séries!T343-1)</f>
        <v/>
      </c>
      <c r="J344" s="27"/>
      <c r="K344" s="1" t="str">
        <f>IF(COUNTA(A344:E344)=0,"",IF(A344="","Preencha a data",IF(NOT(ISNUMBER(A344)),"Data inválida",IF(OR(A344&lt;36526,A344&gt;73050,A344&lt;&gt;INT(A344)),"Data inválida",IF(A344&lt;=Séries!U343,"Data repetida / fora de ordem",IF(COUNTA(B344:E344)&lt;&gt;COUNT(B344:E344),"Use preços numéricos",IF(OR(AND(ISNUMBER(B344),B344&lt;=0),AND(ISNUMBER(C344),C344&lt;=0),AND(ISNUMBER(D344),D344&lt;=0),AND(ISNUMBER(E344),E344&lt;=0)),"Use preços positivos","")))))))</f>
        <v/>
      </c>
    </row>
    <row r="345" spans="1:11" ht="22.95" customHeight="1">
      <c r="A345" s="28"/>
      <c r="B345" s="29"/>
      <c r="C345" s="29"/>
      <c r="D345" s="29"/>
      <c r="E345" s="30"/>
      <c r="F345" s="22" t="str">
        <f>IF(OR($A345="",B345="",B345&lt;=0,Séries!Q344=""),"",B345/Séries!Q344-1)</f>
        <v/>
      </c>
      <c r="G345" s="22" t="str">
        <f>IF(OR($A345="",C345="",C345&lt;=0,Séries!R344=""),"",C345/Séries!R344-1)</f>
        <v/>
      </c>
      <c r="H345" s="22" t="str">
        <f>IF(OR($A345="",D345="",D345&lt;=0,Séries!S344=""),"",D345/Séries!S344-1)</f>
        <v/>
      </c>
      <c r="I345" s="22" t="str">
        <f>IF(OR($A345="",E345="",E345&lt;=0,Séries!T344=""),"",E345/Séries!T344-1)</f>
        <v/>
      </c>
      <c r="J345" s="27"/>
      <c r="K345" s="1" t="str">
        <f>IF(COUNTA(A345:E345)=0,"",IF(A345="","Preencha a data",IF(NOT(ISNUMBER(A345)),"Data inválida",IF(OR(A345&lt;36526,A345&gt;73050,A345&lt;&gt;INT(A345)),"Data inválida",IF(A345&lt;=Séries!U344,"Data repetida / fora de ordem",IF(COUNTA(B345:E345)&lt;&gt;COUNT(B345:E345),"Use preços numéricos",IF(OR(AND(ISNUMBER(B345),B345&lt;=0),AND(ISNUMBER(C345),C345&lt;=0),AND(ISNUMBER(D345),D345&lt;=0),AND(ISNUMBER(E345),E345&lt;=0)),"Use preços positivos","")))))))</f>
        <v/>
      </c>
    </row>
    <row r="346" spans="1:11" ht="22.95" customHeight="1">
      <c r="A346" s="28"/>
      <c r="B346" s="29"/>
      <c r="C346" s="29"/>
      <c r="D346" s="29"/>
      <c r="E346" s="30"/>
      <c r="F346" s="22" t="str">
        <f>IF(OR($A346="",B346="",B346&lt;=0,Séries!Q345=""),"",B346/Séries!Q345-1)</f>
        <v/>
      </c>
      <c r="G346" s="22" t="str">
        <f>IF(OR($A346="",C346="",C346&lt;=0,Séries!R345=""),"",C346/Séries!R345-1)</f>
        <v/>
      </c>
      <c r="H346" s="22" t="str">
        <f>IF(OR($A346="",D346="",D346&lt;=0,Séries!S345=""),"",D346/Séries!S345-1)</f>
        <v/>
      </c>
      <c r="I346" s="22" t="str">
        <f>IF(OR($A346="",E346="",E346&lt;=0,Séries!T345=""),"",E346/Séries!T345-1)</f>
        <v/>
      </c>
      <c r="J346" s="27"/>
      <c r="K346" s="1" t="str">
        <f>IF(COUNTA(A346:E346)=0,"",IF(A346="","Preencha a data",IF(NOT(ISNUMBER(A346)),"Data inválida",IF(OR(A346&lt;36526,A346&gt;73050,A346&lt;&gt;INT(A346)),"Data inválida",IF(A346&lt;=Séries!U345,"Data repetida / fora de ordem",IF(COUNTA(B346:E346)&lt;&gt;COUNT(B346:E346),"Use preços numéricos",IF(OR(AND(ISNUMBER(B346),B346&lt;=0),AND(ISNUMBER(C346),C346&lt;=0),AND(ISNUMBER(D346),D346&lt;=0),AND(ISNUMBER(E346),E346&lt;=0)),"Use preços positivos","")))))))</f>
        <v/>
      </c>
    </row>
    <row r="347" spans="1:11" ht="22.95" customHeight="1">
      <c r="A347" s="28"/>
      <c r="B347" s="29"/>
      <c r="C347" s="29"/>
      <c r="D347" s="29"/>
      <c r="E347" s="30"/>
      <c r="F347" s="22" t="str">
        <f>IF(OR($A347="",B347="",B347&lt;=0,Séries!Q346=""),"",B347/Séries!Q346-1)</f>
        <v/>
      </c>
      <c r="G347" s="22" t="str">
        <f>IF(OR($A347="",C347="",C347&lt;=0,Séries!R346=""),"",C347/Séries!R346-1)</f>
        <v/>
      </c>
      <c r="H347" s="22" t="str">
        <f>IF(OR($A347="",D347="",D347&lt;=0,Séries!S346=""),"",D347/Séries!S346-1)</f>
        <v/>
      </c>
      <c r="I347" s="22" t="str">
        <f>IF(OR($A347="",E347="",E347&lt;=0,Séries!T346=""),"",E347/Séries!T346-1)</f>
        <v/>
      </c>
      <c r="J347" s="27"/>
      <c r="K347" s="1" t="str">
        <f>IF(COUNTA(A347:E347)=0,"",IF(A347="","Preencha a data",IF(NOT(ISNUMBER(A347)),"Data inválida",IF(OR(A347&lt;36526,A347&gt;73050,A347&lt;&gt;INT(A347)),"Data inválida",IF(A347&lt;=Séries!U346,"Data repetida / fora de ordem",IF(COUNTA(B347:E347)&lt;&gt;COUNT(B347:E347),"Use preços numéricos",IF(OR(AND(ISNUMBER(B347),B347&lt;=0),AND(ISNUMBER(C347),C347&lt;=0),AND(ISNUMBER(D347),D347&lt;=0),AND(ISNUMBER(E347),E347&lt;=0)),"Use preços positivos","")))))))</f>
        <v/>
      </c>
    </row>
    <row r="348" spans="1:11" ht="22.95" customHeight="1">
      <c r="A348" s="28"/>
      <c r="B348" s="29"/>
      <c r="C348" s="29"/>
      <c r="D348" s="29"/>
      <c r="E348" s="30"/>
      <c r="F348" s="22" t="str">
        <f>IF(OR($A348="",B348="",B348&lt;=0,Séries!Q347=""),"",B348/Séries!Q347-1)</f>
        <v/>
      </c>
      <c r="G348" s="22" t="str">
        <f>IF(OR($A348="",C348="",C348&lt;=0,Séries!R347=""),"",C348/Séries!R347-1)</f>
        <v/>
      </c>
      <c r="H348" s="22" t="str">
        <f>IF(OR($A348="",D348="",D348&lt;=0,Séries!S347=""),"",D348/Séries!S347-1)</f>
        <v/>
      </c>
      <c r="I348" s="22" t="str">
        <f>IF(OR($A348="",E348="",E348&lt;=0,Séries!T347=""),"",E348/Séries!T347-1)</f>
        <v/>
      </c>
      <c r="J348" s="27"/>
      <c r="K348" s="1" t="str">
        <f>IF(COUNTA(A348:E348)=0,"",IF(A348="","Preencha a data",IF(NOT(ISNUMBER(A348)),"Data inválida",IF(OR(A348&lt;36526,A348&gt;73050,A348&lt;&gt;INT(A348)),"Data inválida",IF(A348&lt;=Séries!U347,"Data repetida / fora de ordem",IF(COUNTA(B348:E348)&lt;&gt;COUNT(B348:E348),"Use preços numéricos",IF(OR(AND(ISNUMBER(B348),B348&lt;=0),AND(ISNUMBER(C348),C348&lt;=0),AND(ISNUMBER(D348),D348&lt;=0),AND(ISNUMBER(E348),E348&lt;=0)),"Use preços positivos","")))))))</f>
        <v/>
      </c>
    </row>
    <row r="349" spans="1:11" ht="22.95" customHeight="1">
      <c r="A349" s="28"/>
      <c r="B349" s="29"/>
      <c r="C349" s="29"/>
      <c r="D349" s="29"/>
      <c r="E349" s="30"/>
      <c r="F349" s="22" t="str">
        <f>IF(OR($A349="",B349="",B349&lt;=0,Séries!Q348=""),"",B349/Séries!Q348-1)</f>
        <v/>
      </c>
      <c r="G349" s="22" t="str">
        <f>IF(OR($A349="",C349="",C349&lt;=0,Séries!R348=""),"",C349/Séries!R348-1)</f>
        <v/>
      </c>
      <c r="H349" s="22" t="str">
        <f>IF(OR($A349="",D349="",D349&lt;=0,Séries!S348=""),"",D349/Séries!S348-1)</f>
        <v/>
      </c>
      <c r="I349" s="22" t="str">
        <f>IF(OR($A349="",E349="",E349&lt;=0,Séries!T348=""),"",E349/Séries!T348-1)</f>
        <v/>
      </c>
      <c r="J349" s="27"/>
      <c r="K349" s="1" t="str">
        <f>IF(COUNTA(A349:E349)=0,"",IF(A349="","Preencha a data",IF(NOT(ISNUMBER(A349)),"Data inválida",IF(OR(A349&lt;36526,A349&gt;73050,A349&lt;&gt;INT(A349)),"Data inválida",IF(A349&lt;=Séries!U348,"Data repetida / fora de ordem",IF(COUNTA(B349:E349)&lt;&gt;COUNT(B349:E349),"Use preços numéricos",IF(OR(AND(ISNUMBER(B349),B349&lt;=0),AND(ISNUMBER(C349),C349&lt;=0),AND(ISNUMBER(D349),D349&lt;=0),AND(ISNUMBER(E349),E349&lt;=0)),"Use preços positivos","")))))))</f>
        <v/>
      </c>
    </row>
    <row r="350" spans="1:11" ht="22.95" customHeight="1">
      <c r="A350" s="28"/>
      <c r="B350" s="29"/>
      <c r="C350" s="29"/>
      <c r="D350" s="29"/>
      <c r="E350" s="30"/>
      <c r="F350" s="22" t="str">
        <f>IF(OR($A350="",B350="",B350&lt;=0,Séries!Q349=""),"",B350/Séries!Q349-1)</f>
        <v/>
      </c>
      <c r="G350" s="22" t="str">
        <f>IF(OR($A350="",C350="",C350&lt;=0,Séries!R349=""),"",C350/Séries!R349-1)</f>
        <v/>
      </c>
      <c r="H350" s="22" t="str">
        <f>IF(OR($A350="",D350="",D350&lt;=0,Séries!S349=""),"",D350/Séries!S349-1)</f>
        <v/>
      </c>
      <c r="I350" s="22" t="str">
        <f>IF(OR($A350="",E350="",E350&lt;=0,Séries!T349=""),"",E350/Séries!T349-1)</f>
        <v/>
      </c>
      <c r="J350" s="27"/>
      <c r="K350" s="1" t="str">
        <f>IF(COUNTA(A350:E350)=0,"",IF(A350="","Preencha a data",IF(NOT(ISNUMBER(A350)),"Data inválida",IF(OR(A350&lt;36526,A350&gt;73050,A350&lt;&gt;INT(A350)),"Data inválida",IF(A350&lt;=Séries!U349,"Data repetida / fora de ordem",IF(COUNTA(B350:E350)&lt;&gt;COUNT(B350:E350),"Use preços numéricos",IF(OR(AND(ISNUMBER(B350),B350&lt;=0),AND(ISNUMBER(C350),C350&lt;=0),AND(ISNUMBER(D350),D350&lt;=0),AND(ISNUMBER(E350),E350&lt;=0)),"Use preços positivos","")))))))</f>
        <v/>
      </c>
    </row>
    <row r="351" spans="1:11" ht="22.95" customHeight="1">
      <c r="A351" s="28"/>
      <c r="B351" s="29"/>
      <c r="C351" s="29"/>
      <c r="D351" s="29"/>
      <c r="E351" s="30"/>
      <c r="F351" s="22" t="str">
        <f>IF(OR($A351="",B351="",B351&lt;=0,Séries!Q350=""),"",B351/Séries!Q350-1)</f>
        <v/>
      </c>
      <c r="G351" s="22" t="str">
        <f>IF(OR($A351="",C351="",C351&lt;=0,Séries!R350=""),"",C351/Séries!R350-1)</f>
        <v/>
      </c>
      <c r="H351" s="22" t="str">
        <f>IF(OR($A351="",D351="",D351&lt;=0,Séries!S350=""),"",D351/Séries!S350-1)</f>
        <v/>
      </c>
      <c r="I351" s="22" t="str">
        <f>IF(OR($A351="",E351="",E351&lt;=0,Séries!T350=""),"",E351/Séries!T350-1)</f>
        <v/>
      </c>
      <c r="J351" s="27"/>
      <c r="K351" s="1" t="str">
        <f>IF(COUNTA(A351:E351)=0,"",IF(A351="","Preencha a data",IF(NOT(ISNUMBER(A351)),"Data inválida",IF(OR(A351&lt;36526,A351&gt;73050,A351&lt;&gt;INT(A351)),"Data inválida",IF(A351&lt;=Séries!U350,"Data repetida / fora de ordem",IF(COUNTA(B351:E351)&lt;&gt;COUNT(B351:E351),"Use preços numéricos",IF(OR(AND(ISNUMBER(B351),B351&lt;=0),AND(ISNUMBER(C351),C351&lt;=0),AND(ISNUMBER(D351),D351&lt;=0),AND(ISNUMBER(E351),E351&lt;=0)),"Use preços positivos","")))))))</f>
        <v/>
      </c>
    </row>
    <row r="352" spans="1:11" ht="22.95" customHeight="1">
      <c r="A352" s="28"/>
      <c r="B352" s="29"/>
      <c r="C352" s="29"/>
      <c r="D352" s="29"/>
      <c r="E352" s="30"/>
      <c r="F352" s="22" t="str">
        <f>IF(OR($A352="",B352="",B352&lt;=0,Séries!Q351=""),"",B352/Séries!Q351-1)</f>
        <v/>
      </c>
      <c r="G352" s="22" t="str">
        <f>IF(OR($A352="",C352="",C352&lt;=0,Séries!R351=""),"",C352/Séries!R351-1)</f>
        <v/>
      </c>
      <c r="H352" s="22" t="str">
        <f>IF(OR($A352="",D352="",D352&lt;=0,Séries!S351=""),"",D352/Séries!S351-1)</f>
        <v/>
      </c>
      <c r="I352" s="22" t="str">
        <f>IF(OR($A352="",E352="",E352&lt;=0,Séries!T351=""),"",E352/Séries!T351-1)</f>
        <v/>
      </c>
      <c r="J352" s="27"/>
      <c r="K352" s="1" t="str">
        <f>IF(COUNTA(A352:E352)=0,"",IF(A352="","Preencha a data",IF(NOT(ISNUMBER(A352)),"Data inválida",IF(OR(A352&lt;36526,A352&gt;73050,A352&lt;&gt;INT(A352)),"Data inválida",IF(A352&lt;=Séries!U351,"Data repetida / fora de ordem",IF(COUNTA(B352:E352)&lt;&gt;COUNT(B352:E352),"Use preços numéricos",IF(OR(AND(ISNUMBER(B352),B352&lt;=0),AND(ISNUMBER(C352),C352&lt;=0),AND(ISNUMBER(D352),D352&lt;=0),AND(ISNUMBER(E352),E352&lt;=0)),"Use preços positivos","")))))))</f>
        <v/>
      </c>
    </row>
    <row r="353" spans="1:11" ht="22.95" customHeight="1">
      <c r="A353" s="28"/>
      <c r="B353" s="29"/>
      <c r="C353" s="29"/>
      <c r="D353" s="29"/>
      <c r="E353" s="30"/>
      <c r="F353" s="22" t="str">
        <f>IF(OR($A353="",B353="",B353&lt;=0,Séries!Q352=""),"",B353/Séries!Q352-1)</f>
        <v/>
      </c>
      <c r="G353" s="22" t="str">
        <f>IF(OR($A353="",C353="",C353&lt;=0,Séries!R352=""),"",C353/Séries!R352-1)</f>
        <v/>
      </c>
      <c r="H353" s="22" t="str">
        <f>IF(OR($A353="",D353="",D353&lt;=0,Séries!S352=""),"",D353/Séries!S352-1)</f>
        <v/>
      </c>
      <c r="I353" s="22" t="str">
        <f>IF(OR($A353="",E353="",E353&lt;=0,Séries!T352=""),"",E353/Séries!T352-1)</f>
        <v/>
      </c>
      <c r="J353" s="27"/>
      <c r="K353" s="1" t="str">
        <f>IF(COUNTA(A353:E353)=0,"",IF(A353="","Preencha a data",IF(NOT(ISNUMBER(A353)),"Data inválida",IF(OR(A353&lt;36526,A353&gt;73050,A353&lt;&gt;INT(A353)),"Data inválida",IF(A353&lt;=Séries!U352,"Data repetida / fora de ordem",IF(COUNTA(B353:E353)&lt;&gt;COUNT(B353:E353),"Use preços numéricos",IF(OR(AND(ISNUMBER(B353),B353&lt;=0),AND(ISNUMBER(C353),C353&lt;=0),AND(ISNUMBER(D353),D353&lt;=0),AND(ISNUMBER(E353),E353&lt;=0)),"Use preços positivos","")))))))</f>
        <v/>
      </c>
    </row>
    <row r="354" spans="1:11" ht="22.95" customHeight="1">
      <c r="A354" s="28"/>
      <c r="B354" s="29"/>
      <c r="C354" s="29"/>
      <c r="D354" s="29"/>
      <c r="E354" s="30"/>
      <c r="F354" s="22" t="str">
        <f>IF(OR($A354="",B354="",B354&lt;=0,Séries!Q353=""),"",B354/Séries!Q353-1)</f>
        <v/>
      </c>
      <c r="G354" s="22" t="str">
        <f>IF(OR($A354="",C354="",C354&lt;=0,Séries!R353=""),"",C354/Séries!R353-1)</f>
        <v/>
      </c>
      <c r="H354" s="22" t="str">
        <f>IF(OR($A354="",D354="",D354&lt;=0,Séries!S353=""),"",D354/Séries!S353-1)</f>
        <v/>
      </c>
      <c r="I354" s="22" t="str">
        <f>IF(OR($A354="",E354="",E354&lt;=0,Séries!T353=""),"",E354/Séries!T353-1)</f>
        <v/>
      </c>
      <c r="J354" s="27"/>
      <c r="K354" s="1" t="str">
        <f>IF(COUNTA(A354:E354)=0,"",IF(A354="","Preencha a data",IF(NOT(ISNUMBER(A354)),"Data inválida",IF(OR(A354&lt;36526,A354&gt;73050,A354&lt;&gt;INT(A354)),"Data inválida",IF(A354&lt;=Séries!U353,"Data repetida / fora de ordem",IF(COUNTA(B354:E354)&lt;&gt;COUNT(B354:E354),"Use preços numéricos",IF(OR(AND(ISNUMBER(B354),B354&lt;=0),AND(ISNUMBER(C354),C354&lt;=0),AND(ISNUMBER(D354),D354&lt;=0),AND(ISNUMBER(E354),E354&lt;=0)),"Use preços positivos","")))))))</f>
        <v/>
      </c>
    </row>
    <row r="355" spans="1:11" ht="22.95" customHeight="1">
      <c r="A355" s="28"/>
      <c r="B355" s="29"/>
      <c r="C355" s="29"/>
      <c r="D355" s="29"/>
      <c r="E355" s="30"/>
      <c r="F355" s="22" t="str">
        <f>IF(OR($A355="",B355="",B355&lt;=0,Séries!Q354=""),"",B355/Séries!Q354-1)</f>
        <v/>
      </c>
      <c r="G355" s="22" t="str">
        <f>IF(OR($A355="",C355="",C355&lt;=0,Séries!R354=""),"",C355/Séries!R354-1)</f>
        <v/>
      </c>
      <c r="H355" s="22" t="str">
        <f>IF(OR($A355="",D355="",D355&lt;=0,Séries!S354=""),"",D355/Séries!S354-1)</f>
        <v/>
      </c>
      <c r="I355" s="22" t="str">
        <f>IF(OR($A355="",E355="",E355&lt;=0,Séries!T354=""),"",E355/Séries!T354-1)</f>
        <v/>
      </c>
      <c r="J355" s="27"/>
      <c r="K355" s="1" t="str">
        <f>IF(COUNTA(A355:E355)=0,"",IF(A355="","Preencha a data",IF(NOT(ISNUMBER(A355)),"Data inválida",IF(OR(A355&lt;36526,A355&gt;73050,A355&lt;&gt;INT(A355)),"Data inválida",IF(A355&lt;=Séries!U354,"Data repetida / fora de ordem",IF(COUNTA(B355:E355)&lt;&gt;COUNT(B355:E355),"Use preços numéricos",IF(OR(AND(ISNUMBER(B355),B355&lt;=0),AND(ISNUMBER(C355),C355&lt;=0),AND(ISNUMBER(D355),D355&lt;=0),AND(ISNUMBER(E355),E355&lt;=0)),"Use preços positivos","")))))))</f>
        <v/>
      </c>
    </row>
    <row r="356" spans="1:11" ht="22.95" customHeight="1">
      <c r="A356" s="28"/>
      <c r="B356" s="29"/>
      <c r="C356" s="29"/>
      <c r="D356" s="29"/>
      <c r="E356" s="30"/>
      <c r="F356" s="22" t="str">
        <f>IF(OR($A356="",B356="",B356&lt;=0,Séries!Q355=""),"",B356/Séries!Q355-1)</f>
        <v/>
      </c>
      <c r="G356" s="22" t="str">
        <f>IF(OR($A356="",C356="",C356&lt;=0,Séries!R355=""),"",C356/Séries!R355-1)</f>
        <v/>
      </c>
      <c r="H356" s="22" t="str">
        <f>IF(OR($A356="",D356="",D356&lt;=0,Séries!S355=""),"",D356/Séries!S355-1)</f>
        <v/>
      </c>
      <c r="I356" s="22" t="str">
        <f>IF(OR($A356="",E356="",E356&lt;=0,Séries!T355=""),"",E356/Séries!T355-1)</f>
        <v/>
      </c>
      <c r="J356" s="27"/>
      <c r="K356" s="1" t="str">
        <f>IF(COUNTA(A356:E356)=0,"",IF(A356="","Preencha a data",IF(NOT(ISNUMBER(A356)),"Data inválida",IF(OR(A356&lt;36526,A356&gt;73050,A356&lt;&gt;INT(A356)),"Data inválida",IF(A356&lt;=Séries!U355,"Data repetida / fora de ordem",IF(COUNTA(B356:E356)&lt;&gt;COUNT(B356:E356),"Use preços numéricos",IF(OR(AND(ISNUMBER(B356),B356&lt;=0),AND(ISNUMBER(C356),C356&lt;=0),AND(ISNUMBER(D356),D356&lt;=0),AND(ISNUMBER(E356),E356&lt;=0)),"Use preços positivos","")))))))</f>
        <v/>
      </c>
    </row>
    <row r="357" spans="1:11" ht="22.95" customHeight="1">
      <c r="A357" s="28"/>
      <c r="B357" s="29"/>
      <c r="C357" s="29"/>
      <c r="D357" s="29"/>
      <c r="E357" s="30"/>
      <c r="F357" s="22" t="str">
        <f>IF(OR($A357="",B357="",B357&lt;=0,Séries!Q356=""),"",B357/Séries!Q356-1)</f>
        <v/>
      </c>
      <c r="G357" s="22" t="str">
        <f>IF(OR($A357="",C357="",C357&lt;=0,Séries!R356=""),"",C357/Séries!R356-1)</f>
        <v/>
      </c>
      <c r="H357" s="22" t="str">
        <f>IF(OR($A357="",D357="",D357&lt;=0,Séries!S356=""),"",D357/Séries!S356-1)</f>
        <v/>
      </c>
      <c r="I357" s="22" t="str">
        <f>IF(OR($A357="",E357="",E357&lt;=0,Séries!T356=""),"",E357/Séries!T356-1)</f>
        <v/>
      </c>
      <c r="J357" s="27"/>
      <c r="K357" s="1" t="str">
        <f>IF(COUNTA(A357:E357)=0,"",IF(A357="","Preencha a data",IF(NOT(ISNUMBER(A357)),"Data inválida",IF(OR(A357&lt;36526,A357&gt;73050,A357&lt;&gt;INT(A357)),"Data inválida",IF(A357&lt;=Séries!U356,"Data repetida / fora de ordem",IF(COUNTA(B357:E357)&lt;&gt;COUNT(B357:E357),"Use preços numéricos",IF(OR(AND(ISNUMBER(B357),B357&lt;=0),AND(ISNUMBER(C357),C357&lt;=0),AND(ISNUMBER(D357),D357&lt;=0),AND(ISNUMBER(E357),E357&lt;=0)),"Use preços positivos","")))))))</f>
        <v/>
      </c>
    </row>
    <row r="358" spans="1:11" ht="22.95" customHeight="1">
      <c r="A358" s="28"/>
      <c r="B358" s="29"/>
      <c r="C358" s="29"/>
      <c r="D358" s="29"/>
      <c r="E358" s="30"/>
      <c r="F358" s="22" t="str">
        <f>IF(OR($A358="",B358="",B358&lt;=0,Séries!Q357=""),"",B358/Séries!Q357-1)</f>
        <v/>
      </c>
      <c r="G358" s="22" t="str">
        <f>IF(OR($A358="",C358="",C358&lt;=0,Séries!R357=""),"",C358/Séries!R357-1)</f>
        <v/>
      </c>
      <c r="H358" s="22" t="str">
        <f>IF(OR($A358="",D358="",D358&lt;=0,Séries!S357=""),"",D358/Séries!S357-1)</f>
        <v/>
      </c>
      <c r="I358" s="22" t="str">
        <f>IF(OR($A358="",E358="",E358&lt;=0,Séries!T357=""),"",E358/Séries!T357-1)</f>
        <v/>
      </c>
      <c r="J358" s="27"/>
      <c r="K358" s="1" t="str">
        <f>IF(COUNTA(A358:E358)=0,"",IF(A358="","Preencha a data",IF(NOT(ISNUMBER(A358)),"Data inválida",IF(OR(A358&lt;36526,A358&gt;73050,A358&lt;&gt;INT(A358)),"Data inválida",IF(A358&lt;=Séries!U357,"Data repetida / fora de ordem",IF(COUNTA(B358:E358)&lt;&gt;COUNT(B358:E358),"Use preços numéricos",IF(OR(AND(ISNUMBER(B358),B358&lt;=0),AND(ISNUMBER(C358),C358&lt;=0),AND(ISNUMBER(D358),D358&lt;=0),AND(ISNUMBER(E358),E358&lt;=0)),"Use preços positivos","")))))))</f>
        <v/>
      </c>
    </row>
    <row r="359" spans="1:11" ht="22.95" customHeight="1">
      <c r="A359" s="28"/>
      <c r="B359" s="29"/>
      <c r="C359" s="29"/>
      <c r="D359" s="29"/>
      <c r="E359" s="30"/>
      <c r="F359" s="22" t="str">
        <f>IF(OR($A359="",B359="",B359&lt;=0,Séries!Q358=""),"",B359/Séries!Q358-1)</f>
        <v/>
      </c>
      <c r="G359" s="22" t="str">
        <f>IF(OR($A359="",C359="",C359&lt;=0,Séries!R358=""),"",C359/Séries!R358-1)</f>
        <v/>
      </c>
      <c r="H359" s="22" t="str">
        <f>IF(OR($A359="",D359="",D359&lt;=0,Séries!S358=""),"",D359/Séries!S358-1)</f>
        <v/>
      </c>
      <c r="I359" s="22" t="str">
        <f>IF(OR($A359="",E359="",E359&lt;=0,Séries!T358=""),"",E359/Séries!T358-1)</f>
        <v/>
      </c>
      <c r="J359" s="27"/>
      <c r="K359" s="1" t="str">
        <f>IF(COUNTA(A359:E359)=0,"",IF(A359="","Preencha a data",IF(NOT(ISNUMBER(A359)),"Data inválida",IF(OR(A359&lt;36526,A359&gt;73050,A359&lt;&gt;INT(A359)),"Data inválida",IF(A359&lt;=Séries!U358,"Data repetida / fora de ordem",IF(COUNTA(B359:E359)&lt;&gt;COUNT(B359:E359),"Use preços numéricos",IF(OR(AND(ISNUMBER(B359),B359&lt;=0),AND(ISNUMBER(C359),C359&lt;=0),AND(ISNUMBER(D359),D359&lt;=0),AND(ISNUMBER(E359),E359&lt;=0)),"Use preços positivos","")))))))</f>
        <v/>
      </c>
    </row>
    <row r="360" spans="1:11" ht="22.95" customHeight="1">
      <c r="A360" s="28"/>
      <c r="B360" s="29"/>
      <c r="C360" s="29"/>
      <c r="D360" s="29"/>
      <c r="E360" s="30"/>
      <c r="F360" s="22" t="str">
        <f>IF(OR($A360="",B360="",B360&lt;=0,Séries!Q359=""),"",B360/Séries!Q359-1)</f>
        <v/>
      </c>
      <c r="G360" s="22" t="str">
        <f>IF(OR($A360="",C360="",C360&lt;=0,Séries!R359=""),"",C360/Séries!R359-1)</f>
        <v/>
      </c>
      <c r="H360" s="22" t="str">
        <f>IF(OR($A360="",D360="",D360&lt;=0,Séries!S359=""),"",D360/Séries!S359-1)</f>
        <v/>
      </c>
      <c r="I360" s="22" t="str">
        <f>IF(OR($A360="",E360="",E360&lt;=0,Séries!T359=""),"",E360/Séries!T359-1)</f>
        <v/>
      </c>
      <c r="J360" s="27"/>
      <c r="K360" s="1" t="str">
        <f>IF(COUNTA(A360:E360)=0,"",IF(A360="","Preencha a data",IF(NOT(ISNUMBER(A360)),"Data inválida",IF(OR(A360&lt;36526,A360&gt;73050,A360&lt;&gt;INT(A360)),"Data inválida",IF(A360&lt;=Séries!U359,"Data repetida / fora de ordem",IF(COUNTA(B360:E360)&lt;&gt;COUNT(B360:E360),"Use preços numéricos",IF(OR(AND(ISNUMBER(B360),B360&lt;=0),AND(ISNUMBER(C360),C360&lt;=0),AND(ISNUMBER(D360),D360&lt;=0),AND(ISNUMBER(E360),E360&lt;=0)),"Use preços positivos","")))))))</f>
        <v/>
      </c>
    </row>
    <row r="361" spans="1:11" ht="22.95" customHeight="1">
      <c r="A361" s="28"/>
      <c r="B361" s="29"/>
      <c r="C361" s="29"/>
      <c r="D361" s="29"/>
      <c r="E361" s="30"/>
      <c r="F361" s="22" t="str">
        <f>IF(OR($A361="",B361="",B361&lt;=0,Séries!Q360=""),"",B361/Séries!Q360-1)</f>
        <v/>
      </c>
      <c r="G361" s="22" t="str">
        <f>IF(OR($A361="",C361="",C361&lt;=0,Séries!R360=""),"",C361/Séries!R360-1)</f>
        <v/>
      </c>
      <c r="H361" s="22" t="str">
        <f>IF(OR($A361="",D361="",D361&lt;=0,Séries!S360=""),"",D361/Séries!S360-1)</f>
        <v/>
      </c>
      <c r="I361" s="22" t="str">
        <f>IF(OR($A361="",E361="",E361&lt;=0,Séries!T360=""),"",E361/Séries!T360-1)</f>
        <v/>
      </c>
      <c r="J361" s="27"/>
      <c r="K361" s="1" t="str">
        <f>IF(COUNTA(A361:E361)=0,"",IF(A361="","Preencha a data",IF(NOT(ISNUMBER(A361)),"Data inválida",IF(OR(A361&lt;36526,A361&gt;73050,A361&lt;&gt;INT(A361)),"Data inválida",IF(A361&lt;=Séries!U360,"Data repetida / fora de ordem",IF(COUNTA(B361:E361)&lt;&gt;COUNT(B361:E361),"Use preços numéricos",IF(OR(AND(ISNUMBER(B361),B361&lt;=0),AND(ISNUMBER(C361),C361&lt;=0),AND(ISNUMBER(D361),D361&lt;=0),AND(ISNUMBER(E361),E361&lt;=0)),"Use preços positivos","")))))))</f>
        <v/>
      </c>
    </row>
    <row r="362" spans="1:11" ht="22.95" customHeight="1">
      <c r="A362" s="28"/>
      <c r="B362" s="29"/>
      <c r="C362" s="29"/>
      <c r="D362" s="29"/>
      <c r="E362" s="30"/>
      <c r="F362" s="22" t="str">
        <f>IF(OR($A362="",B362="",B362&lt;=0,Séries!Q361=""),"",B362/Séries!Q361-1)</f>
        <v/>
      </c>
      <c r="G362" s="22" t="str">
        <f>IF(OR($A362="",C362="",C362&lt;=0,Séries!R361=""),"",C362/Séries!R361-1)</f>
        <v/>
      </c>
      <c r="H362" s="22" t="str">
        <f>IF(OR($A362="",D362="",D362&lt;=0,Séries!S361=""),"",D362/Séries!S361-1)</f>
        <v/>
      </c>
      <c r="I362" s="22" t="str">
        <f>IF(OR($A362="",E362="",E362&lt;=0,Séries!T361=""),"",E362/Séries!T361-1)</f>
        <v/>
      </c>
      <c r="J362" s="27"/>
      <c r="K362" s="1" t="str">
        <f>IF(COUNTA(A362:E362)=0,"",IF(A362="","Preencha a data",IF(NOT(ISNUMBER(A362)),"Data inválida",IF(OR(A362&lt;36526,A362&gt;73050,A362&lt;&gt;INT(A362)),"Data inválida",IF(A362&lt;=Séries!U361,"Data repetida / fora de ordem",IF(COUNTA(B362:E362)&lt;&gt;COUNT(B362:E362),"Use preços numéricos",IF(OR(AND(ISNUMBER(B362),B362&lt;=0),AND(ISNUMBER(C362),C362&lt;=0),AND(ISNUMBER(D362),D362&lt;=0),AND(ISNUMBER(E362),E362&lt;=0)),"Use preços positivos","")))))))</f>
        <v/>
      </c>
    </row>
    <row r="363" spans="1:11" ht="22.95" customHeight="1">
      <c r="A363" s="28"/>
      <c r="B363" s="29"/>
      <c r="C363" s="29"/>
      <c r="D363" s="29"/>
      <c r="E363" s="30"/>
      <c r="F363" s="22" t="str">
        <f>IF(OR($A363="",B363="",B363&lt;=0,Séries!Q362=""),"",B363/Séries!Q362-1)</f>
        <v/>
      </c>
      <c r="G363" s="22" t="str">
        <f>IF(OR($A363="",C363="",C363&lt;=0,Séries!R362=""),"",C363/Séries!R362-1)</f>
        <v/>
      </c>
      <c r="H363" s="22" t="str">
        <f>IF(OR($A363="",D363="",D363&lt;=0,Séries!S362=""),"",D363/Séries!S362-1)</f>
        <v/>
      </c>
      <c r="I363" s="22" t="str">
        <f>IF(OR($A363="",E363="",E363&lt;=0,Séries!T362=""),"",E363/Séries!T362-1)</f>
        <v/>
      </c>
      <c r="J363" s="27"/>
      <c r="K363" s="1" t="str">
        <f>IF(COUNTA(A363:E363)=0,"",IF(A363="","Preencha a data",IF(NOT(ISNUMBER(A363)),"Data inválida",IF(OR(A363&lt;36526,A363&gt;73050,A363&lt;&gt;INT(A363)),"Data inválida",IF(A363&lt;=Séries!U362,"Data repetida / fora de ordem",IF(COUNTA(B363:E363)&lt;&gt;COUNT(B363:E363),"Use preços numéricos",IF(OR(AND(ISNUMBER(B363),B363&lt;=0),AND(ISNUMBER(C363),C363&lt;=0),AND(ISNUMBER(D363),D363&lt;=0),AND(ISNUMBER(E363),E363&lt;=0)),"Use preços positivos","")))))))</f>
        <v/>
      </c>
    </row>
    <row r="364" spans="1:11" ht="22.95" customHeight="1">
      <c r="A364" s="28"/>
      <c r="B364" s="29"/>
      <c r="C364" s="29"/>
      <c r="D364" s="29"/>
      <c r="E364" s="30"/>
      <c r="F364" s="22" t="str">
        <f>IF(OR($A364="",B364="",B364&lt;=0,Séries!Q363=""),"",B364/Séries!Q363-1)</f>
        <v/>
      </c>
      <c r="G364" s="22" t="str">
        <f>IF(OR($A364="",C364="",C364&lt;=0,Séries!R363=""),"",C364/Séries!R363-1)</f>
        <v/>
      </c>
      <c r="H364" s="22" t="str">
        <f>IF(OR($A364="",D364="",D364&lt;=0,Séries!S363=""),"",D364/Séries!S363-1)</f>
        <v/>
      </c>
      <c r="I364" s="22" t="str">
        <f>IF(OR($A364="",E364="",E364&lt;=0,Séries!T363=""),"",E364/Séries!T363-1)</f>
        <v/>
      </c>
      <c r="J364" s="27"/>
      <c r="K364" s="1" t="str">
        <f>IF(COUNTA(A364:E364)=0,"",IF(A364="","Preencha a data",IF(NOT(ISNUMBER(A364)),"Data inválida",IF(OR(A364&lt;36526,A364&gt;73050,A364&lt;&gt;INT(A364)),"Data inválida",IF(A364&lt;=Séries!U363,"Data repetida / fora de ordem",IF(COUNTA(B364:E364)&lt;&gt;COUNT(B364:E364),"Use preços numéricos",IF(OR(AND(ISNUMBER(B364),B364&lt;=0),AND(ISNUMBER(C364),C364&lt;=0),AND(ISNUMBER(D364),D364&lt;=0),AND(ISNUMBER(E364),E364&lt;=0)),"Use preços positivos","")))))))</f>
        <v/>
      </c>
    </row>
    <row r="365" spans="1:11" ht="22.95" customHeight="1">
      <c r="A365" s="28"/>
      <c r="B365" s="29"/>
      <c r="C365" s="29"/>
      <c r="D365" s="29"/>
      <c r="E365" s="30"/>
      <c r="F365" s="22" t="str">
        <f>IF(OR($A365="",B365="",B365&lt;=0,Séries!Q364=""),"",B365/Séries!Q364-1)</f>
        <v/>
      </c>
      <c r="G365" s="22" t="str">
        <f>IF(OR($A365="",C365="",C365&lt;=0,Séries!R364=""),"",C365/Séries!R364-1)</f>
        <v/>
      </c>
      <c r="H365" s="22" t="str">
        <f>IF(OR($A365="",D365="",D365&lt;=0,Séries!S364=""),"",D365/Séries!S364-1)</f>
        <v/>
      </c>
      <c r="I365" s="22" t="str">
        <f>IF(OR($A365="",E365="",E365&lt;=0,Séries!T364=""),"",E365/Séries!T364-1)</f>
        <v/>
      </c>
      <c r="J365" s="27"/>
      <c r="K365" s="1" t="str">
        <f>IF(COUNTA(A365:E365)=0,"",IF(A365="","Preencha a data",IF(NOT(ISNUMBER(A365)),"Data inválida",IF(OR(A365&lt;36526,A365&gt;73050,A365&lt;&gt;INT(A365)),"Data inválida",IF(A365&lt;=Séries!U364,"Data repetida / fora de ordem",IF(COUNTA(B365:E365)&lt;&gt;COUNT(B365:E365),"Use preços numéricos",IF(OR(AND(ISNUMBER(B365),B365&lt;=0),AND(ISNUMBER(C365),C365&lt;=0),AND(ISNUMBER(D365),D365&lt;=0),AND(ISNUMBER(E365),E365&lt;=0)),"Use preços positivos","")))))))</f>
        <v/>
      </c>
    </row>
    <row r="366" spans="1:11" ht="22.95" customHeight="1">
      <c r="A366" s="28"/>
      <c r="B366" s="29"/>
      <c r="C366" s="29"/>
      <c r="D366" s="29"/>
      <c r="E366" s="30"/>
      <c r="F366" s="22" t="str">
        <f>IF(OR($A366="",B366="",B366&lt;=0,Séries!Q365=""),"",B366/Séries!Q365-1)</f>
        <v/>
      </c>
      <c r="G366" s="22" t="str">
        <f>IF(OR($A366="",C366="",C366&lt;=0,Séries!R365=""),"",C366/Séries!R365-1)</f>
        <v/>
      </c>
      <c r="H366" s="22" t="str">
        <f>IF(OR($A366="",D366="",D366&lt;=0,Séries!S365=""),"",D366/Séries!S365-1)</f>
        <v/>
      </c>
      <c r="I366" s="22" t="str">
        <f>IF(OR($A366="",E366="",E366&lt;=0,Séries!T365=""),"",E366/Séries!T365-1)</f>
        <v/>
      </c>
      <c r="J366" s="27"/>
      <c r="K366" s="1" t="str">
        <f>IF(COUNTA(A366:E366)=0,"",IF(A366="","Preencha a data",IF(NOT(ISNUMBER(A366)),"Data inválida",IF(OR(A366&lt;36526,A366&gt;73050,A366&lt;&gt;INT(A366)),"Data inválida",IF(A366&lt;=Séries!U365,"Data repetida / fora de ordem",IF(COUNTA(B366:E366)&lt;&gt;COUNT(B366:E366),"Use preços numéricos",IF(OR(AND(ISNUMBER(B366),B366&lt;=0),AND(ISNUMBER(C366),C366&lt;=0),AND(ISNUMBER(D366),D366&lt;=0),AND(ISNUMBER(E366),E366&lt;=0)),"Use preços positivos","")))))))</f>
        <v/>
      </c>
    </row>
    <row r="367" spans="1:11" ht="22.95" customHeight="1">
      <c r="A367" s="28"/>
      <c r="B367" s="29"/>
      <c r="C367" s="29"/>
      <c r="D367" s="29"/>
      <c r="E367" s="30"/>
      <c r="F367" s="22" t="str">
        <f>IF(OR($A367="",B367="",B367&lt;=0,Séries!Q366=""),"",B367/Séries!Q366-1)</f>
        <v/>
      </c>
      <c r="G367" s="22" t="str">
        <f>IF(OR($A367="",C367="",C367&lt;=0,Séries!R366=""),"",C367/Séries!R366-1)</f>
        <v/>
      </c>
      <c r="H367" s="22" t="str">
        <f>IF(OR($A367="",D367="",D367&lt;=0,Séries!S366=""),"",D367/Séries!S366-1)</f>
        <v/>
      </c>
      <c r="I367" s="22" t="str">
        <f>IF(OR($A367="",E367="",E367&lt;=0,Séries!T366=""),"",E367/Séries!T366-1)</f>
        <v/>
      </c>
      <c r="J367" s="27"/>
      <c r="K367" s="1" t="str">
        <f>IF(COUNTA(A367:E367)=0,"",IF(A367="","Preencha a data",IF(NOT(ISNUMBER(A367)),"Data inválida",IF(OR(A367&lt;36526,A367&gt;73050,A367&lt;&gt;INT(A367)),"Data inválida",IF(A367&lt;=Séries!U366,"Data repetida / fora de ordem",IF(COUNTA(B367:E367)&lt;&gt;COUNT(B367:E367),"Use preços numéricos",IF(OR(AND(ISNUMBER(B367),B367&lt;=0),AND(ISNUMBER(C367),C367&lt;=0),AND(ISNUMBER(D367),D367&lt;=0),AND(ISNUMBER(E367),E367&lt;=0)),"Use preços positivos","")))))))</f>
        <v/>
      </c>
    </row>
    <row r="368" spans="1:11" ht="22.95" customHeight="1">
      <c r="A368" s="28"/>
      <c r="B368" s="29"/>
      <c r="C368" s="29"/>
      <c r="D368" s="29"/>
      <c r="E368" s="30"/>
      <c r="F368" s="22" t="str">
        <f>IF(OR($A368="",B368="",B368&lt;=0,Séries!Q367=""),"",B368/Séries!Q367-1)</f>
        <v/>
      </c>
      <c r="G368" s="22" t="str">
        <f>IF(OR($A368="",C368="",C368&lt;=0,Séries!R367=""),"",C368/Séries!R367-1)</f>
        <v/>
      </c>
      <c r="H368" s="22" t="str">
        <f>IF(OR($A368="",D368="",D368&lt;=0,Séries!S367=""),"",D368/Séries!S367-1)</f>
        <v/>
      </c>
      <c r="I368" s="22" t="str">
        <f>IF(OR($A368="",E368="",E368&lt;=0,Séries!T367=""),"",E368/Séries!T367-1)</f>
        <v/>
      </c>
      <c r="J368" s="27"/>
      <c r="K368" s="1" t="str">
        <f>IF(COUNTA(A368:E368)=0,"",IF(A368="","Preencha a data",IF(NOT(ISNUMBER(A368)),"Data inválida",IF(OR(A368&lt;36526,A368&gt;73050,A368&lt;&gt;INT(A368)),"Data inválida",IF(A368&lt;=Séries!U367,"Data repetida / fora de ordem",IF(COUNTA(B368:E368)&lt;&gt;COUNT(B368:E368),"Use preços numéricos",IF(OR(AND(ISNUMBER(B368),B368&lt;=0),AND(ISNUMBER(C368),C368&lt;=0),AND(ISNUMBER(D368),D368&lt;=0),AND(ISNUMBER(E368),E368&lt;=0)),"Use preços positivos","")))))))</f>
        <v/>
      </c>
    </row>
    <row r="369" spans="1:11" ht="22.95" customHeight="1">
      <c r="A369" s="28"/>
      <c r="B369" s="29"/>
      <c r="C369" s="29"/>
      <c r="D369" s="29"/>
      <c r="E369" s="30"/>
      <c r="F369" s="22" t="str">
        <f>IF(OR($A369="",B369="",B369&lt;=0,Séries!Q368=""),"",B369/Séries!Q368-1)</f>
        <v/>
      </c>
      <c r="G369" s="22" t="str">
        <f>IF(OR($A369="",C369="",C369&lt;=0,Séries!R368=""),"",C369/Séries!R368-1)</f>
        <v/>
      </c>
      <c r="H369" s="22" t="str">
        <f>IF(OR($A369="",D369="",D369&lt;=0,Séries!S368=""),"",D369/Séries!S368-1)</f>
        <v/>
      </c>
      <c r="I369" s="22" t="str">
        <f>IF(OR($A369="",E369="",E369&lt;=0,Séries!T368=""),"",E369/Séries!T368-1)</f>
        <v/>
      </c>
      <c r="J369" s="27"/>
      <c r="K369" s="1" t="str">
        <f>IF(COUNTA(A369:E369)=0,"",IF(A369="","Preencha a data",IF(NOT(ISNUMBER(A369)),"Data inválida",IF(OR(A369&lt;36526,A369&gt;73050,A369&lt;&gt;INT(A369)),"Data inválida",IF(A369&lt;=Séries!U368,"Data repetida / fora de ordem",IF(COUNTA(B369:E369)&lt;&gt;COUNT(B369:E369),"Use preços numéricos",IF(OR(AND(ISNUMBER(B369),B369&lt;=0),AND(ISNUMBER(C369),C369&lt;=0),AND(ISNUMBER(D369),D369&lt;=0),AND(ISNUMBER(E369),E369&lt;=0)),"Use preços positivos","")))))))</f>
        <v/>
      </c>
    </row>
    <row r="370" spans="1:11" ht="22.95" customHeight="1">
      <c r="A370" s="28"/>
      <c r="B370" s="29"/>
      <c r="C370" s="29"/>
      <c r="D370" s="29"/>
      <c r="E370" s="30"/>
      <c r="F370" s="22" t="str">
        <f>IF(OR($A370="",B370="",B370&lt;=0,Séries!Q369=""),"",B370/Séries!Q369-1)</f>
        <v/>
      </c>
      <c r="G370" s="22" t="str">
        <f>IF(OR($A370="",C370="",C370&lt;=0,Séries!R369=""),"",C370/Séries!R369-1)</f>
        <v/>
      </c>
      <c r="H370" s="22" t="str">
        <f>IF(OR($A370="",D370="",D370&lt;=0,Séries!S369=""),"",D370/Séries!S369-1)</f>
        <v/>
      </c>
      <c r="I370" s="22" t="str">
        <f>IF(OR($A370="",E370="",E370&lt;=0,Séries!T369=""),"",E370/Séries!T369-1)</f>
        <v/>
      </c>
      <c r="J370" s="27"/>
      <c r="K370" s="1" t="str">
        <f>IF(COUNTA(A370:E370)=0,"",IF(A370="","Preencha a data",IF(NOT(ISNUMBER(A370)),"Data inválida",IF(OR(A370&lt;36526,A370&gt;73050,A370&lt;&gt;INT(A370)),"Data inválida",IF(A370&lt;=Séries!U369,"Data repetida / fora de ordem",IF(COUNTA(B370:E370)&lt;&gt;COUNT(B370:E370),"Use preços numéricos",IF(OR(AND(ISNUMBER(B370),B370&lt;=0),AND(ISNUMBER(C370),C370&lt;=0),AND(ISNUMBER(D370),D370&lt;=0),AND(ISNUMBER(E370),E370&lt;=0)),"Use preços positivos","")))))))</f>
        <v/>
      </c>
    </row>
    <row r="371" spans="1:11" ht="22.95" customHeight="1">
      <c r="A371" s="28"/>
      <c r="B371" s="29"/>
      <c r="C371" s="29"/>
      <c r="D371" s="29"/>
      <c r="E371" s="30"/>
      <c r="F371" s="22" t="str">
        <f>IF(OR($A371="",B371="",B371&lt;=0,Séries!Q370=""),"",B371/Séries!Q370-1)</f>
        <v/>
      </c>
      <c r="G371" s="22" t="str">
        <f>IF(OR($A371="",C371="",C371&lt;=0,Séries!R370=""),"",C371/Séries!R370-1)</f>
        <v/>
      </c>
      <c r="H371" s="22" t="str">
        <f>IF(OR($A371="",D371="",D371&lt;=0,Séries!S370=""),"",D371/Séries!S370-1)</f>
        <v/>
      </c>
      <c r="I371" s="22" t="str">
        <f>IF(OR($A371="",E371="",E371&lt;=0,Séries!T370=""),"",E371/Séries!T370-1)</f>
        <v/>
      </c>
      <c r="J371" s="27"/>
      <c r="K371" s="1" t="str">
        <f>IF(COUNTA(A371:E371)=0,"",IF(A371="","Preencha a data",IF(NOT(ISNUMBER(A371)),"Data inválida",IF(OR(A371&lt;36526,A371&gt;73050,A371&lt;&gt;INT(A371)),"Data inválida",IF(A371&lt;=Séries!U370,"Data repetida / fora de ordem",IF(COUNTA(B371:E371)&lt;&gt;COUNT(B371:E371),"Use preços numéricos",IF(OR(AND(ISNUMBER(B371),B371&lt;=0),AND(ISNUMBER(C371),C371&lt;=0),AND(ISNUMBER(D371),D371&lt;=0),AND(ISNUMBER(E371),E371&lt;=0)),"Use preços positivos","")))))))</f>
        <v/>
      </c>
    </row>
    <row r="372" spans="1:11" ht="22.95" customHeight="1">
      <c r="A372" s="28"/>
      <c r="B372" s="29"/>
      <c r="C372" s="29"/>
      <c r="D372" s="29"/>
      <c r="E372" s="30"/>
      <c r="F372" s="22" t="str">
        <f>IF(OR($A372="",B372="",B372&lt;=0,Séries!Q371=""),"",B372/Séries!Q371-1)</f>
        <v/>
      </c>
      <c r="G372" s="22" t="str">
        <f>IF(OR($A372="",C372="",C372&lt;=0,Séries!R371=""),"",C372/Séries!R371-1)</f>
        <v/>
      </c>
      <c r="H372" s="22" t="str">
        <f>IF(OR($A372="",D372="",D372&lt;=0,Séries!S371=""),"",D372/Séries!S371-1)</f>
        <v/>
      </c>
      <c r="I372" s="22" t="str">
        <f>IF(OR($A372="",E372="",E372&lt;=0,Séries!T371=""),"",E372/Séries!T371-1)</f>
        <v/>
      </c>
      <c r="J372" s="27"/>
      <c r="K372" s="1" t="str">
        <f>IF(COUNTA(A372:E372)=0,"",IF(A372="","Preencha a data",IF(NOT(ISNUMBER(A372)),"Data inválida",IF(OR(A372&lt;36526,A372&gt;73050,A372&lt;&gt;INT(A372)),"Data inválida",IF(A372&lt;=Séries!U371,"Data repetida / fora de ordem",IF(COUNTA(B372:E372)&lt;&gt;COUNT(B372:E372),"Use preços numéricos",IF(OR(AND(ISNUMBER(B372),B372&lt;=0),AND(ISNUMBER(C372),C372&lt;=0),AND(ISNUMBER(D372),D372&lt;=0),AND(ISNUMBER(E372),E372&lt;=0)),"Use preços positivos","")))))))</f>
        <v/>
      </c>
    </row>
    <row r="373" spans="1:11" ht="22.95" customHeight="1">
      <c r="A373" s="28"/>
      <c r="B373" s="29"/>
      <c r="C373" s="29"/>
      <c r="D373" s="29"/>
      <c r="E373" s="30"/>
      <c r="F373" s="22" t="str">
        <f>IF(OR($A373="",B373="",B373&lt;=0,Séries!Q372=""),"",B373/Séries!Q372-1)</f>
        <v/>
      </c>
      <c r="G373" s="22" t="str">
        <f>IF(OR($A373="",C373="",C373&lt;=0,Séries!R372=""),"",C373/Séries!R372-1)</f>
        <v/>
      </c>
      <c r="H373" s="22" t="str">
        <f>IF(OR($A373="",D373="",D373&lt;=0,Séries!S372=""),"",D373/Séries!S372-1)</f>
        <v/>
      </c>
      <c r="I373" s="22" t="str">
        <f>IF(OR($A373="",E373="",E373&lt;=0,Séries!T372=""),"",E373/Séries!T372-1)</f>
        <v/>
      </c>
      <c r="J373" s="27"/>
      <c r="K373" s="1" t="str">
        <f>IF(COUNTA(A373:E373)=0,"",IF(A373="","Preencha a data",IF(NOT(ISNUMBER(A373)),"Data inválida",IF(OR(A373&lt;36526,A373&gt;73050,A373&lt;&gt;INT(A373)),"Data inválida",IF(A373&lt;=Séries!U372,"Data repetida / fora de ordem",IF(COUNTA(B373:E373)&lt;&gt;COUNT(B373:E373),"Use preços numéricos",IF(OR(AND(ISNUMBER(B373),B373&lt;=0),AND(ISNUMBER(C373),C373&lt;=0),AND(ISNUMBER(D373),D373&lt;=0),AND(ISNUMBER(E373),E373&lt;=0)),"Use preços positivos","")))))))</f>
        <v/>
      </c>
    </row>
    <row r="374" spans="1:11" ht="22.95" customHeight="1">
      <c r="A374" s="28"/>
      <c r="B374" s="29"/>
      <c r="C374" s="29"/>
      <c r="D374" s="29"/>
      <c r="E374" s="30"/>
      <c r="F374" s="22" t="str">
        <f>IF(OR($A374="",B374="",B374&lt;=0,Séries!Q373=""),"",B374/Séries!Q373-1)</f>
        <v/>
      </c>
      <c r="G374" s="22" t="str">
        <f>IF(OR($A374="",C374="",C374&lt;=0,Séries!R373=""),"",C374/Séries!R373-1)</f>
        <v/>
      </c>
      <c r="H374" s="22" t="str">
        <f>IF(OR($A374="",D374="",D374&lt;=0,Séries!S373=""),"",D374/Séries!S373-1)</f>
        <v/>
      </c>
      <c r="I374" s="22" t="str">
        <f>IF(OR($A374="",E374="",E374&lt;=0,Séries!T373=""),"",E374/Séries!T373-1)</f>
        <v/>
      </c>
      <c r="J374" s="27"/>
      <c r="K374" s="1" t="str">
        <f>IF(COUNTA(A374:E374)=0,"",IF(A374="","Preencha a data",IF(NOT(ISNUMBER(A374)),"Data inválida",IF(OR(A374&lt;36526,A374&gt;73050,A374&lt;&gt;INT(A374)),"Data inválida",IF(A374&lt;=Séries!U373,"Data repetida / fora de ordem",IF(COUNTA(B374:E374)&lt;&gt;COUNT(B374:E374),"Use preços numéricos",IF(OR(AND(ISNUMBER(B374),B374&lt;=0),AND(ISNUMBER(C374),C374&lt;=0),AND(ISNUMBER(D374),D374&lt;=0),AND(ISNUMBER(E374),E374&lt;=0)),"Use preços positivos","")))))))</f>
        <v/>
      </c>
    </row>
    <row r="375" spans="1:11" ht="22.95" customHeight="1">
      <c r="A375" s="28"/>
      <c r="B375" s="29"/>
      <c r="C375" s="29"/>
      <c r="D375" s="29"/>
      <c r="E375" s="30"/>
      <c r="F375" s="22" t="str">
        <f>IF(OR($A375="",B375="",B375&lt;=0,Séries!Q374=""),"",B375/Séries!Q374-1)</f>
        <v/>
      </c>
      <c r="G375" s="22" t="str">
        <f>IF(OR($A375="",C375="",C375&lt;=0,Séries!R374=""),"",C375/Séries!R374-1)</f>
        <v/>
      </c>
      <c r="H375" s="22" t="str">
        <f>IF(OR($A375="",D375="",D375&lt;=0,Séries!S374=""),"",D375/Séries!S374-1)</f>
        <v/>
      </c>
      <c r="I375" s="22" t="str">
        <f>IF(OR($A375="",E375="",E375&lt;=0,Séries!T374=""),"",E375/Séries!T374-1)</f>
        <v/>
      </c>
      <c r="J375" s="27"/>
      <c r="K375" s="1" t="str">
        <f>IF(COUNTA(A375:E375)=0,"",IF(A375="","Preencha a data",IF(NOT(ISNUMBER(A375)),"Data inválida",IF(OR(A375&lt;36526,A375&gt;73050,A375&lt;&gt;INT(A375)),"Data inválida",IF(A375&lt;=Séries!U374,"Data repetida / fora de ordem",IF(COUNTA(B375:E375)&lt;&gt;COUNT(B375:E375),"Use preços numéricos",IF(OR(AND(ISNUMBER(B375),B375&lt;=0),AND(ISNUMBER(C375),C375&lt;=0),AND(ISNUMBER(D375),D375&lt;=0),AND(ISNUMBER(E375),E375&lt;=0)),"Use preços positivos","")))))))</f>
        <v/>
      </c>
    </row>
    <row r="376" spans="1:11" ht="22.95" customHeight="1">
      <c r="A376" s="28"/>
      <c r="B376" s="29"/>
      <c r="C376" s="29"/>
      <c r="D376" s="29"/>
      <c r="E376" s="30"/>
      <c r="F376" s="22" t="str">
        <f>IF(OR($A376="",B376="",B376&lt;=0,Séries!Q375=""),"",B376/Séries!Q375-1)</f>
        <v/>
      </c>
      <c r="G376" s="22" t="str">
        <f>IF(OR($A376="",C376="",C376&lt;=0,Séries!R375=""),"",C376/Séries!R375-1)</f>
        <v/>
      </c>
      <c r="H376" s="22" t="str">
        <f>IF(OR($A376="",D376="",D376&lt;=0,Séries!S375=""),"",D376/Séries!S375-1)</f>
        <v/>
      </c>
      <c r="I376" s="22" t="str">
        <f>IF(OR($A376="",E376="",E376&lt;=0,Séries!T375=""),"",E376/Séries!T375-1)</f>
        <v/>
      </c>
      <c r="J376" s="27"/>
      <c r="K376" s="1" t="str">
        <f>IF(COUNTA(A376:E376)=0,"",IF(A376="","Preencha a data",IF(NOT(ISNUMBER(A376)),"Data inválida",IF(OR(A376&lt;36526,A376&gt;73050,A376&lt;&gt;INT(A376)),"Data inválida",IF(A376&lt;=Séries!U375,"Data repetida / fora de ordem",IF(COUNTA(B376:E376)&lt;&gt;COUNT(B376:E376),"Use preços numéricos",IF(OR(AND(ISNUMBER(B376),B376&lt;=0),AND(ISNUMBER(C376),C376&lt;=0),AND(ISNUMBER(D376),D376&lt;=0),AND(ISNUMBER(E376),E376&lt;=0)),"Use preços positivos","")))))))</f>
        <v/>
      </c>
    </row>
    <row r="377" spans="1:11" ht="22.95" customHeight="1">
      <c r="A377" s="28"/>
      <c r="B377" s="29"/>
      <c r="C377" s="29"/>
      <c r="D377" s="29"/>
      <c r="E377" s="30"/>
      <c r="F377" s="22" t="str">
        <f>IF(OR($A377="",B377="",B377&lt;=0,Séries!Q376=""),"",B377/Séries!Q376-1)</f>
        <v/>
      </c>
      <c r="G377" s="22" t="str">
        <f>IF(OR($A377="",C377="",C377&lt;=0,Séries!R376=""),"",C377/Séries!R376-1)</f>
        <v/>
      </c>
      <c r="H377" s="22" t="str">
        <f>IF(OR($A377="",D377="",D377&lt;=0,Séries!S376=""),"",D377/Séries!S376-1)</f>
        <v/>
      </c>
      <c r="I377" s="22" t="str">
        <f>IF(OR($A377="",E377="",E377&lt;=0,Séries!T376=""),"",E377/Séries!T376-1)</f>
        <v/>
      </c>
      <c r="J377" s="27"/>
      <c r="K377" s="1" t="str">
        <f>IF(COUNTA(A377:E377)=0,"",IF(A377="","Preencha a data",IF(NOT(ISNUMBER(A377)),"Data inválida",IF(OR(A377&lt;36526,A377&gt;73050,A377&lt;&gt;INT(A377)),"Data inválida",IF(A377&lt;=Séries!U376,"Data repetida / fora de ordem",IF(COUNTA(B377:E377)&lt;&gt;COUNT(B377:E377),"Use preços numéricos",IF(OR(AND(ISNUMBER(B377),B377&lt;=0),AND(ISNUMBER(C377),C377&lt;=0),AND(ISNUMBER(D377),D377&lt;=0),AND(ISNUMBER(E377),E377&lt;=0)),"Use preços positivos","")))))))</f>
        <v/>
      </c>
    </row>
    <row r="378" spans="1:11" ht="22.95" customHeight="1">
      <c r="A378" s="28"/>
      <c r="B378" s="29"/>
      <c r="C378" s="29"/>
      <c r="D378" s="29"/>
      <c r="E378" s="30"/>
      <c r="F378" s="22" t="str">
        <f>IF(OR($A378="",B378="",B378&lt;=0,Séries!Q377=""),"",B378/Séries!Q377-1)</f>
        <v/>
      </c>
      <c r="G378" s="22" t="str">
        <f>IF(OR($A378="",C378="",C378&lt;=0,Séries!R377=""),"",C378/Séries!R377-1)</f>
        <v/>
      </c>
      <c r="H378" s="22" t="str">
        <f>IF(OR($A378="",D378="",D378&lt;=0,Séries!S377=""),"",D378/Séries!S377-1)</f>
        <v/>
      </c>
      <c r="I378" s="22" t="str">
        <f>IF(OR($A378="",E378="",E378&lt;=0,Séries!T377=""),"",E378/Séries!T377-1)</f>
        <v/>
      </c>
      <c r="J378" s="27"/>
      <c r="K378" s="1" t="str">
        <f>IF(COUNTA(A378:E378)=0,"",IF(A378="","Preencha a data",IF(NOT(ISNUMBER(A378)),"Data inválida",IF(OR(A378&lt;36526,A378&gt;73050,A378&lt;&gt;INT(A378)),"Data inválida",IF(A378&lt;=Séries!U377,"Data repetida / fora de ordem",IF(COUNTA(B378:E378)&lt;&gt;COUNT(B378:E378),"Use preços numéricos",IF(OR(AND(ISNUMBER(B378),B378&lt;=0),AND(ISNUMBER(C378),C378&lt;=0),AND(ISNUMBER(D378),D378&lt;=0),AND(ISNUMBER(E378),E378&lt;=0)),"Use preços positivos","")))))))</f>
        <v/>
      </c>
    </row>
    <row r="379" spans="1:11" ht="22.95" customHeight="1">
      <c r="A379" s="28"/>
      <c r="B379" s="29"/>
      <c r="C379" s="29"/>
      <c r="D379" s="29"/>
      <c r="E379" s="30"/>
      <c r="F379" s="22" t="str">
        <f>IF(OR($A379="",B379="",B379&lt;=0,Séries!Q378=""),"",B379/Séries!Q378-1)</f>
        <v/>
      </c>
      <c r="G379" s="22" t="str">
        <f>IF(OR($A379="",C379="",C379&lt;=0,Séries!R378=""),"",C379/Séries!R378-1)</f>
        <v/>
      </c>
      <c r="H379" s="22" t="str">
        <f>IF(OR($A379="",D379="",D379&lt;=0,Séries!S378=""),"",D379/Séries!S378-1)</f>
        <v/>
      </c>
      <c r="I379" s="22" t="str">
        <f>IF(OR($A379="",E379="",E379&lt;=0,Séries!T378=""),"",E379/Séries!T378-1)</f>
        <v/>
      </c>
      <c r="J379" s="27"/>
      <c r="K379" s="1" t="str">
        <f>IF(COUNTA(A379:E379)=0,"",IF(A379="","Preencha a data",IF(NOT(ISNUMBER(A379)),"Data inválida",IF(OR(A379&lt;36526,A379&gt;73050,A379&lt;&gt;INT(A379)),"Data inválida",IF(A379&lt;=Séries!U378,"Data repetida / fora de ordem",IF(COUNTA(B379:E379)&lt;&gt;COUNT(B379:E379),"Use preços numéricos",IF(OR(AND(ISNUMBER(B379),B379&lt;=0),AND(ISNUMBER(C379),C379&lt;=0),AND(ISNUMBER(D379),D379&lt;=0),AND(ISNUMBER(E379),E379&lt;=0)),"Use preços positivos","")))))))</f>
        <v/>
      </c>
    </row>
    <row r="380" spans="1:11" ht="22.95" customHeight="1">
      <c r="A380" s="28"/>
      <c r="B380" s="29"/>
      <c r="C380" s="29"/>
      <c r="D380" s="29"/>
      <c r="E380" s="30"/>
      <c r="F380" s="22" t="str">
        <f>IF(OR($A380="",B380="",B380&lt;=0,Séries!Q379=""),"",B380/Séries!Q379-1)</f>
        <v/>
      </c>
      <c r="G380" s="22" t="str">
        <f>IF(OR($A380="",C380="",C380&lt;=0,Séries!R379=""),"",C380/Séries!R379-1)</f>
        <v/>
      </c>
      <c r="H380" s="22" t="str">
        <f>IF(OR($A380="",D380="",D380&lt;=0,Séries!S379=""),"",D380/Séries!S379-1)</f>
        <v/>
      </c>
      <c r="I380" s="22" t="str">
        <f>IF(OR($A380="",E380="",E380&lt;=0,Séries!T379=""),"",E380/Séries!T379-1)</f>
        <v/>
      </c>
      <c r="J380" s="27"/>
      <c r="K380" s="1" t="str">
        <f>IF(COUNTA(A380:E380)=0,"",IF(A380="","Preencha a data",IF(NOT(ISNUMBER(A380)),"Data inválida",IF(OR(A380&lt;36526,A380&gt;73050,A380&lt;&gt;INT(A380)),"Data inválida",IF(A380&lt;=Séries!U379,"Data repetida / fora de ordem",IF(COUNTA(B380:E380)&lt;&gt;COUNT(B380:E380),"Use preços numéricos",IF(OR(AND(ISNUMBER(B380),B380&lt;=0),AND(ISNUMBER(C380),C380&lt;=0),AND(ISNUMBER(D380),D380&lt;=0),AND(ISNUMBER(E380),E380&lt;=0)),"Use preços positivos","")))))))</f>
        <v/>
      </c>
    </row>
    <row r="381" spans="1:11" ht="22.95" customHeight="1">
      <c r="A381" s="28"/>
      <c r="B381" s="29"/>
      <c r="C381" s="29"/>
      <c r="D381" s="29"/>
      <c r="E381" s="30"/>
      <c r="F381" s="22" t="str">
        <f>IF(OR($A381="",B381="",B381&lt;=0,Séries!Q380=""),"",B381/Séries!Q380-1)</f>
        <v/>
      </c>
      <c r="G381" s="22" t="str">
        <f>IF(OR($A381="",C381="",C381&lt;=0,Séries!R380=""),"",C381/Séries!R380-1)</f>
        <v/>
      </c>
      <c r="H381" s="22" t="str">
        <f>IF(OR($A381="",D381="",D381&lt;=0,Séries!S380=""),"",D381/Séries!S380-1)</f>
        <v/>
      </c>
      <c r="I381" s="22" t="str">
        <f>IF(OR($A381="",E381="",E381&lt;=0,Séries!T380=""),"",E381/Séries!T380-1)</f>
        <v/>
      </c>
      <c r="J381" s="27"/>
      <c r="K381" s="1" t="str">
        <f>IF(COUNTA(A381:E381)=0,"",IF(A381="","Preencha a data",IF(NOT(ISNUMBER(A381)),"Data inválida",IF(OR(A381&lt;36526,A381&gt;73050,A381&lt;&gt;INT(A381)),"Data inválida",IF(A381&lt;=Séries!U380,"Data repetida / fora de ordem",IF(COUNTA(B381:E381)&lt;&gt;COUNT(B381:E381),"Use preços numéricos",IF(OR(AND(ISNUMBER(B381),B381&lt;=0),AND(ISNUMBER(C381),C381&lt;=0),AND(ISNUMBER(D381),D381&lt;=0),AND(ISNUMBER(E381),E381&lt;=0)),"Use preços positivos","")))))))</f>
        <v/>
      </c>
    </row>
    <row r="382" spans="1:11" ht="22.95" customHeight="1">
      <c r="A382" s="28"/>
      <c r="B382" s="29"/>
      <c r="C382" s="29"/>
      <c r="D382" s="29"/>
      <c r="E382" s="30"/>
      <c r="F382" s="22" t="str">
        <f>IF(OR($A382="",B382="",B382&lt;=0,Séries!Q381=""),"",B382/Séries!Q381-1)</f>
        <v/>
      </c>
      <c r="G382" s="22" t="str">
        <f>IF(OR($A382="",C382="",C382&lt;=0,Séries!R381=""),"",C382/Séries!R381-1)</f>
        <v/>
      </c>
      <c r="H382" s="22" t="str">
        <f>IF(OR($A382="",D382="",D382&lt;=0,Séries!S381=""),"",D382/Séries!S381-1)</f>
        <v/>
      </c>
      <c r="I382" s="22" t="str">
        <f>IF(OR($A382="",E382="",E382&lt;=0,Séries!T381=""),"",E382/Séries!T381-1)</f>
        <v/>
      </c>
      <c r="J382" s="27"/>
      <c r="K382" s="1" t="str">
        <f>IF(COUNTA(A382:E382)=0,"",IF(A382="","Preencha a data",IF(NOT(ISNUMBER(A382)),"Data inválida",IF(OR(A382&lt;36526,A382&gt;73050,A382&lt;&gt;INT(A382)),"Data inválida",IF(A382&lt;=Séries!U381,"Data repetida / fora de ordem",IF(COUNTA(B382:E382)&lt;&gt;COUNT(B382:E382),"Use preços numéricos",IF(OR(AND(ISNUMBER(B382),B382&lt;=0),AND(ISNUMBER(C382),C382&lt;=0),AND(ISNUMBER(D382),D382&lt;=0),AND(ISNUMBER(E382),E382&lt;=0)),"Use preços positivos","")))))))</f>
        <v/>
      </c>
    </row>
    <row r="383" spans="1:11" ht="22.95" customHeight="1">
      <c r="A383" s="28"/>
      <c r="B383" s="29"/>
      <c r="C383" s="29"/>
      <c r="D383" s="29"/>
      <c r="E383" s="30"/>
      <c r="F383" s="22" t="str">
        <f>IF(OR($A383="",B383="",B383&lt;=0,Séries!Q382=""),"",B383/Séries!Q382-1)</f>
        <v/>
      </c>
      <c r="G383" s="22" t="str">
        <f>IF(OR($A383="",C383="",C383&lt;=0,Séries!R382=""),"",C383/Séries!R382-1)</f>
        <v/>
      </c>
      <c r="H383" s="22" t="str">
        <f>IF(OR($A383="",D383="",D383&lt;=0,Séries!S382=""),"",D383/Séries!S382-1)</f>
        <v/>
      </c>
      <c r="I383" s="22" t="str">
        <f>IF(OR($A383="",E383="",E383&lt;=0,Séries!T382=""),"",E383/Séries!T382-1)</f>
        <v/>
      </c>
      <c r="J383" s="27"/>
      <c r="K383" s="1" t="str">
        <f>IF(COUNTA(A383:E383)=0,"",IF(A383="","Preencha a data",IF(NOT(ISNUMBER(A383)),"Data inválida",IF(OR(A383&lt;36526,A383&gt;73050,A383&lt;&gt;INT(A383)),"Data inválida",IF(A383&lt;=Séries!U382,"Data repetida / fora de ordem",IF(COUNTA(B383:E383)&lt;&gt;COUNT(B383:E383),"Use preços numéricos",IF(OR(AND(ISNUMBER(B383),B383&lt;=0),AND(ISNUMBER(C383),C383&lt;=0),AND(ISNUMBER(D383),D383&lt;=0),AND(ISNUMBER(E383),E383&lt;=0)),"Use preços positivos","")))))))</f>
        <v/>
      </c>
    </row>
    <row r="384" spans="1:11" ht="22.95" customHeight="1">
      <c r="A384" s="28"/>
      <c r="B384" s="29"/>
      <c r="C384" s="29"/>
      <c r="D384" s="29"/>
      <c r="E384" s="30"/>
      <c r="F384" s="22" t="str">
        <f>IF(OR($A384="",B384="",B384&lt;=0,Séries!Q383=""),"",B384/Séries!Q383-1)</f>
        <v/>
      </c>
      <c r="G384" s="22" t="str">
        <f>IF(OR($A384="",C384="",C384&lt;=0,Séries!R383=""),"",C384/Séries!R383-1)</f>
        <v/>
      </c>
      <c r="H384" s="22" t="str">
        <f>IF(OR($A384="",D384="",D384&lt;=0,Séries!S383=""),"",D384/Séries!S383-1)</f>
        <v/>
      </c>
      <c r="I384" s="22" t="str">
        <f>IF(OR($A384="",E384="",E384&lt;=0,Séries!T383=""),"",E384/Séries!T383-1)</f>
        <v/>
      </c>
      <c r="J384" s="27"/>
      <c r="K384" s="1" t="str">
        <f>IF(COUNTA(A384:E384)=0,"",IF(A384="","Preencha a data",IF(NOT(ISNUMBER(A384)),"Data inválida",IF(OR(A384&lt;36526,A384&gt;73050,A384&lt;&gt;INT(A384)),"Data inválida",IF(A384&lt;=Séries!U383,"Data repetida / fora de ordem",IF(COUNTA(B384:E384)&lt;&gt;COUNT(B384:E384),"Use preços numéricos",IF(OR(AND(ISNUMBER(B384),B384&lt;=0),AND(ISNUMBER(C384),C384&lt;=0),AND(ISNUMBER(D384),D384&lt;=0),AND(ISNUMBER(E384),E384&lt;=0)),"Use preços positivos","")))))))</f>
        <v/>
      </c>
    </row>
    <row r="385" spans="1:11" ht="22.95" customHeight="1">
      <c r="A385" s="28"/>
      <c r="B385" s="29"/>
      <c r="C385" s="29"/>
      <c r="D385" s="29"/>
      <c r="E385" s="30"/>
      <c r="F385" s="22" t="str">
        <f>IF(OR($A385="",B385="",B385&lt;=0,Séries!Q384=""),"",B385/Séries!Q384-1)</f>
        <v/>
      </c>
      <c r="G385" s="22" t="str">
        <f>IF(OR($A385="",C385="",C385&lt;=0,Séries!R384=""),"",C385/Séries!R384-1)</f>
        <v/>
      </c>
      <c r="H385" s="22" t="str">
        <f>IF(OR($A385="",D385="",D385&lt;=0,Séries!S384=""),"",D385/Séries!S384-1)</f>
        <v/>
      </c>
      <c r="I385" s="22" t="str">
        <f>IF(OR($A385="",E385="",E385&lt;=0,Séries!T384=""),"",E385/Séries!T384-1)</f>
        <v/>
      </c>
      <c r="J385" s="27"/>
      <c r="K385" s="1" t="str">
        <f>IF(COUNTA(A385:E385)=0,"",IF(A385="","Preencha a data",IF(NOT(ISNUMBER(A385)),"Data inválida",IF(OR(A385&lt;36526,A385&gt;73050,A385&lt;&gt;INT(A385)),"Data inválida",IF(A385&lt;=Séries!U384,"Data repetida / fora de ordem",IF(COUNTA(B385:E385)&lt;&gt;COUNT(B385:E385),"Use preços numéricos",IF(OR(AND(ISNUMBER(B385),B385&lt;=0),AND(ISNUMBER(C385),C385&lt;=0),AND(ISNUMBER(D385),D385&lt;=0),AND(ISNUMBER(E385),E385&lt;=0)),"Use preços positivos","")))))))</f>
        <v/>
      </c>
    </row>
    <row r="386" spans="1:11" ht="22.95" customHeight="1">
      <c r="A386" s="28"/>
      <c r="B386" s="29"/>
      <c r="C386" s="29"/>
      <c r="D386" s="29"/>
      <c r="E386" s="30"/>
      <c r="F386" s="22" t="str">
        <f>IF(OR($A386="",B386="",B386&lt;=0,Séries!Q385=""),"",B386/Séries!Q385-1)</f>
        <v/>
      </c>
      <c r="G386" s="22" t="str">
        <f>IF(OR($A386="",C386="",C386&lt;=0,Séries!R385=""),"",C386/Séries!R385-1)</f>
        <v/>
      </c>
      <c r="H386" s="22" t="str">
        <f>IF(OR($A386="",D386="",D386&lt;=0,Séries!S385=""),"",D386/Séries!S385-1)</f>
        <v/>
      </c>
      <c r="I386" s="22" t="str">
        <f>IF(OR($A386="",E386="",E386&lt;=0,Séries!T385=""),"",E386/Séries!T385-1)</f>
        <v/>
      </c>
      <c r="J386" s="27"/>
      <c r="K386" s="1" t="str">
        <f>IF(COUNTA(A386:E386)=0,"",IF(A386="","Preencha a data",IF(NOT(ISNUMBER(A386)),"Data inválida",IF(OR(A386&lt;36526,A386&gt;73050,A386&lt;&gt;INT(A386)),"Data inválida",IF(A386&lt;=Séries!U385,"Data repetida / fora de ordem",IF(COUNTA(B386:E386)&lt;&gt;COUNT(B386:E386),"Use preços numéricos",IF(OR(AND(ISNUMBER(B386),B386&lt;=0),AND(ISNUMBER(C386),C386&lt;=0),AND(ISNUMBER(D386),D386&lt;=0),AND(ISNUMBER(E386),E386&lt;=0)),"Use preços positivos","")))))))</f>
        <v/>
      </c>
    </row>
    <row r="387" spans="1:11" ht="22.95" customHeight="1">
      <c r="A387" s="28"/>
      <c r="B387" s="29"/>
      <c r="C387" s="29"/>
      <c r="D387" s="29"/>
      <c r="E387" s="30"/>
      <c r="F387" s="22" t="str">
        <f>IF(OR($A387="",B387="",B387&lt;=0,Séries!Q386=""),"",B387/Séries!Q386-1)</f>
        <v/>
      </c>
      <c r="G387" s="22" t="str">
        <f>IF(OR($A387="",C387="",C387&lt;=0,Séries!R386=""),"",C387/Séries!R386-1)</f>
        <v/>
      </c>
      <c r="H387" s="22" t="str">
        <f>IF(OR($A387="",D387="",D387&lt;=0,Séries!S386=""),"",D387/Séries!S386-1)</f>
        <v/>
      </c>
      <c r="I387" s="22" t="str">
        <f>IF(OR($A387="",E387="",E387&lt;=0,Séries!T386=""),"",E387/Séries!T386-1)</f>
        <v/>
      </c>
      <c r="J387" s="27"/>
      <c r="K387" s="1" t="str">
        <f>IF(COUNTA(A387:E387)=0,"",IF(A387="","Preencha a data",IF(NOT(ISNUMBER(A387)),"Data inválida",IF(OR(A387&lt;36526,A387&gt;73050,A387&lt;&gt;INT(A387)),"Data inválida",IF(A387&lt;=Séries!U386,"Data repetida / fora de ordem",IF(COUNTA(B387:E387)&lt;&gt;COUNT(B387:E387),"Use preços numéricos",IF(OR(AND(ISNUMBER(B387),B387&lt;=0),AND(ISNUMBER(C387),C387&lt;=0),AND(ISNUMBER(D387),D387&lt;=0),AND(ISNUMBER(E387),E387&lt;=0)),"Use preços positivos","")))))))</f>
        <v/>
      </c>
    </row>
    <row r="388" spans="1:11" ht="22.95" customHeight="1">
      <c r="A388" s="28"/>
      <c r="B388" s="29"/>
      <c r="C388" s="29"/>
      <c r="D388" s="29"/>
      <c r="E388" s="30"/>
      <c r="F388" s="22" t="str">
        <f>IF(OR($A388="",B388="",B388&lt;=0,Séries!Q387=""),"",B388/Séries!Q387-1)</f>
        <v/>
      </c>
      <c r="G388" s="22" t="str">
        <f>IF(OR($A388="",C388="",C388&lt;=0,Séries!R387=""),"",C388/Séries!R387-1)</f>
        <v/>
      </c>
      <c r="H388" s="22" t="str">
        <f>IF(OR($A388="",D388="",D388&lt;=0,Séries!S387=""),"",D388/Séries!S387-1)</f>
        <v/>
      </c>
      <c r="I388" s="22" t="str">
        <f>IF(OR($A388="",E388="",E388&lt;=0,Séries!T387=""),"",E388/Séries!T387-1)</f>
        <v/>
      </c>
      <c r="J388" s="27"/>
      <c r="K388" s="1" t="str">
        <f>IF(COUNTA(A388:E388)=0,"",IF(A388="","Preencha a data",IF(NOT(ISNUMBER(A388)),"Data inválida",IF(OR(A388&lt;36526,A388&gt;73050,A388&lt;&gt;INT(A388)),"Data inválida",IF(A388&lt;=Séries!U387,"Data repetida / fora de ordem",IF(COUNTA(B388:E388)&lt;&gt;COUNT(B388:E388),"Use preços numéricos",IF(OR(AND(ISNUMBER(B388),B388&lt;=0),AND(ISNUMBER(C388),C388&lt;=0),AND(ISNUMBER(D388),D388&lt;=0),AND(ISNUMBER(E388),E388&lt;=0)),"Use preços positivos","")))))))</f>
        <v/>
      </c>
    </row>
    <row r="389" spans="1:11" ht="22.95" customHeight="1">
      <c r="A389" s="28"/>
      <c r="B389" s="29"/>
      <c r="C389" s="29"/>
      <c r="D389" s="29"/>
      <c r="E389" s="30"/>
      <c r="F389" s="22" t="str">
        <f>IF(OR($A389="",B389="",B389&lt;=0,Séries!Q388=""),"",B389/Séries!Q388-1)</f>
        <v/>
      </c>
      <c r="G389" s="22" t="str">
        <f>IF(OR($A389="",C389="",C389&lt;=0,Séries!R388=""),"",C389/Séries!R388-1)</f>
        <v/>
      </c>
      <c r="H389" s="22" t="str">
        <f>IF(OR($A389="",D389="",D389&lt;=0,Séries!S388=""),"",D389/Séries!S388-1)</f>
        <v/>
      </c>
      <c r="I389" s="22" t="str">
        <f>IF(OR($A389="",E389="",E389&lt;=0,Séries!T388=""),"",E389/Séries!T388-1)</f>
        <v/>
      </c>
      <c r="J389" s="27"/>
      <c r="K389" s="1" t="str">
        <f>IF(COUNTA(A389:E389)=0,"",IF(A389="","Preencha a data",IF(NOT(ISNUMBER(A389)),"Data inválida",IF(OR(A389&lt;36526,A389&gt;73050,A389&lt;&gt;INT(A389)),"Data inválida",IF(A389&lt;=Séries!U388,"Data repetida / fora de ordem",IF(COUNTA(B389:E389)&lt;&gt;COUNT(B389:E389),"Use preços numéricos",IF(OR(AND(ISNUMBER(B389),B389&lt;=0),AND(ISNUMBER(C389),C389&lt;=0),AND(ISNUMBER(D389),D389&lt;=0),AND(ISNUMBER(E389),E389&lt;=0)),"Use preços positivos","")))))))</f>
        <v/>
      </c>
    </row>
    <row r="390" spans="1:11" ht="22.95" customHeight="1">
      <c r="A390" s="28"/>
      <c r="B390" s="29"/>
      <c r="C390" s="29"/>
      <c r="D390" s="29"/>
      <c r="E390" s="30"/>
      <c r="F390" s="22" t="str">
        <f>IF(OR($A390="",B390="",B390&lt;=0,Séries!Q389=""),"",B390/Séries!Q389-1)</f>
        <v/>
      </c>
      <c r="G390" s="22" t="str">
        <f>IF(OR($A390="",C390="",C390&lt;=0,Séries!R389=""),"",C390/Séries!R389-1)</f>
        <v/>
      </c>
      <c r="H390" s="22" t="str">
        <f>IF(OR($A390="",D390="",D390&lt;=0,Séries!S389=""),"",D390/Séries!S389-1)</f>
        <v/>
      </c>
      <c r="I390" s="22" t="str">
        <f>IF(OR($A390="",E390="",E390&lt;=0,Séries!T389=""),"",E390/Séries!T389-1)</f>
        <v/>
      </c>
      <c r="J390" s="27"/>
      <c r="K390" s="1" t="str">
        <f>IF(COUNTA(A390:E390)=0,"",IF(A390="","Preencha a data",IF(NOT(ISNUMBER(A390)),"Data inválida",IF(OR(A390&lt;36526,A390&gt;73050,A390&lt;&gt;INT(A390)),"Data inválida",IF(A390&lt;=Séries!U389,"Data repetida / fora de ordem",IF(COUNTA(B390:E390)&lt;&gt;COUNT(B390:E390),"Use preços numéricos",IF(OR(AND(ISNUMBER(B390),B390&lt;=0),AND(ISNUMBER(C390),C390&lt;=0),AND(ISNUMBER(D390),D390&lt;=0),AND(ISNUMBER(E390),E390&lt;=0)),"Use preços positivos","")))))))</f>
        <v/>
      </c>
    </row>
    <row r="391" spans="1:11" ht="22.95" customHeight="1">
      <c r="A391" s="28"/>
      <c r="B391" s="29"/>
      <c r="C391" s="29"/>
      <c r="D391" s="29"/>
      <c r="E391" s="30"/>
      <c r="F391" s="22" t="str">
        <f>IF(OR($A391="",B391="",B391&lt;=0,Séries!Q390=""),"",B391/Séries!Q390-1)</f>
        <v/>
      </c>
      <c r="G391" s="22" t="str">
        <f>IF(OR($A391="",C391="",C391&lt;=0,Séries!R390=""),"",C391/Séries!R390-1)</f>
        <v/>
      </c>
      <c r="H391" s="22" t="str">
        <f>IF(OR($A391="",D391="",D391&lt;=0,Séries!S390=""),"",D391/Séries!S390-1)</f>
        <v/>
      </c>
      <c r="I391" s="22" t="str">
        <f>IF(OR($A391="",E391="",E391&lt;=0,Séries!T390=""),"",E391/Séries!T390-1)</f>
        <v/>
      </c>
      <c r="J391" s="27"/>
      <c r="K391" s="1" t="str">
        <f>IF(COUNTA(A391:E391)=0,"",IF(A391="","Preencha a data",IF(NOT(ISNUMBER(A391)),"Data inválida",IF(OR(A391&lt;36526,A391&gt;73050,A391&lt;&gt;INT(A391)),"Data inválida",IF(A391&lt;=Séries!U390,"Data repetida / fora de ordem",IF(COUNTA(B391:E391)&lt;&gt;COUNT(B391:E391),"Use preços numéricos",IF(OR(AND(ISNUMBER(B391),B391&lt;=0),AND(ISNUMBER(C391),C391&lt;=0),AND(ISNUMBER(D391),D391&lt;=0),AND(ISNUMBER(E391),E391&lt;=0)),"Use preços positivos","")))))))</f>
        <v/>
      </c>
    </row>
    <row r="392" spans="1:11" ht="22.95" customHeight="1">
      <c r="A392" s="28"/>
      <c r="B392" s="29"/>
      <c r="C392" s="29"/>
      <c r="D392" s="29"/>
      <c r="E392" s="30"/>
      <c r="F392" s="22" t="str">
        <f>IF(OR($A392="",B392="",B392&lt;=0,Séries!Q391=""),"",B392/Séries!Q391-1)</f>
        <v/>
      </c>
      <c r="G392" s="22" t="str">
        <f>IF(OR($A392="",C392="",C392&lt;=0,Séries!R391=""),"",C392/Séries!R391-1)</f>
        <v/>
      </c>
      <c r="H392" s="22" t="str">
        <f>IF(OR($A392="",D392="",D392&lt;=0,Séries!S391=""),"",D392/Séries!S391-1)</f>
        <v/>
      </c>
      <c r="I392" s="22" t="str">
        <f>IF(OR($A392="",E392="",E392&lt;=0,Séries!T391=""),"",E392/Séries!T391-1)</f>
        <v/>
      </c>
      <c r="J392" s="27"/>
      <c r="K392" s="1" t="str">
        <f>IF(COUNTA(A392:E392)=0,"",IF(A392="","Preencha a data",IF(NOT(ISNUMBER(A392)),"Data inválida",IF(OR(A392&lt;36526,A392&gt;73050,A392&lt;&gt;INT(A392)),"Data inválida",IF(A392&lt;=Séries!U391,"Data repetida / fora de ordem",IF(COUNTA(B392:E392)&lt;&gt;COUNT(B392:E392),"Use preços numéricos",IF(OR(AND(ISNUMBER(B392),B392&lt;=0),AND(ISNUMBER(C392),C392&lt;=0),AND(ISNUMBER(D392),D392&lt;=0),AND(ISNUMBER(E392),E392&lt;=0)),"Use preços positivos","")))))))</f>
        <v/>
      </c>
    </row>
    <row r="393" spans="1:11" ht="22.95" customHeight="1">
      <c r="A393" s="28"/>
      <c r="B393" s="29"/>
      <c r="C393" s="29"/>
      <c r="D393" s="29"/>
      <c r="E393" s="30"/>
      <c r="F393" s="22" t="str">
        <f>IF(OR($A393="",B393="",B393&lt;=0,Séries!Q392=""),"",B393/Séries!Q392-1)</f>
        <v/>
      </c>
      <c r="G393" s="22" t="str">
        <f>IF(OR($A393="",C393="",C393&lt;=0,Séries!R392=""),"",C393/Séries!R392-1)</f>
        <v/>
      </c>
      <c r="H393" s="22" t="str">
        <f>IF(OR($A393="",D393="",D393&lt;=0,Séries!S392=""),"",D393/Séries!S392-1)</f>
        <v/>
      </c>
      <c r="I393" s="22" t="str">
        <f>IF(OR($A393="",E393="",E393&lt;=0,Séries!T392=""),"",E393/Séries!T392-1)</f>
        <v/>
      </c>
      <c r="J393" s="27"/>
      <c r="K393" s="1" t="str">
        <f>IF(COUNTA(A393:E393)=0,"",IF(A393="","Preencha a data",IF(NOT(ISNUMBER(A393)),"Data inválida",IF(OR(A393&lt;36526,A393&gt;73050,A393&lt;&gt;INT(A393)),"Data inválida",IF(A393&lt;=Séries!U392,"Data repetida / fora de ordem",IF(COUNTA(B393:E393)&lt;&gt;COUNT(B393:E393),"Use preços numéricos",IF(OR(AND(ISNUMBER(B393),B393&lt;=0),AND(ISNUMBER(C393),C393&lt;=0),AND(ISNUMBER(D393),D393&lt;=0),AND(ISNUMBER(E393),E393&lt;=0)),"Use preços positivos","")))))))</f>
        <v/>
      </c>
    </row>
    <row r="394" spans="1:11" ht="22.95" customHeight="1">
      <c r="A394" s="28"/>
      <c r="B394" s="29"/>
      <c r="C394" s="29"/>
      <c r="D394" s="29"/>
      <c r="E394" s="30"/>
      <c r="F394" s="22" t="str">
        <f>IF(OR($A394="",B394="",B394&lt;=0,Séries!Q393=""),"",B394/Séries!Q393-1)</f>
        <v/>
      </c>
      <c r="G394" s="22" t="str">
        <f>IF(OR($A394="",C394="",C394&lt;=0,Séries!R393=""),"",C394/Séries!R393-1)</f>
        <v/>
      </c>
      <c r="H394" s="22" t="str">
        <f>IF(OR($A394="",D394="",D394&lt;=0,Séries!S393=""),"",D394/Séries!S393-1)</f>
        <v/>
      </c>
      <c r="I394" s="22" t="str">
        <f>IF(OR($A394="",E394="",E394&lt;=0,Séries!T393=""),"",E394/Séries!T393-1)</f>
        <v/>
      </c>
      <c r="J394" s="27"/>
      <c r="K394" s="1" t="str">
        <f>IF(COUNTA(A394:E394)=0,"",IF(A394="","Preencha a data",IF(NOT(ISNUMBER(A394)),"Data inválida",IF(OR(A394&lt;36526,A394&gt;73050,A394&lt;&gt;INT(A394)),"Data inválida",IF(A394&lt;=Séries!U393,"Data repetida / fora de ordem",IF(COUNTA(B394:E394)&lt;&gt;COUNT(B394:E394),"Use preços numéricos",IF(OR(AND(ISNUMBER(B394),B394&lt;=0),AND(ISNUMBER(C394),C394&lt;=0),AND(ISNUMBER(D394),D394&lt;=0),AND(ISNUMBER(E394),E394&lt;=0)),"Use preços positivos","")))))))</f>
        <v/>
      </c>
    </row>
    <row r="395" spans="1:11" ht="22.95" customHeight="1">
      <c r="A395" s="28"/>
      <c r="B395" s="29"/>
      <c r="C395" s="29"/>
      <c r="D395" s="29"/>
      <c r="E395" s="30"/>
      <c r="F395" s="22" t="str">
        <f>IF(OR($A395="",B395="",B395&lt;=0,Séries!Q394=""),"",B395/Séries!Q394-1)</f>
        <v/>
      </c>
      <c r="G395" s="22" t="str">
        <f>IF(OR($A395="",C395="",C395&lt;=0,Séries!R394=""),"",C395/Séries!R394-1)</f>
        <v/>
      </c>
      <c r="H395" s="22" t="str">
        <f>IF(OR($A395="",D395="",D395&lt;=0,Séries!S394=""),"",D395/Séries!S394-1)</f>
        <v/>
      </c>
      <c r="I395" s="22" t="str">
        <f>IF(OR($A395="",E395="",E395&lt;=0,Séries!T394=""),"",E395/Séries!T394-1)</f>
        <v/>
      </c>
      <c r="J395" s="27"/>
      <c r="K395" s="1" t="str">
        <f>IF(COUNTA(A395:E395)=0,"",IF(A395="","Preencha a data",IF(NOT(ISNUMBER(A395)),"Data inválida",IF(OR(A395&lt;36526,A395&gt;73050,A395&lt;&gt;INT(A395)),"Data inválida",IF(A395&lt;=Séries!U394,"Data repetida / fora de ordem",IF(COUNTA(B395:E395)&lt;&gt;COUNT(B395:E395),"Use preços numéricos",IF(OR(AND(ISNUMBER(B395),B395&lt;=0),AND(ISNUMBER(C395),C395&lt;=0),AND(ISNUMBER(D395),D395&lt;=0),AND(ISNUMBER(E395),E395&lt;=0)),"Use preços positivos","")))))))</f>
        <v/>
      </c>
    </row>
    <row r="396" spans="1:11" ht="22.95" customHeight="1">
      <c r="A396" s="28"/>
      <c r="B396" s="29"/>
      <c r="C396" s="29"/>
      <c r="D396" s="29"/>
      <c r="E396" s="30"/>
      <c r="F396" s="22" t="str">
        <f>IF(OR($A396="",B396="",B396&lt;=0,Séries!Q395=""),"",B396/Séries!Q395-1)</f>
        <v/>
      </c>
      <c r="G396" s="22" t="str">
        <f>IF(OR($A396="",C396="",C396&lt;=0,Séries!R395=""),"",C396/Séries!R395-1)</f>
        <v/>
      </c>
      <c r="H396" s="22" t="str">
        <f>IF(OR($A396="",D396="",D396&lt;=0,Séries!S395=""),"",D396/Séries!S395-1)</f>
        <v/>
      </c>
      <c r="I396" s="22" t="str">
        <f>IF(OR($A396="",E396="",E396&lt;=0,Séries!T395=""),"",E396/Séries!T395-1)</f>
        <v/>
      </c>
      <c r="J396" s="27"/>
      <c r="K396" s="1" t="str">
        <f>IF(COUNTA(A396:E396)=0,"",IF(A396="","Preencha a data",IF(NOT(ISNUMBER(A396)),"Data inválida",IF(OR(A396&lt;36526,A396&gt;73050,A396&lt;&gt;INT(A396)),"Data inválida",IF(A396&lt;=Séries!U395,"Data repetida / fora de ordem",IF(COUNTA(B396:E396)&lt;&gt;COUNT(B396:E396),"Use preços numéricos",IF(OR(AND(ISNUMBER(B396),B396&lt;=0),AND(ISNUMBER(C396),C396&lt;=0),AND(ISNUMBER(D396),D396&lt;=0),AND(ISNUMBER(E396),E396&lt;=0)),"Use preços positivos","")))))))</f>
        <v/>
      </c>
    </row>
    <row r="397" spans="1:11" ht="22.95" customHeight="1">
      <c r="A397" s="28"/>
      <c r="B397" s="29"/>
      <c r="C397" s="29"/>
      <c r="D397" s="29"/>
      <c r="E397" s="30"/>
      <c r="F397" s="22" t="str">
        <f>IF(OR($A397="",B397="",B397&lt;=0,Séries!Q396=""),"",B397/Séries!Q396-1)</f>
        <v/>
      </c>
      <c r="G397" s="22" t="str">
        <f>IF(OR($A397="",C397="",C397&lt;=0,Séries!R396=""),"",C397/Séries!R396-1)</f>
        <v/>
      </c>
      <c r="H397" s="22" t="str">
        <f>IF(OR($A397="",D397="",D397&lt;=0,Séries!S396=""),"",D397/Séries!S396-1)</f>
        <v/>
      </c>
      <c r="I397" s="22" t="str">
        <f>IF(OR($A397="",E397="",E397&lt;=0,Séries!T396=""),"",E397/Séries!T396-1)</f>
        <v/>
      </c>
      <c r="J397" s="27"/>
      <c r="K397" s="1" t="str">
        <f>IF(COUNTA(A397:E397)=0,"",IF(A397="","Preencha a data",IF(NOT(ISNUMBER(A397)),"Data inválida",IF(OR(A397&lt;36526,A397&gt;73050,A397&lt;&gt;INT(A397)),"Data inválida",IF(A397&lt;=Séries!U396,"Data repetida / fora de ordem",IF(COUNTA(B397:E397)&lt;&gt;COUNT(B397:E397),"Use preços numéricos",IF(OR(AND(ISNUMBER(B397),B397&lt;=0),AND(ISNUMBER(C397),C397&lt;=0),AND(ISNUMBER(D397),D397&lt;=0),AND(ISNUMBER(E397),E397&lt;=0)),"Use preços positivos","")))))))</f>
        <v/>
      </c>
    </row>
    <row r="398" spans="1:11" ht="22.95" customHeight="1">
      <c r="A398" s="28"/>
      <c r="B398" s="29"/>
      <c r="C398" s="29"/>
      <c r="D398" s="29"/>
      <c r="E398" s="30"/>
      <c r="F398" s="22" t="str">
        <f>IF(OR($A398="",B398="",B398&lt;=0,Séries!Q397=""),"",B398/Séries!Q397-1)</f>
        <v/>
      </c>
      <c r="G398" s="22" t="str">
        <f>IF(OR($A398="",C398="",C398&lt;=0,Séries!R397=""),"",C398/Séries!R397-1)</f>
        <v/>
      </c>
      <c r="H398" s="22" t="str">
        <f>IF(OR($A398="",D398="",D398&lt;=0,Séries!S397=""),"",D398/Séries!S397-1)</f>
        <v/>
      </c>
      <c r="I398" s="22" t="str">
        <f>IF(OR($A398="",E398="",E398&lt;=0,Séries!T397=""),"",E398/Séries!T397-1)</f>
        <v/>
      </c>
      <c r="J398" s="27"/>
      <c r="K398" s="1" t="str">
        <f>IF(COUNTA(A398:E398)=0,"",IF(A398="","Preencha a data",IF(NOT(ISNUMBER(A398)),"Data inválida",IF(OR(A398&lt;36526,A398&gt;73050,A398&lt;&gt;INT(A398)),"Data inválida",IF(A398&lt;=Séries!U397,"Data repetida / fora de ordem",IF(COUNTA(B398:E398)&lt;&gt;COUNT(B398:E398),"Use preços numéricos",IF(OR(AND(ISNUMBER(B398),B398&lt;=0),AND(ISNUMBER(C398),C398&lt;=0),AND(ISNUMBER(D398),D398&lt;=0),AND(ISNUMBER(E398),E398&lt;=0)),"Use preços positivos","")))))))</f>
        <v/>
      </c>
    </row>
    <row r="399" spans="1:11" ht="22.95" customHeight="1">
      <c r="A399" s="28"/>
      <c r="B399" s="29"/>
      <c r="C399" s="29"/>
      <c r="D399" s="29"/>
      <c r="E399" s="30"/>
      <c r="F399" s="22" t="str">
        <f>IF(OR($A399="",B399="",B399&lt;=0,Séries!Q398=""),"",B399/Séries!Q398-1)</f>
        <v/>
      </c>
      <c r="G399" s="22" t="str">
        <f>IF(OR($A399="",C399="",C399&lt;=0,Séries!R398=""),"",C399/Séries!R398-1)</f>
        <v/>
      </c>
      <c r="H399" s="22" t="str">
        <f>IF(OR($A399="",D399="",D399&lt;=0,Séries!S398=""),"",D399/Séries!S398-1)</f>
        <v/>
      </c>
      <c r="I399" s="22" t="str">
        <f>IF(OR($A399="",E399="",E399&lt;=0,Séries!T398=""),"",E399/Séries!T398-1)</f>
        <v/>
      </c>
      <c r="J399" s="27"/>
      <c r="K399" s="1" t="str">
        <f>IF(COUNTA(A399:E399)=0,"",IF(A399="","Preencha a data",IF(NOT(ISNUMBER(A399)),"Data inválida",IF(OR(A399&lt;36526,A399&gt;73050,A399&lt;&gt;INT(A399)),"Data inválida",IF(A399&lt;=Séries!U398,"Data repetida / fora de ordem",IF(COUNTA(B399:E399)&lt;&gt;COUNT(B399:E399),"Use preços numéricos",IF(OR(AND(ISNUMBER(B399),B399&lt;=0),AND(ISNUMBER(C399),C399&lt;=0),AND(ISNUMBER(D399),D399&lt;=0),AND(ISNUMBER(E399),E399&lt;=0)),"Use preços positivos","")))))))</f>
        <v/>
      </c>
    </row>
    <row r="400" spans="1:11" ht="22.95" customHeight="1">
      <c r="A400" s="28"/>
      <c r="B400" s="29"/>
      <c r="C400" s="29"/>
      <c r="D400" s="29"/>
      <c r="E400" s="30"/>
      <c r="F400" s="22" t="str">
        <f>IF(OR($A400="",B400="",B400&lt;=0,Séries!Q399=""),"",B400/Séries!Q399-1)</f>
        <v/>
      </c>
      <c r="G400" s="22" t="str">
        <f>IF(OR($A400="",C400="",C400&lt;=0,Séries!R399=""),"",C400/Séries!R399-1)</f>
        <v/>
      </c>
      <c r="H400" s="22" t="str">
        <f>IF(OR($A400="",D400="",D400&lt;=0,Séries!S399=""),"",D400/Séries!S399-1)</f>
        <v/>
      </c>
      <c r="I400" s="22" t="str">
        <f>IF(OR($A400="",E400="",E400&lt;=0,Séries!T399=""),"",E400/Séries!T399-1)</f>
        <v/>
      </c>
      <c r="J400" s="27"/>
      <c r="K400" s="1" t="str">
        <f>IF(COUNTA(A400:E400)=0,"",IF(A400="","Preencha a data",IF(NOT(ISNUMBER(A400)),"Data inválida",IF(OR(A400&lt;36526,A400&gt;73050,A400&lt;&gt;INT(A400)),"Data inválida",IF(A400&lt;=Séries!U399,"Data repetida / fora de ordem",IF(COUNTA(B400:E400)&lt;&gt;COUNT(B400:E400),"Use preços numéricos",IF(OR(AND(ISNUMBER(B400),B400&lt;=0),AND(ISNUMBER(C400),C400&lt;=0),AND(ISNUMBER(D400),D400&lt;=0),AND(ISNUMBER(E400),E400&lt;=0)),"Use preços positivos","")))))))</f>
        <v/>
      </c>
    </row>
    <row r="401" spans="1:11" ht="22.95" customHeight="1">
      <c r="A401" s="28"/>
      <c r="B401" s="29"/>
      <c r="C401" s="29"/>
      <c r="D401" s="29"/>
      <c r="E401" s="30"/>
      <c r="F401" s="22" t="str">
        <f>IF(OR($A401="",B401="",B401&lt;=0,Séries!Q400=""),"",B401/Séries!Q400-1)</f>
        <v/>
      </c>
      <c r="G401" s="22" t="str">
        <f>IF(OR($A401="",C401="",C401&lt;=0,Séries!R400=""),"",C401/Séries!R400-1)</f>
        <v/>
      </c>
      <c r="H401" s="22" t="str">
        <f>IF(OR($A401="",D401="",D401&lt;=0,Séries!S400=""),"",D401/Séries!S400-1)</f>
        <v/>
      </c>
      <c r="I401" s="22" t="str">
        <f>IF(OR($A401="",E401="",E401&lt;=0,Séries!T400=""),"",E401/Séries!T400-1)</f>
        <v/>
      </c>
      <c r="J401" s="27"/>
      <c r="K401" s="1" t="str">
        <f>IF(COUNTA(A401:E401)=0,"",IF(A401="","Preencha a data",IF(NOT(ISNUMBER(A401)),"Data inválida",IF(OR(A401&lt;36526,A401&gt;73050,A401&lt;&gt;INT(A401)),"Data inválida",IF(A401&lt;=Séries!U400,"Data repetida / fora de ordem",IF(COUNTA(B401:E401)&lt;&gt;COUNT(B401:E401),"Use preços numéricos",IF(OR(AND(ISNUMBER(B401),B401&lt;=0),AND(ISNUMBER(C401),C401&lt;=0),AND(ISNUMBER(D401),D401&lt;=0),AND(ISNUMBER(E401),E401&lt;=0)),"Use preços positivos","")))))))</f>
        <v/>
      </c>
    </row>
    <row r="402" spans="1:11" ht="22.95" customHeight="1">
      <c r="A402" s="28"/>
      <c r="B402" s="29"/>
      <c r="C402" s="29"/>
      <c r="D402" s="29"/>
      <c r="E402" s="30"/>
      <c r="F402" s="22" t="str">
        <f>IF(OR($A402="",B402="",B402&lt;=0,Séries!Q401=""),"",B402/Séries!Q401-1)</f>
        <v/>
      </c>
      <c r="G402" s="22" t="str">
        <f>IF(OR($A402="",C402="",C402&lt;=0,Séries!R401=""),"",C402/Séries!R401-1)</f>
        <v/>
      </c>
      <c r="H402" s="22" t="str">
        <f>IF(OR($A402="",D402="",D402&lt;=0,Séries!S401=""),"",D402/Séries!S401-1)</f>
        <v/>
      </c>
      <c r="I402" s="22" t="str">
        <f>IF(OR($A402="",E402="",E402&lt;=0,Séries!T401=""),"",E402/Séries!T401-1)</f>
        <v/>
      </c>
      <c r="J402" s="27"/>
      <c r="K402" s="1" t="str">
        <f>IF(COUNTA(A402:E402)=0,"",IF(A402="","Preencha a data",IF(NOT(ISNUMBER(A402)),"Data inválida",IF(OR(A402&lt;36526,A402&gt;73050,A402&lt;&gt;INT(A402)),"Data inválida",IF(A402&lt;=Séries!U401,"Data repetida / fora de ordem",IF(COUNTA(B402:E402)&lt;&gt;COUNT(B402:E402),"Use preços numéricos",IF(OR(AND(ISNUMBER(B402),B402&lt;=0),AND(ISNUMBER(C402),C402&lt;=0),AND(ISNUMBER(D402),D402&lt;=0),AND(ISNUMBER(E402),E402&lt;=0)),"Use preços positivos","")))))))</f>
        <v/>
      </c>
    </row>
    <row r="403" spans="1:11" ht="22.95" customHeight="1">
      <c r="A403" s="28"/>
      <c r="B403" s="29"/>
      <c r="C403" s="29"/>
      <c r="D403" s="29"/>
      <c r="E403" s="30"/>
      <c r="F403" s="22" t="str">
        <f>IF(OR($A403="",B403="",B403&lt;=0,Séries!Q402=""),"",B403/Séries!Q402-1)</f>
        <v/>
      </c>
      <c r="G403" s="22" t="str">
        <f>IF(OR($A403="",C403="",C403&lt;=0,Séries!R402=""),"",C403/Séries!R402-1)</f>
        <v/>
      </c>
      <c r="H403" s="22" t="str">
        <f>IF(OR($A403="",D403="",D403&lt;=0,Séries!S402=""),"",D403/Séries!S402-1)</f>
        <v/>
      </c>
      <c r="I403" s="22" t="str">
        <f>IF(OR($A403="",E403="",E403&lt;=0,Séries!T402=""),"",E403/Séries!T402-1)</f>
        <v/>
      </c>
      <c r="J403" s="27"/>
      <c r="K403" s="1" t="str">
        <f>IF(COUNTA(A403:E403)=0,"",IF(A403="","Preencha a data",IF(NOT(ISNUMBER(A403)),"Data inválida",IF(OR(A403&lt;36526,A403&gt;73050,A403&lt;&gt;INT(A403)),"Data inválida",IF(A403&lt;=Séries!U402,"Data repetida / fora de ordem",IF(COUNTA(B403:E403)&lt;&gt;COUNT(B403:E403),"Use preços numéricos",IF(OR(AND(ISNUMBER(B403),B403&lt;=0),AND(ISNUMBER(C403),C403&lt;=0),AND(ISNUMBER(D403),D403&lt;=0),AND(ISNUMBER(E403),E403&lt;=0)),"Use preços positivos","")))))))</f>
        <v/>
      </c>
    </row>
    <row r="404" spans="1:11" ht="22.95" customHeight="1">
      <c r="A404" s="28"/>
      <c r="B404" s="29"/>
      <c r="C404" s="29"/>
      <c r="D404" s="29"/>
      <c r="E404" s="30"/>
      <c r="F404" s="22" t="str">
        <f>IF(OR($A404="",B404="",B404&lt;=0,Séries!Q403=""),"",B404/Séries!Q403-1)</f>
        <v/>
      </c>
      <c r="G404" s="22" t="str">
        <f>IF(OR($A404="",C404="",C404&lt;=0,Séries!R403=""),"",C404/Séries!R403-1)</f>
        <v/>
      </c>
      <c r="H404" s="22" t="str">
        <f>IF(OR($A404="",D404="",D404&lt;=0,Séries!S403=""),"",D404/Séries!S403-1)</f>
        <v/>
      </c>
      <c r="I404" s="22" t="str">
        <f>IF(OR($A404="",E404="",E404&lt;=0,Séries!T403=""),"",E404/Séries!T403-1)</f>
        <v/>
      </c>
      <c r="J404" s="27"/>
      <c r="K404" s="1" t="str">
        <f>IF(COUNTA(A404:E404)=0,"",IF(A404="","Preencha a data",IF(NOT(ISNUMBER(A404)),"Data inválida",IF(OR(A404&lt;36526,A404&gt;73050,A404&lt;&gt;INT(A404)),"Data inválida",IF(A404&lt;=Séries!U403,"Data repetida / fora de ordem",IF(COUNTA(B404:E404)&lt;&gt;COUNT(B404:E404),"Use preços numéricos",IF(OR(AND(ISNUMBER(B404),B404&lt;=0),AND(ISNUMBER(C404),C404&lt;=0),AND(ISNUMBER(D404),D404&lt;=0),AND(ISNUMBER(E404),E404&lt;=0)),"Use preços positivos","")))))))</f>
        <v/>
      </c>
    </row>
    <row r="405" spans="1:11" ht="22.95" customHeight="1">
      <c r="A405" s="28"/>
      <c r="B405" s="29"/>
      <c r="C405" s="29"/>
      <c r="D405" s="29"/>
      <c r="E405" s="30"/>
      <c r="F405" s="22" t="str">
        <f>IF(OR($A405="",B405="",B405&lt;=0,Séries!Q404=""),"",B405/Séries!Q404-1)</f>
        <v/>
      </c>
      <c r="G405" s="22" t="str">
        <f>IF(OR($A405="",C405="",C405&lt;=0,Séries!R404=""),"",C405/Séries!R404-1)</f>
        <v/>
      </c>
      <c r="H405" s="22" t="str">
        <f>IF(OR($A405="",D405="",D405&lt;=0,Séries!S404=""),"",D405/Séries!S404-1)</f>
        <v/>
      </c>
      <c r="I405" s="22" t="str">
        <f>IF(OR($A405="",E405="",E405&lt;=0,Séries!T404=""),"",E405/Séries!T404-1)</f>
        <v/>
      </c>
      <c r="J405" s="27"/>
      <c r="K405" s="1" t="str">
        <f>IF(COUNTA(A405:E405)=0,"",IF(A405="","Preencha a data",IF(NOT(ISNUMBER(A405)),"Data inválida",IF(OR(A405&lt;36526,A405&gt;73050,A405&lt;&gt;INT(A405)),"Data inválida",IF(A405&lt;=Séries!U404,"Data repetida / fora de ordem",IF(COUNTA(B405:E405)&lt;&gt;COUNT(B405:E405),"Use preços numéricos",IF(OR(AND(ISNUMBER(B405),B405&lt;=0),AND(ISNUMBER(C405),C405&lt;=0),AND(ISNUMBER(D405),D405&lt;=0),AND(ISNUMBER(E405),E405&lt;=0)),"Use preços positivos","")))))))</f>
        <v/>
      </c>
    </row>
    <row r="406" spans="1:11" ht="22.95" customHeight="1">
      <c r="A406" s="28"/>
      <c r="B406" s="29"/>
      <c r="C406" s="29"/>
      <c r="D406" s="29"/>
      <c r="E406" s="30"/>
      <c r="F406" s="22" t="str">
        <f>IF(OR($A406="",B406="",B406&lt;=0,Séries!Q405=""),"",B406/Séries!Q405-1)</f>
        <v/>
      </c>
      <c r="G406" s="22" t="str">
        <f>IF(OR($A406="",C406="",C406&lt;=0,Séries!R405=""),"",C406/Séries!R405-1)</f>
        <v/>
      </c>
      <c r="H406" s="22" t="str">
        <f>IF(OR($A406="",D406="",D406&lt;=0,Séries!S405=""),"",D406/Séries!S405-1)</f>
        <v/>
      </c>
      <c r="I406" s="22" t="str">
        <f>IF(OR($A406="",E406="",E406&lt;=0,Séries!T405=""),"",E406/Séries!T405-1)</f>
        <v/>
      </c>
      <c r="J406" s="27"/>
      <c r="K406" s="1" t="str">
        <f>IF(COUNTA(A406:E406)=0,"",IF(A406="","Preencha a data",IF(NOT(ISNUMBER(A406)),"Data inválida",IF(OR(A406&lt;36526,A406&gt;73050,A406&lt;&gt;INT(A406)),"Data inválida",IF(A406&lt;=Séries!U405,"Data repetida / fora de ordem",IF(COUNTA(B406:E406)&lt;&gt;COUNT(B406:E406),"Use preços numéricos",IF(OR(AND(ISNUMBER(B406),B406&lt;=0),AND(ISNUMBER(C406),C406&lt;=0),AND(ISNUMBER(D406),D406&lt;=0),AND(ISNUMBER(E406),E406&lt;=0)),"Use preços positivos","")))))))</f>
        <v/>
      </c>
    </row>
    <row r="407" spans="1:11" ht="22.95" customHeight="1">
      <c r="A407" s="28"/>
      <c r="B407" s="29"/>
      <c r="C407" s="29"/>
      <c r="D407" s="29"/>
      <c r="E407" s="30"/>
      <c r="F407" s="22" t="str">
        <f>IF(OR($A407="",B407="",B407&lt;=0,Séries!Q406=""),"",B407/Séries!Q406-1)</f>
        <v/>
      </c>
      <c r="G407" s="22" t="str">
        <f>IF(OR($A407="",C407="",C407&lt;=0,Séries!R406=""),"",C407/Séries!R406-1)</f>
        <v/>
      </c>
      <c r="H407" s="22" t="str">
        <f>IF(OR($A407="",D407="",D407&lt;=0,Séries!S406=""),"",D407/Séries!S406-1)</f>
        <v/>
      </c>
      <c r="I407" s="22" t="str">
        <f>IF(OR($A407="",E407="",E407&lt;=0,Séries!T406=""),"",E407/Séries!T406-1)</f>
        <v/>
      </c>
      <c r="J407" s="27"/>
      <c r="K407" s="1" t="str">
        <f>IF(COUNTA(A407:E407)=0,"",IF(A407="","Preencha a data",IF(NOT(ISNUMBER(A407)),"Data inválida",IF(OR(A407&lt;36526,A407&gt;73050,A407&lt;&gt;INT(A407)),"Data inválida",IF(A407&lt;=Séries!U406,"Data repetida / fora de ordem",IF(COUNTA(B407:E407)&lt;&gt;COUNT(B407:E407),"Use preços numéricos",IF(OR(AND(ISNUMBER(B407),B407&lt;=0),AND(ISNUMBER(C407),C407&lt;=0),AND(ISNUMBER(D407),D407&lt;=0),AND(ISNUMBER(E407),E407&lt;=0)),"Use preços positivos","")))))))</f>
        <v/>
      </c>
    </row>
    <row r="408" spans="1:11" ht="22.95" customHeight="1">
      <c r="A408" s="28"/>
      <c r="B408" s="29"/>
      <c r="C408" s="29"/>
      <c r="D408" s="29"/>
      <c r="E408" s="30"/>
      <c r="F408" s="22" t="str">
        <f>IF(OR($A408="",B408="",B408&lt;=0,Séries!Q407=""),"",B408/Séries!Q407-1)</f>
        <v/>
      </c>
      <c r="G408" s="22" t="str">
        <f>IF(OR($A408="",C408="",C408&lt;=0,Séries!R407=""),"",C408/Séries!R407-1)</f>
        <v/>
      </c>
      <c r="H408" s="22" t="str">
        <f>IF(OR($A408="",D408="",D408&lt;=0,Séries!S407=""),"",D408/Séries!S407-1)</f>
        <v/>
      </c>
      <c r="I408" s="22" t="str">
        <f>IF(OR($A408="",E408="",E408&lt;=0,Séries!T407=""),"",E408/Séries!T407-1)</f>
        <v/>
      </c>
      <c r="J408" s="27"/>
      <c r="K408" s="1" t="str">
        <f>IF(COUNTA(A408:E408)=0,"",IF(A408="","Preencha a data",IF(NOT(ISNUMBER(A408)),"Data inválida",IF(OR(A408&lt;36526,A408&gt;73050,A408&lt;&gt;INT(A408)),"Data inválida",IF(A408&lt;=Séries!U407,"Data repetida / fora de ordem",IF(COUNTA(B408:E408)&lt;&gt;COUNT(B408:E408),"Use preços numéricos",IF(OR(AND(ISNUMBER(B408),B408&lt;=0),AND(ISNUMBER(C408),C408&lt;=0),AND(ISNUMBER(D408),D408&lt;=0),AND(ISNUMBER(E408),E408&lt;=0)),"Use preços positivos","")))))))</f>
        <v/>
      </c>
    </row>
    <row r="409" spans="1:11" ht="22.95" customHeight="1">
      <c r="A409" s="28"/>
      <c r="B409" s="29"/>
      <c r="C409" s="29"/>
      <c r="D409" s="29"/>
      <c r="E409" s="30"/>
      <c r="F409" s="22" t="str">
        <f>IF(OR($A409="",B409="",B409&lt;=0,Séries!Q408=""),"",B409/Séries!Q408-1)</f>
        <v/>
      </c>
      <c r="G409" s="22" t="str">
        <f>IF(OR($A409="",C409="",C409&lt;=0,Séries!R408=""),"",C409/Séries!R408-1)</f>
        <v/>
      </c>
      <c r="H409" s="22" t="str">
        <f>IF(OR($A409="",D409="",D409&lt;=0,Séries!S408=""),"",D409/Séries!S408-1)</f>
        <v/>
      </c>
      <c r="I409" s="22" t="str">
        <f>IF(OR($A409="",E409="",E409&lt;=0,Séries!T408=""),"",E409/Séries!T408-1)</f>
        <v/>
      </c>
      <c r="J409" s="27"/>
      <c r="K409" s="1" t="str">
        <f>IF(COUNTA(A409:E409)=0,"",IF(A409="","Preencha a data",IF(NOT(ISNUMBER(A409)),"Data inválida",IF(OR(A409&lt;36526,A409&gt;73050,A409&lt;&gt;INT(A409)),"Data inválida",IF(A409&lt;=Séries!U408,"Data repetida / fora de ordem",IF(COUNTA(B409:E409)&lt;&gt;COUNT(B409:E409),"Use preços numéricos",IF(OR(AND(ISNUMBER(B409),B409&lt;=0),AND(ISNUMBER(C409),C409&lt;=0),AND(ISNUMBER(D409),D409&lt;=0),AND(ISNUMBER(E409),E409&lt;=0)),"Use preços positivos","")))))))</f>
        <v/>
      </c>
    </row>
    <row r="410" spans="1:11" ht="22.95" customHeight="1">
      <c r="A410" s="28"/>
      <c r="B410" s="29"/>
      <c r="C410" s="29"/>
      <c r="D410" s="29"/>
      <c r="E410" s="30"/>
      <c r="F410" s="22" t="str">
        <f>IF(OR($A410="",B410="",B410&lt;=0,Séries!Q409=""),"",B410/Séries!Q409-1)</f>
        <v/>
      </c>
      <c r="G410" s="22" t="str">
        <f>IF(OR($A410="",C410="",C410&lt;=0,Séries!R409=""),"",C410/Séries!R409-1)</f>
        <v/>
      </c>
      <c r="H410" s="22" t="str">
        <f>IF(OR($A410="",D410="",D410&lt;=0,Séries!S409=""),"",D410/Séries!S409-1)</f>
        <v/>
      </c>
      <c r="I410" s="22" t="str">
        <f>IF(OR($A410="",E410="",E410&lt;=0,Séries!T409=""),"",E410/Séries!T409-1)</f>
        <v/>
      </c>
      <c r="J410" s="27"/>
      <c r="K410" s="1" t="str">
        <f>IF(COUNTA(A410:E410)=0,"",IF(A410="","Preencha a data",IF(NOT(ISNUMBER(A410)),"Data inválida",IF(OR(A410&lt;36526,A410&gt;73050,A410&lt;&gt;INT(A410)),"Data inválida",IF(A410&lt;=Séries!U409,"Data repetida / fora de ordem",IF(COUNTA(B410:E410)&lt;&gt;COUNT(B410:E410),"Use preços numéricos",IF(OR(AND(ISNUMBER(B410),B410&lt;=0),AND(ISNUMBER(C410),C410&lt;=0),AND(ISNUMBER(D410),D410&lt;=0),AND(ISNUMBER(E410),E410&lt;=0)),"Use preços positivos","")))))))</f>
        <v/>
      </c>
    </row>
    <row r="411" spans="1:11" ht="22.95" customHeight="1">
      <c r="A411" s="28"/>
      <c r="B411" s="29"/>
      <c r="C411" s="29"/>
      <c r="D411" s="29"/>
      <c r="E411" s="30"/>
      <c r="F411" s="22" t="str">
        <f>IF(OR($A411="",B411="",B411&lt;=0,Séries!Q410=""),"",B411/Séries!Q410-1)</f>
        <v/>
      </c>
      <c r="G411" s="22" t="str">
        <f>IF(OR($A411="",C411="",C411&lt;=0,Séries!R410=""),"",C411/Séries!R410-1)</f>
        <v/>
      </c>
      <c r="H411" s="22" t="str">
        <f>IF(OR($A411="",D411="",D411&lt;=0,Séries!S410=""),"",D411/Séries!S410-1)</f>
        <v/>
      </c>
      <c r="I411" s="22" t="str">
        <f>IF(OR($A411="",E411="",E411&lt;=0,Séries!T410=""),"",E411/Séries!T410-1)</f>
        <v/>
      </c>
      <c r="J411" s="27"/>
      <c r="K411" s="1" t="str">
        <f>IF(COUNTA(A411:E411)=0,"",IF(A411="","Preencha a data",IF(NOT(ISNUMBER(A411)),"Data inválida",IF(OR(A411&lt;36526,A411&gt;73050,A411&lt;&gt;INT(A411)),"Data inválida",IF(A411&lt;=Séries!U410,"Data repetida / fora de ordem",IF(COUNTA(B411:E411)&lt;&gt;COUNT(B411:E411),"Use preços numéricos",IF(OR(AND(ISNUMBER(B411),B411&lt;=0),AND(ISNUMBER(C411),C411&lt;=0),AND(ISNUMBER(D411),D411&lt;=0),AND(ISNUMBER(E411),E411&lt;=0)),"Use preços positivos","")))))))</f>
        <v/>
      </c>
    </row>
    <row r="412" spans="1:11" ht="22.95" customHeight="1">
      <c r="A412" s="28"/>
      <c r="B412" s="29"/>
      <c r="C412" s="29"/>
      <c r="D412" s="29"/>
      <c r="E412" s="30"/>
      <c r="F412" s="22" t="str">
        <f>IF(OR($A412="",B412="",B412&lt;=0,Séries!Q411=""),"",B412/Séries!Q411-1)</f>
        <v/>
      </c>
      <c r="G412" s="22" t="str">
        <f>IF(OR($A412="",C412="",C412&lt;=0,Séries!R411=""),"",C412/Séries!R411-1)</f>
        <v/>
      </c>
      <c r="H412" s="22" t="str">
        <f>IF(OR($A412="",D412="",D412&lt;=0,Séries!S411=""),"",D412/Séries!S411-1)</f>
        <v/>
      </c>
      <c r="I412" s="22" t="str">
        <f>IF(OR($A412="",E412="",E412&lt;=0,Séries!T411=""),"",E412/Séries!T411-1)</f>
        <v/>
      </c>
      <c r="J412" s="27"/>
      <c r="K412" s="1" t="str">
        <f>IF(COUNTA(A412:E412)=0,"",IF(A412="","Preencha a data",IF(NOT(ISNUMBER(A412)),"Data inválida",IF(OR(A412&lt;36526,A412&gt;73050,A412&lt;&gt;INT(A412)),"Data inválida",IF(A412&lt;=Séries!U411,"Data repetida / fora de ordem",IF(COUNTA(B412:E412)&lt;&gt;COUNT(B412:E412),"Use preços numéricos",IF(OR(AND(ISNUMBER(B412),B412&lt;=0),AND(ISNUMBER(C412),C412&lt;=0),AND(ISNUMBER(D412),D412&lt;=0),AND(ISNUMBER(E412),E412&lt;=0)),"Use preços positivos","")))))))</f>
        <v/>
      </c>
    </row>
    <row r="413" spans="1:11" ht="22.95" customHeight="1">
      <c r="A413" s="28"/>
      <c r="B413" s="29"/>
      <c r="C413" s="29"/>
      <c r="D413" s="29"/>
      <c r="E413" s="30"/>
      <c r="F413" s="22" t="str">
        <f>IF(OR($A413="",B413="",B413&lt;=0,Séries!Q412=""),"",B413/Séries!Q412-1)</f>
        <v/>
      </c>
      <c r="G413" s="22" t="str">
        <f>IF(OR($A413="",C413="",C413&lt;=0,Séries!R412=""),"",C413/Séries!R412-1)</f>
        <v/>
      </c>
      <c r="H413" s="22" t="str">
        <f>IF(OR($A413="",D413="",D413&lt;=0,Séries!S412=""),"",D413/Séries!S412-1)</f>
        <v/>
      </c>
      <c r="I413" s="22" t="str">
        <f>IF(OR($A413="",E413="",E413&lt;=0,Séries!T412=""),"",E413/Séries!T412-1)</f>
        <v/>
      </c>
      <c r="J413" s="27"/>
      <c r="K413" s="1" t="str">
        <f>IF(COUNTA(A413:E413)=0,"",IF(A413="","Preencha a data",IF(NOT(ISNUMBER(A413)),"Data inválida",IF(OR(A413&lt;36526,A413&gt;73050,A413&lt;&gt;INT(A413)),"Data inválida",IF(A413&lt;=Séries!U412,"Data repetida / fora de ordem",IF(COUNTA(B413:E413)&lt;&gt;COUNT(B413:E413),"Use preços numéricos",IF(OR(AND(ISNUMBER(B413),B413&lt;=0),AND(ISNUMBER(C413),C413&lt;=0),AND(ISNUMBER(D413),D413&lt;=0),AND(ISNUMBER(E413),E413&lt;=0)),"Use preços positivos","")))))))</f>
        <v/>
      </c>
    </row>
    <row r="414" spans="1:11" ht="22.95" customHeight="1">
      <c r="A414" s="28"/>
      <c r="B414" s="29"/>
      <c r="C414" s="29"/>
      <c r="D414" s="29"/>
      <c r="E414" s="30"/>
      <c r="F414" s="22" t="str">
        <f>IF(OR($A414="",B414="",B414&lt;=0,Séries!Q413=""),"",B414/Séries!Q413-1)</f>
        <v/>
      </c>
      <c r="G414" s="22" t="str">
        <f>IF(OR($A414="",C414="",C414&lt;=0,Séries!R413=""),"",C414/Séries!R413-1)</f>
        <v/>
      </c>
      <c r="H414" s="22" t="str">
        <f>IF(OR($A414="",D414="",D414&lt;=0,Séries!S413=""),"",D414/Séries!S413-1)</f>
        <v/>
      </c>
      <c r="I414" s="22" t="str">
        <f>IF(OR($A414="",E414="",E414&lt;=0,Séries!T413=""),"",E414/Séries!T413-1)</f>
        <v/>
      </c>
      <c r="J414" s="27"/>
      <c r="K414" s="1" t="str">
        <f>IF(COUNTA(A414:E414)=0,"",IF(A414="","Preencha a data",IF(NOT(ISNUMBER(A414)),"Data inválida",IF(OR(A414&lt;36526,A414&gt;73050,A414&lt;&gt;INT(A414)),"Data inválida",IF(A414&lt;=Séries!U413,"Data repetida / fora de ordem",IF(COUNTA(B414:E414)&lt;&gt;COUNT(B414:E414),"Use preços numéricos",IF(OR(AND(ISNUMBER(B414),B414&lt;=0),AND(ISNUMBER(C414),C414&lt;=0),AND(ISNUMBER(D414),D414&lt;=0),AND(ISNUMBER(E414),E414&lt;=0)),"Use preços positivos","")))))))</f>
        <v/>
      </c>
    </row>
    <row r="415" spans="1:11" ht="22.95" customHeight="1">
      <c r="A415" s="28"/>
      <c r="B415" s="29"/>
      <c r="C415" s="29"/>
      <c r="D415" s="29"/>
      <c r="E415" s="30"/>
      <c r="F415" s="22" t="str">
        <f>IF(OR($A415="",B415="",B415&lt;=0,Séries!Q414=""),"",B415/Séries!Q414-1)</f>
        <v/>
      </c>
      <c r="G415" s="22" t="str">
        <f>IF(OR($A415="",C415="",C415&lt;=0,Séries!R414=""),"",C415/Séries!R414-1)</f>
        <v/>
      </c>
      <c r="H415" s="22" t="str">
        <f>IF(OR($A415="",D415="",D415&lt;=0,Séries!S414=""),"",D415/Séries!S414-1)</f>
        <v/>
      </c>
      <c r="I415" s="22" t="str">
        <f>IF(OR($A415="",E415="",E415&lt;=0,Séries!T414=""),"",E415/Séries!T414-1)</f>
        <v/>
      </c>
      <c r="J415" s="27"/>
      <c r="K415" s="1" t="str">
        <f>IF(COUNTA(A415:E415)=0,"",IF(A415="","Preencha a data",IF(NOT(ISNUMBER(A415)),"Data inválida",IF(OR(A415&lt;36526,A415&gt;73050,A415&lt;&gt;INT(A415)),"Data inválida",IF(A415&lt;=Séries!U414,"Data repetida / fora de ordem",IF(COUNTA(B415:E415)&lt;&gt;COUNT(B415:E415),"Use preços numéricos",IF(OR(AND(ISNUMBER(B415),B415&lt;=0),AND(ISNUMBER(C415),C415&lt;=0),AND(ISNUMBER(D415),D415&lt;=0),AND(ISNUMBER(E415),E415&lt;=0)),"Use preços positivos","")))))))</f>
        <v/>
      </c>
    </row>
    <row r="416" spans="1:11" ht="22.95" customHeight="1">
      <c r="A416" s="28"/>
      <c r="B416" s="29"/>
      <c r="C416" s="29"/>
      <c r="D416" s="29"/>
      <c r="E416" s="30"/>
      <c r="F416" s="22" t="str">
        <f>IF(OR($A416="",B416="",B416&lt;=0,Séries!Q415=""),"",B416/Séries!Q415-1)</f>
        <v/>
      </c>
      <c r="G416" s="22" t="str">
        <f>IF(OR($A416="",C416="",C416&lt;=0,Séries!R415=""),"",C416/Séries!R415-1)</f>
        <v/>
      </c>
      <c r="H416" s="22" t="str">
        <f>IF(OR($A416="",D416="",D416&lt;=0,Séries!S415=""),"",D416/Séries!S415-1)</f>
        <v/>
      </c>
      <c r="I416" s="22" t="str">
        <f>IF(OR($A416="",E416="",E416&lt;=0,Séries!T415=""),"",E416/Séries!T415-1)</f>
        <v/>
      </c>
      <c r="J416" s="27"/>
      <c r="K416" s="1" t="str">
        <f>IF(COUNTA(A416:E416)=0,"",IF(A416="","Preencha a data",IF(NOT(ISNUMBER(A416)),"Data inválida",IF(OR(A416&lt;36526,A416&gt;73050,A416&lt;&gt;INT(A416)),"Data inválida",IF(A416&lt;=Séries!U415,"Data repetida / fora de ordem",IF(COUNTA(B416:E416)&lt;&gt;COUNT(B416:E416),"Use preços numéricos",IF(OR(AND(ISNUMBER(B416),B416&lt;=0),AND(ISNUMBER(C416),C416&lt;=0),AND(ISNUMBER(D416),D416&lt;=0),AND(ISNUMBER(E416),E416&lt;=0)),"Use preços positivos","")))))))</f>
        <v/>
      </c>
    </row>
    <row r="417" spans="1:11" ht="22.95" customHeight="1">
      <c r="A417" s="28"/>
      <c r="B417" s="29"/>
      <c r="C417" s="29"/>
      <c r="D417" s="29"/>
      <c r="E417" s="30"/>
      <c r="F417" s="22" t="str">
        <f>IF(OR($A417="",B417="",B417&lt;=0,Séries!Q416=""),"",B417/Séries!Q416-1)</f>
        <v/>
      </c>
      <c r="G417" s="22" t="str">
        <f>IF(OR($A417="",C417="",C417&lt;=0,Séries!R416=""),"",C417/Séries!R416-1)</f>
        <v/>
      </c>
      <c r="H417" s="22" t="str">
        <f>IF(OR($A417="",D417="",D417&lt;=0,Séries!S416=""),"",D417/Séries!S416-1)</f>
        <v/>
      </c>
      <c r="I417" s="22" t="str">
        <f>IF(OR($A417="",E417="",E417&lt;=0,Séries!T416=""),"",E417/Séries!T416-1)</f>
        <v/>
      </c>
      <c r="J417" s="27"/>
      <c r="K417" s="1" t="str">
        <f>IF(COUNTA(A417:E417)=0,"",IF(A417="","Preencha a data",IF(NOT(ISNUMBER(A417)),"Data inválida",IF(OR(A417&lt;36526,A417&gt;73050,A417&lt;&gt;INT(A417)),"Data inválida",IF(A417&lt;=Séries!U416,"Data repetida / fora de ordem",IF(COUNTA(B417:E417)&lt;&gt;COUNT(B417:E417),"Use preços numéricos",IF(OR(AND(ISNUMBER(B417),B417&lt;=0),AND(ISNUMBER(C417),C417&lt;=0),AND(ISNUMBER(D417),D417&lt;=0),AND(ISNUMBER(E417),E417&lt;=0)),"Use preços positivos","")))))))</f>
        <v/>
      </c>
    </row>
    <row r="418" spans="1:11" ht="22.95" customHeight="1">
      <c r="A418" s="28"/>
      <c r="B418" s="29"/>
      <c r="C418" s="29"/>
      <c r="D418" s="29"/>
      <c r="E418" s="30"/>
      <c r="F418" s="22" t="str">
        <f>IF(OR($A418="",B418="",B418&lt;=0,Séries!Q417=""),"",B418/Séries!Q417-1)</f>
        <v/>
      </c>
      <c r="G418" s="22" t="str">
        <f>IF(OR($A418="",C418="",C418&lt;=0,Séries!R417=""),"",C418/Séries!R417-1)</f>
        <v/>
      </c>
      <c r="H418" s="22" t="str">
        <f>IF(OR($A418="",D418="",D418&lt;=0,Séries!S417=""),"",D418/Séries!S417-1)</f>
        <v/>
      </c>
      <c r="I418" s="22" t="str">
        <f>IF(OR($A418="",E418="",E418&lt;=0,Séries!T417=""),"",E418/Séries!T417-1)</f>
        <v/>
      </c>
      <c r="J418" s="27"/>
      <c r="K418" s="1" t="str">
        <f>IF(COUNTA(A418:E418)=0,"",IF(A418="","Preencha a data",IF(NOT(ISNUMBER(A418)),"Data inválida",IF(OR(A418&lt;36526,A418&gt;73050,A418&lt;&gt;INT(A418)),"Data inválida",IF(A418&lt;=Séries!U417,"Data repetida / fora de ordem",IF(COUNTA(B418:E418)&lt;&gt;COUNT(B418:E418),"Use preços numéricos",IF(OR(AND(ISNUMBER(B418),B418&lt;=0),AND(ISNUMBER(C418),C418&lt;=0),AND(ISNUMBER(D418),D418&lt;=0),AND(ISNUMBER(E418),E418&lt;=0)),"Use preços positivos","")))))))</f>
        <v/>
      </c>
    </row>
    <row r="419" spans="1:11" ht="22.95" customHeight="1">
      <c r="A419" s="28"/>
      <c r="B419" s="29"/>
      <c r="C419" s="29"/>
      <c r="D419" s="29"/>
      <c r="E419" s="30"/>
      <c r="F419" s="22" t="str">
        <f>IF(OR($A419="",B419="",B419&lt;=0,Séries!Q418=""),"",B419/Séries!Q418-1)</f>
        <v/>
      </c>
      <c r="G419" s="22" t="str">
        <f>IF(OR($A419="",C419="",C419&lt;=0,Séries!R418=""),"",C419/Séries!R418-1)</f>
        <v/>
      </c>
      <c r="H419" s="22" t="str">
        <f>IF(OR($A419="",D419="",D419&lt;=0,Séries!S418=""),"",D419/Séries!S418-1)</f>
        <v/>
      </c>
      <c r="I419" s="22" t="str">
        <f>IF(OR($A419="",E419="",E419&lt;=0,Séries!T418=""),"",E419/Séries!T418-1)</f>
        <v/>
      </c>
      <c r="J419" s="27"/>
      <c r="K419" s="1" t="str">
        <f>IF(COUNTA(A419:E419)=0,"",IF(A419="","Preencha a data",IF(NOT(ISNUMBER(A419)),"Data inválida",IF(OR(A419&lt;36526,A419&gt;73050,A419&lt;&gt;INT(A419)),"Data inválida",IF(A419&lt;=Séries!U418,"Data repetida / fora de ordem",IF(COUNTA(B419:E419)&lt;&gt;COUNT(B419:E419),"Use preços numéricos",IF(OR(AND(ISNUMBER(B419),B419&lt;=0),AND(ISNUMBER(C419),C419&lt;=0),AND(ISNUMBER(D419),D419&lt;=0),AND(ISNUMBER(E419),E419&lt;=0)),"Use preços positivos","")))))))</f>
        <v/>
      </c>
    </row>
    <row r="420" spans="1:11" ht="22.95" customHeight="1">
      <c r="A420" s="28"/>
      <c r="B420" s="29"/>
      <c r="C420" s="29"/>
      <c r="D420" s="29"/>
      <c r="E420" s="30"/>
      <c r="F420" s="22" t="str">
        <f>IF(OR($A420="",B420="",B420&lt;=0,Séries!Q419=""),"",B420/Séries!Q419-1)</f>
        <v/>
      </c>
      <c r="G420" s="22" t="str">
        <f>IF(OR($A420="",C420="",C420&lt;=0,Séries!R419=""),"",C420/Séries!R419-1)</f>
        <v/>
      </c>
      <c r="H420" s="22" t="str">
        <f>IF(OR($A420="",D420="",D420&lt;=0,Séries!S419=""),"",D420/Séries!S419-1)</f>
        <v/>
      </c>
      <c r="I420" s="22" t="str">
        <f>IF(OR($A420="",E420="",E420&lt;=0,Séries!T419=""),"",E420/Séries!T419-1)</f>
        <v/>
      </c>
      <c r="J420" s="27"/>
      <c r="K420" s="1" t="str">
        <f>IF(COUNTA(A420:E420)=0,"",IF(A420="","Preencha a data",IF(NOT(ISNUMBER(A420)),"Data inválida",IF(OR(A420&lt;36526,A420&gt;73050,A420&lt;&gt;INT(A420)),"Data inválida",IF(A420&lt;=Séries!U419,"Data repetida / fora de ordem",IF(COUNTA(B420:E420)&lt;&gt;COUNT(B420:E420),"Use preços numéricos",IF(OR(AND(ISNUMBER(B420),B420&lt;=0),AND(ISNUMBER(C420),C420&lt;=0),AND(ISNUMBER(D420),D420&lt;=0),AND(ISNUMBER(E420),E420&lt;=0)),"Use preços positivos","")))))))</f>
        <v/>
      </c>
    </row>
    <row r="421" spans="1:11" ht="22.95" customHeight="1">
      <c r="A421" s="28"/>
      <c r="B421" s="29"/>
      <c r="C421" s="29"/>
      <c r="D421" s="29"/>
      <c r="E421" s="30"/>
      <c r="F421" s="22" t="str">
        <f>IF(OR($A421="",B421="",B421&lt;=0,Séries!Q420=""),"",B421/Séries!Q420-1)</f>
        <v/>
      </c>
      <c r="G421" s="22" t="str">
        <f>IF(OR($A421="",C421="",C421&lt;=0,Séries!R420=""),"",C421/Séries!R420-1)</f>
        <v/>
      </c>
      <c r="H421" s="22" t="str">
        <f>IF(OR($A421="",D421="",D421&lt;=0,Séries!S420=""),"",D421/Séries!S420-1)</f>
        <v/>
      </c>
      <c r="I421" s="22" t="str">
        <f>IF(OR($A421="",E421="",E421&lt;=0,Séries!T420=""),"",E421/Séries!T420-1)</f>
        <v/>
      </c>
      <c r="J421" s="27"/>
      <c r="K421" s="1" t="str">
        <f>IF(COUNTA(A421:E421)=0,"",IF(A421="","Preencha a data",IF(NOT(ISNUMBER(A421)),"Data inválida",IF(OR(A421&lt;36526,A421&gt;73050,A421&lt;&gt;INT(A421)),"Data inválida",IF(A421&lt;=Séries!U420,"Data repetida / fora de ordem",IF(COUNTA(B421:E421)&lt;&gt;COUNT(B421:E421),"Use preços numéricos",IF(OR(AND(ISNUMBER(B421),B421&lt;=0),AND(ISNUMBER(C421),C421&lt;=0),AND(ISNUMBER(D421),D421&lt;=0),AND(ISNUMBER(E421),E421&lt;=0)),"Use preços positivos","")))))))</f>
        <v/>
      </c>
    </row>
    <row r="422" spans="1:11" ht="22.95" customHeight="1">
      <c r="A422" s="28"/>
      <c r="B422" s="29"/>
      <c r="C422" s="29"/>
      <c r="D422" s="29"/>
      <c r="E422" s="30"/>
      <c r="F422" s="22" t="str">
        <f>IF(OR($A422="",B422="",B422&lt;=0,Séries!Q421=""),"",B422/Séries!Q421-1)</f>
        <v/>
      </c>
      <c r="G422" s="22" t="str">
        <f>IF(OR($A422="",C422="",C422&lt;=0,Séries!R421=""),"",C422/Séries!R421-1)</f>
        <v/>
      </c>
      <c r="H422" s="22" t="str">
        <f>IF(OR($A422="",D422="",D422&lt;=0,Séries!S421=""),"",D422/Séries!S421-1)</f>
        <v/>
      </c>
      <c r="I422" s="22" t="str">
        <f>IF(OR($A422="",E422="",E422&lt;=0,Séries!T421=""),"",E422/Séries!T421-1)</f>
        <v/>
      </c>
      <c r="J422" s="27"/>
      <c r="K422" s="1" t="str">
        <f>IF(COUNTA(A422:E422)=0,"",IF(A422="","Preencha a data",IF(NOT(ISNUMBER(A422)),"Data inválida",IF(OR(A422&lt;36526,A422&gt;73050,A422&lt;&gt;INT(A422)),"Data inválida",IF(A422&lt;=Séries!U421,"Data repetida / fora de ordem",IF(COUNTA(B422:E422)&lt;&gt;COUNT(B422:E422),"Use preços numéricos",IF(OR(AND(ISNUMBER(B422),B422&lt;=0),AND(ISNUMBER(C422),C422&lt;=0),AND(ISNUMBER(D422),D422&lt;=0),AND(ISNUMBER(E422),E422&lt;=0)),"Use preços positivos","")))))))</f>
        <v/>
      </c>
    </row>
    <row r="423" spans="1:11" ht="22.95" customHeight="1">
      <c r="A423" s="28"/>
      <c r="B423" s="29"/>
      <c r="C423" s="29"/>
      <c r="D423" s="29"/>
      <c r="E423" s="30"/>
      <c r="F423" s="22" t="str">
        <f>IF(OR($A423="",B423="",B423&lt;=0,Séries!Q422=""),"",B423/Séries!Q422-1)</f>
        <v/>
      </c>
      <c r="G423" s="22" t="str">
        <f>IF(OR($A423="",C423="",C423&lt;=0,Séries!R422=""),"",C423/Séries!R422-1)</f>
        <v/>
      </c>
      <c r="H423" s="22" t="str">
        <f>IF(OR($A423="",D423="",D423&lt;=0,Séries!S422=""),"",D423/Séries!S422-1)</f>
        <v/>
      </c>
      <c r="I423" s="22" t="str">
        <f>IF(OR($A423="",E423="",E423&lt;=0,Séries!T422=""),"",E423/Séries!T422-1)</f>
        <v/>
      </c>
      <c r="J423" s="27"/>
      <c r="K423" s="1" t="str">
        <f>IF(COUNTA(A423:E423)=0,"",IF(A423="","Preencha a data",IF(NOT(ISNUMBER(A423)),"Data inválida",IF(OR(A423&lt;36526,A423&gt;73050,A423&lt;&gt;INT(A423)),"Data inválida",IF(A423&lt;=Séries!U422,"Data repetida / fora de ordem",IF(COUNTA(B423:E423)&lt;&gt;COUNT(B423:E423),"Use preços numéricos",IF(OR(AND(ISNUMBER(B423),B423&lt;=0),AND(ISNUMBER(C423),C423&lt;=0),AND(ISNUMBER(D423),D423&lt;=0),AND(ISNUMBER(E423),E423&lt;=0)),"Use preços positivos","")))))))</f>
        <v/>
      </c>
    </row>
    <row r="424" spans="1:11" ht="22.95" customHeight="1">
      <c r="A424" s="28"/>
      <c r="B424" s="29"/>
      <c r="C424" s="29"/>
      <c r="D424" s="29"/>
      <c r="E424" s="30"/>
      <c r="F424" s="22" t="str">
        <f>IF(OR($A424="",B424="",B424&lt;=0,Séries!Q423=""),"",B424/Séries!Q423-1)</f>
        <v/>
      </c>
      <c r="G424" s="22" t="str">
        <f>IF(OR($A424="",C424="",C424&lt;=0,Séries!R423=""),"",C424/Séries!R423-1)</f>
        <v/>
      </c>
      <c r="H424" s="22" t="str">
        <f>IF(OR($A424="",D424="",D424&lt;=0,Séries!S423=""),"",D424/Séries!S423-1)</f>
        <v/>
      </c>
      <c r="I424" s="22" t="str">
        <f>IF(OR($A424="",E424="",E424&lt;=0,Séries!T423=""),"",E424/Séries!T423-1)</f>
        <v/>
      </c>
      <c r="J424" s="27"/>
      <c r="K424" s="1" t="str">
        <f>IF(COUNTA(A424:E424)=0,"",IF(A424="","Preencha a data",IF(NOT(ISNUMBER(A424)),"Data inválida",IF(OR(A424&lt;36526,A424&gt;73050,A424&lt;&gt;INT(A424)),"Data inválida",IF(A424&lt;=Séries!U423,"Data repetida / fora de ordem",IF(COUNTA(B424:E424)&lt;&gt;COUNT(B424:E424),"Use preços numéricos",IF(OR(AND(ISNUMBER(B424),B424&lt;=0),AND(ISNUMBER(C424),C424&lt;=0),AND(ISNUMBER(D424),D424&lt;=0),AND(ISNUMBER(E424),E424&lt;=0)),"Use preços positivos","")))))))</f>
        <v/>
      </c>
    </row>
    <row r="425" spans="1:11" ht="22.95" customHeight="1">
      <c r="A425" s="28"/>
      <c r="B425" s="29"/>
      <c r="C425" s="29"/>
      <c r="D425" s="29"/>
      <c r="E425" s="30"/>
      <c r="F425" s="22" t="str">
        <f>IF(OR($A425="",B425="",B425&lt;=0,Séries!Q424=""),"",B425/Séries!Q424-1)</f>
        <v/>
      </c>
      <c r="G425" s="22" t="str">
        <f>IF(OR($A425="",C425="",C425&lt;=0,Séries!R424=""),"",C425/Séries!R424-1)</f>
        <v/>
      </c>
      <c r="H425" s="22" t="str">
        <f>IF(OR($A425="",D425="",D425&lt;=0,Séries!S424=""),"",D425/Séries!S424-1)</f>
        <v/>
      </c>
      <c r="I425" s="22" t="str">
        <f>IF(OR($A425="",E425="",E425&lt;=0,Séries!T424=""),"",E425/Séries!T424-1)</f>
        <v/>
      </c>
      <c r="J425" s="27"/>
      <c r="K425" s="1" t="str">
        <f>IF(COUNTA(A425:E425)=0,"",IF(A425="","Preencha a data",IF(NOT(ISNUMBER(A425)),"Data inválida",IF(OR(A425&lt;36526,A425&gt;73050,A425&lt;&gt;INT(A425)),"Data inválida",IF(A425&lt;=Séries!U424,"Data repetida / fora de ordem",IF(COUNTA(B425:E425)&lt;&gt;COUNT(B425:E425),"Use preços numéricos",IF(OR(AND(ISNUMBER(B425),B425&lt;=0),AND(ISNUMBER(C425),C425&lt;=0),AND(ISNUMBER(D425),D425&lt;=0),AND(ISNUMBER(E425),E425&lt;=0)),"Use preços positivos","")))))))</f>
        <v/>
      </c>
    </row>
    <row r="426" spans="1:11" ht="22.95" customHeight="1">
      <c r="A426" s="28"/>
      <c r="B426" s="29"/>
      <c r="C426" s="29"/>
      <c r="D426" s="29"/>
      <c r="E426" s="30"/>
      <c r="F426" s="22" t="str">
        <f>IF(OR($A426="",B426="",B426&lt;=0,Séries!Q425=""),"",B426/Séries!Q425-1)</f>
        <v/>
      </c>
      <c r="G426" s="22" t="str">
        <f>IF(OR($A426="",C426="",C426&lt;=0,Séries!R425=""),"",C426/Séries!R425-1)</f>
        <v/>
      </c>
      <c r="H426" s="22" t="str">
        <f>IF(OR($A426="",D426="",D426&lt;=0,Séries!S425=""),"",D426/Séries!S425-1)</f>
        <v/>
      </c>
      <c r="I426" s="22" t="str">
        <f>IF(OR($A426="",E426="",E426&lt;=0,Séries!T425=""),"",E426/Séries!T425-1)</f>
        <v/>
      </c>
      <c r="J426" s="27"/>
      <c r="K426" s="1" t="str">
        <f>IF(COUNTA(A426:E426)=0,"",IF(A426="","Preencha a data",IF(NOT(ISNUMBER(A426)),"Data inválida",IF(OR(A426&lt;36526,A426&gt;73050,A426&lt;&gt;INT(A426)),"Data inválida",IF(A426&lt;=Séries!U425,"Data repetida / fora de ordem",IF(COUNTA(B426:E426)&lt;&gt;COUNT(B426:E426),"Use preços numéricos",IF(OR(AND(ISNUMBER(B426),B426&lt;=0),AND(ISNUMBER(C426),C426&lt;=0),AND(ISNUMBER(D426),D426&lt;=0),AND(ISNUMBER(E426),E426&lt;=0)),"Use preços positivos","")))))))</f>
        <v/>
      </c>
    </row>
    <row r="427" spans="1:11" ht="22.95" customHeight="1">
      <c r="A427" s="28"/>
      <c r="B427" s="29"/>
      <c r="C427" s="29"/>
      <c r="D427" s="29"/>
      <c r="E427" s="30"/>
      <c r="F427" s="22" t="str">
        <f>IF(OR($A427="",B427="",B427&lt;=0,Séries!Q426=""),"",B427/Séries!Q426-1)</f>
        <v/>
      </c>
      <c r="G427" s="22" t="str">
        <f>IF(OR($A427="",C427="",C427&lt;=0,Séries!R426=""),"",C427/Séries!R426-1)</f>
        <v/>
      </c>
      <c r="H427" s="22" t="str">
        <f>IF(OR($A427="",D427="",D427&lt;=0,Séries!S426=""),"",D427/Séries!S426-1)</f>
        <v/>
      </c>
      <c r="I427" s="22" t="str">
        <f>IF(OR($A427="",E427="",E427&lt;=0,Séries!T426=""),"",E427/Séries!T426-1)</f>
        <v/>
      </c>
      <c r="J427" s="27"/>
      <c r="K427" s="1" t="str">
        <f>IF(COUNTA(A427:E427)=0,"",IF(A427="","Preencha a data",IF(NOT(ISNUMBER(A427)),"Data inválida",IF(OR(A427&lt;36526,A427&gt;73050,A427&lt;&gt;INT(A427)),"Data inválida",IF(A427&lt;=Séries!U426,"Data repetida / fora de ordem",IF(COUNTA(B427:E427)&lt;&gt;COUNT(B427:E427),"Use preços numéricos",IF(OR(AND(ISNUMBER(B427),B427&lt;=0),AND(ISNUMBER(C427),C427&lt;=0),AND(ISNUMBER(D427),D427&lt;=0),AND(ISNUMBER(E427),E427&lt;=0)),"Use preços positivos","")))))))</f>
        <v/>
      </c>
    </row>
    <row r="428" spans="1:11" ht="22.95" customHeight="1">
      <c r="A428" s="28"/>
      <c r="B428" s="29"/>
      <c r="C428" s="29"/>
      <c r="D428" s="29"/>
      <c r="E428" s="30"/>
      <c r="F428" s="22" t="str">
        <f>IF(OR($A428="",B428="",B428&lt;=0,Séries!Q427=""),"",B428/Séries!Q427-1)</f>
        <v/>
      </c>
      <c r="G428" s="22" t="str">
        <f>IF(OR($A428="",C428="",C428&lt;=0,Séries!R427=""),"",C428/Séries!R427-1)</f>
        <v/>
      </c>
      <c r="H428" s="22" t="str">
        <f>IF(OR($A428="",D428="",D428&lt;=0,Séries!S427=""),"",D428/Séries!S427-1)</f>
        <v/>
      </c>
      <c r="I428" s="22" t="str">
        <f>IF(OR($A428="",E428="",E428&lt;=0,Séries!T427=""),"",E428/Séries!T427-1)</f>
        <v/>
      </c>
      <c r="J428" s="27"/>
      <c r="K428" s="1" t="str">
        <f>IF(COUNTA(A428:E428)=0,"",IF(A428="","Preencha a data",IF(NOT(ISNUMBER(A428)),"Data inválida",IF(OR(A428&lt;36526,A428&gt;73050,A428&lt;&gt;INT(A428)),"Data inválida",IF(A428&lt;=Séries!U427,"Data repetida / fora de ordem",IF(COUNTA(B428:E428)&lt;&gt;COUNT(B428:E428),"Use preços numéricos",IF(OR(AND(ISNUMBER(B428),B428&lt;=0),AND(ISNUMBER(C428),C428&lt;=0),AND(ISNUMBER(D428),D428&lt;=0),AND(ISNUMBER(E428),E428&lt;=0)),"Use preços positivos","")))))))</f>
        <v/>
      </c>
    </row>
    <row r="429" spans="1:11" ht="22.95" customHeight="1">
      <c r="A429" s="28"/>
      <c r="B429" s="29"/>
      <c r="C429" s="29"/>
      <c r="D429" s="29"/>
      <c r="E429" s="30"/>
      <c r="F429" s="22" t="str">
        <f>IF(OR($A429="",B429="",B429&lt;=0,Séries!Q428=""),"",B429/Séries!Q428-1)</f>
        <v/>
      </c>
      <c r="G429" s="22" t="str">
        <f>IF(OR($A429="",C429="",C429&lt;=0,Séries!R428=""),"",C429/Séries!R428-1)</f>
        <v/>
      </c>
      <c r="H429" s="22" t="str">
        <f>IF(OR($A429="",D429="",D429&lt;=0,Séries!S428=""),"",D429/Séries!S428-1)</f>
        <v/>
      </c>
      <c r="I429" s="22" t="str">
        <f>IF(OR($A429="",E429="",E429&lt;=0,Séries!T428=""),"",E429/Séries!T428-1)</f>
        <v/>
      </c>
      <c r="J429" s="27"/>
      <c r="K429" s="1" t="str">
        <f>IF(COUNTA(A429:E429)=0,"",IF(A429="","Preencha a data",IF(NOT(ISNUMBER(A429)),"Data inválida",IF(OR(A429&lt;36526,A429&gt;73050,A429&lt;&gt;INT(A429)),"Data inválida",IF(A429&lt;=Séries!U428,"Data repetida / fora de ordem",IF(COUNTA(B429:E429)&lt;&gt;COUNT(B429:E429),"Use preços numéricos",IF(OR(AND(ISNUMBER(B429),B429&lt;=0),AND(ISNUMBER(C429),C429&lt;=0),AND(ISNUMBER(D429),D429&lt;=0),AND(ISNUMBER(E429),E429&lt;=0)),"Use preços positivos","")))))))</f>
        <v/>
      </c>
    </row>
    <row r="430" spans="1:11" ht="22.95" customHeight="1">
      <c r="A430" s="28"/>
      <c r="B430" s="29"/>
      <c r="C430" s="29"/>
      <c r="D430" s="29"/>
      <c r="E430" s="30"/>
      <c r="F430" s="22" t="str">
        <f>IF(OR($A430="",B430="",B430&lt;=0,Séries!Q429=""),"",B430/Séries!Q429-1)</f>
        <v/>
      </c>
      <c r="G430" s="22" t="str">
        <f>IF(OR($A430="",C430="",C430&lt;=0,Séries!R429=""),"",C430/Séries!R429-1)</f>
        <v/>
      </c>
      <c r="H430" s="22" t="str">
        <f>IF(OR($A430="",D430="",D430&lt;=0,Séries!S429=""),"",D430/Séries!S429-1)</f>
        <v/>
      </c>
      <c r="I430" s="22" t="str">
        <f>IF(OR($A430="",E430="",E430&lt;=0,Séries!T429=""),"",E430/Séries!T429-1)</f>
        <v/>
      </c>
      <c r="J430" s="27"/>
      <c r="K430" s="1" t="str">
        <f>IF(COUNTA(A430:E430)=0,"",IF(A430="","Preencha a data",IF(NOT(ISNUMBER(A430)),"Data inválida",IF(OR(A430&lt;36526,A430&gt;73050,A430&lt;&gt;INT(A430)),"Data inválida",IF(A430&lt;=Séries!U429,"Data repetida / fora de ordem",IF(COUNTA(B430:E430)&lt;&gt;COUNT(B430:E430),"Use preços numéricos",IF(OR(AND(ISNUMBER(B430),B430&lt;=0),AND(ISNUMBER(C430),C430&lt;=0),AND(ISNUMBER(D430),D430&lt;=0),AND(ISNUMBER(E430),E430&lt;=0)),"Use preços positivos","")))))))</f>
        <v/>
      </c>
    </row>
    <row r="431" spans="1:11" ht="22.95" customHeight="1">
      <c r="A431" s="28"/>
      <c r="B431" s="29"/>
      <c r="C431" s="29"/>
      <c r="D431" s="29"/>
      <c r="E431" s="30"/>
      <c r="F431" s="22" t="str">
        <f>IF(OR($A431="",B431="",B431&lt;=0,Séries!Q430=""),"",B431/Séries!Q430-1)</f>
        <v/>
      </c>
      <c r="G431" s="22" t="str">
        <f>IF(OR($A431="",C431="",C431&lt;=0,Séries!R430=""),"",C431/Séries!R430-1)</f>
        <v/>
      </c>
      <c r="H431" s="22" t="str">
        <f>IF(OR($A431="",D431="",D431&lt;=0,Séries!S430=""),"",D431/Séries!S430-1)</f>
        <v/>
      </c>
      <c r="I431" s="22" t="str">
        <f>IF(OR($A431="",E431="",E431&lt;=0,Séries!T430=""),"",E431/Séries!T430-1)</f>
        <v/>
      </c>
      <c r="J431" s="27"/>
      <c r="K431" s="1" t="str">
        <f>IF(COUNTA(A431:E431)=0,"",IF(A431="","Preencha a data",IF(NOT(ISNUMBER(A431)),"Data inválida",IF(OR(A431&lt;36526,A431&gt;73050,A431&lt;&gt;INT(A431)),"Data inválida",IF(A431&lt;=Séries!U430,"Data repetida / fora de ordem",IF(COUNTA(B431:E431)&lt;&gt;COUNT(B431:E431),"Use preços numéricos",IF(OR(AND(ISNUMBER(B431),B431&lt;=0),AND(ISNUMBER(C431),C431&lt;=0),AND(ISNUMBER(D431),D431&lt;=0),AND(ISNUMBER(E431),E431&lt;=0)),"Use preços positivos","")))))))</f>
        <v/>
      </c>
    </row>
    <row r="432" spans="1:11" ht="22.95" customHeight="1">
      <c r="A432" s="28"/>
      <c r="B432" s="29"/>
      <c r="C432" s="29"/>
      <c r="D432" s="29"/>
      <c r="E432" s="30"/>
      <c r="F432" s="22" t="str">
        <f>IF(OR($A432="",B432="",B432&lt;=0,Séries!Q431=""),"",B432/Séries!Q431-1)</f>
        <v/>
      </c>
      <c r="G432" s="22" t="str">
        <f>IF(OR($A432="",C432="",C432&lt;=0,Séries!R431=""),"",C432/Séries!R431-1)</f>
        <v/>
      </c>
      <c r="H432" s="22" t="str">
        <f>IF(OR($A432="",D432="",D432&lt;=0,Séries!S431=""),"",D432/Séries!S431-1)</f>
        <v/>
      </c>
      <c r="I432" s="22" t="str">
        <f>IF(OR($A432="",E432="",E432&lt;=0,Séries!T431=""),"",E432/Séries!T431-1)</f>
        <v/>
      </c>
      <c r="J432" s="27"/>
      <c r="K432" s="1" t="str">
        <f>IF(COUNTA(A432:E432)=0,"",IF(A432="","Preencha a data",IF(NOT(ISNUMBER(A432)),"Data inválida",IF(OR(A432&lt;36526,A432&gt;73050,A432&lt;&gt;INT(A432)),"Data inválida",IF(A432&lt;=Séries!U431,"Data repetida / fora de ordem",IF(COUNTA(B432:E432)&lt;&gt;COUNT(B432:E432),"Use preços numéricos",IF(OR(AND(ISNUMBER(B432),B432&lt;=0),AND(ISNUMBER(C432),C432&lt;=0),AND(ISNUMBER(D432),D432&lt;=0),AND(ISNUMBER(E432),E432&lt;=0)),"Use preços positivos","")))))))</f>
        <v/>
      </c>
    </row>
    <row r="433" spans="1:11" ht="22.95" customHeight="1">
      <c r="A433" s="28"/>
      <c r="B433" s="29"/>
      <c r="C433" s="29"/>
      <c r="D433" s="29"/>
      <c r="E433" s="30"/>
      <c r="F433" s="22" t="str">
        <f>IF(OR($A433="",B433="",B433&lt;=0,Séries!Q432=""),"",B433/Séries!Q432-1)</f>
        <v/>
      </c>
      <c r="G433" s="22" t="str">
        <f>IF(OR($A433="",C433="",C433&lt;=0,Séries!R432=""),"",C433/Séries!R432-1)</f>
        <v/>
      </c>
      <c r="H433" s="22" t="str">
        <f>IF(OR($A433="",D433="",D433&lt;=0,Séries!S432=""),"",D433/Séries!S432-1)</f>
        <v/>
      </c>
      <c r="I433" s="22" t="str">
        <f>IF(OR($A433="",E433="",E433&lt;=0,Séries!T432=""),"",E433/Séries!T432-1)</f>
        <v/>
      </c>
      <c r="J433" s="27"/>
      <c r="K433" s="1" t="str">
        <f>IF(COUNTA(A433:E433)=0,"",IF(A433="","Preencha a data",IF(NOT(ISNUMBER(A433)),"Data inválida",IF(OR(A433&lt;36526,A433&gt;73050,A433&lt;&gt;INT(A433)),"Data inválida",IF(A433&lt;=Séries!U432,"Data repetida / fora de ordem",IF(COUNTA(B433:E433)&lt;&gt;COUNT(B433:E433),"Use preços numéricos",IF(OR(AND(ISNUMBER(B433),B433&lt;=0),AND(ISNUMBER(C433),C433&lt;=0),AND(ISNUMBER(D433),D433&lt;=0),AND(ISNUMBER(E433),E433&lt;=0)),"Use preços positivos","")))))))</f>
        <v/>
      </c>
    </row>
    <row r="434" spans="1:11" ht="22.95" customHeight="1">
      <c r="A434" s="28"/>
      <c r="B434" s="29"/>
      <c r="C434" s="29"/>
      <c r="D434" s="29"/>
      <c r="E434" s="30"/>
      <c r="F434" s="22" t="str">
        <f>IF(OR($A434="",B434="",B434&lt;=0,Séries!Q433=""),"",B434/Séries!Q433-1)</f>
        <v/>
      </c>
      <c r="G434" s="22" t="str">
        <f>IF(OR($A434="",C434="",C434&lt;=0,Séries!R433=""),"",C434/Séries!R433-1)</f>
        <v/>
      </c>
      <c r="H434" s="22" t="str">
        <f>IF(OR($A434="",D434="",D434&lt;=0,Séries!S433=""),"",D434/Séries!S433-1)</f>
        <v/>
      </c>
      <c r="I434" s="22" t="str">
        <f>IF(OR($A434="",E434="",E434&lt;=0,Séries!T433=""),"",E434/Séries!T433-1)</f>
        <v/>
      </c>
      <c r="J434" s="27"/>
      <c r="K434" s="1" t="str">
        <f>IF(COUNTA(A434:E434)=0,"",IF(A434="","Preencha a data",IF(NOT(ISNUMBER(A434)),"Data inválida",IF(OR(A434&lt;36526,A434&gt;73050,A434&lt;&gt;INT(A434)),"Data inválida",IF(A434&lt;=Séries!U433,"Data repetida / fora de ordem",IF(COUNTA(B434:E434)&lt;&gt;COUNT(B434:E434),"Use preços numéricos",IF(OR(AND(ISNUMBER(B434),B434&lt;=0),AND(ISNUMBER(C434),C434&lt;=0),AND(ISNUMBER(D434),D434&lt;=0),AND(ISNUMBER(E434),E434&lt;=0)),"Use preços positivos","")))))))</f>
        <v/>
      </c>
    </row>
    <row r="435" spans="1:11" ht="22.95" customHeight="1">
      <c r="A435" s="28"/>
      <c r="B435" s="29"/>
      <c r="C435" s="29"/>
      <c r="D435" s="29"/>
      <c r="E435" s="30"/>
      <c r="F435" s="22" t="str">
        <f>IF(OR($A435="",B435="",B435&lt;=0,Séries!Q434=""),"",B435/Séries!Q434-1)</f>
        <v/>
      </c>
      <c r="G435" s="22" t="str">
        <f>IF(OR($A435="",C435="",C435&lt;=0,Séries!R434=""),"",C435/Séries!R434-1)</f>
        <v/>
      </c>
      <c r="H435" s="22" t="str">
        <f>IF(OR($A435="",D435="",D435&lt;=0,Séries!S434=""),"",D435/Séries!S434-1)</f>
        <v/>
      </c>
      <c r="I435" s="22" t="str">
        <f>IF(OR($A435="",E435="",E435&lt;=0,Séries!T434=""),"",E435/Séries!T434-1)</f>
        <v/>
      </c>
      <c r="J435" s="27"/>
      <c r="K435" s="1" t="str">
        <f>IF(COUNTA(A435:E435)=0,"",IF(A435="","Preencha a data",IF(NOT(ISNUMBER(A435)),"Data inválida",IF(OR(A435&lt;36526,A435&gt;73050,A435&lt;&gt;INT(A435)),"Data inválida",IF(A435&lt;=Séries!U434,"Data repetida / fora de ordem",IF(COUNTA(B435:E435)&lt;&gt;COUNT(B435:E435),"Use preços numéricos",IF(OR(AND(ISNUMBER(B435),B435&lt;=0),AND(ISNUMBER(C435),C435&lt;=0),AND(ISNUMBER(D435),D435&lt;=0),AND(ISNUMBER(E435),E435&lt;=0)),"Use preços positivos","")))))))</f>
        <v/>
      </c>
    </row>
    <row r="436" spans="1:11" ht="22.95" customHeight="1">
      <c r="A436" s="28"/>
      <c r="B436" s="29"/>
      <c r="C436" s="29"/>
      <c r="D436" s="29"/>
      <c r="E436" s="30"/>
      <c r="F436" s="22" t="str">
        <f>IF(OR($A436="",B436="",B436&lt;=0,Séries!Q435=""),"",B436/Séries!Q435-1)</f>
        <v/>
      </c>
      <c r="G436" s="22" t="str">
        <f>IF(OR($A436="",C436="",C436&lt;=0,Séries!R435=""),"",C436/Séries!R435-1)</f>
        <v/>
      </c>
      <c r="H436" s="22" t="str">
        <f>IF(OR($A436="",D436="",D436&lt;=0,Séries!S435=""),"",D436/Séries!S435-1)</f>
        <v/>
      </c>
      <c r="I436" s="22" t="str">
        <f>IF(OR($A436="",E436="",E436&lt;=0,Séries!T435=""),"",E436/Séries!T435-1)</f>
        <v/>
      </c>
      <c r="J436" s="27"/>
      <c r="K436" s="1" t="str">
        <f>IF(COUNTA(A436:E436)=0,"",IF(A436="","Preencha a data",IF(NOT(ISNUMBER(A436)),"Data inválida",IF(OR(A436&lt;36526,A436&gt;73050,A436&lt;&gt;INT(A436)),"Data inválida",IF(A436&lt;=Séries!U435,"Data repetida / fora de ordem",IF(COUNTA(B436:E436)&lt;&gt;COUNT(B436:E436),"Use preços numéricos",IF(OR(AND(ISNUMBER(B436),B436&lt;=0),AND(ISNUMBER(C436),C436&lt;=0),AND(ISNUMBER(D436),D436&lt;=0),AND(ISNUMBER(E436),E436&lt;=0)),"Use preços positivos","")))))))</f>
        <v/>
      </c>
    </row>
    <row r="437" spans="1:11" ht="22.95" customHeight="1">
      <c r="A437" s="28"/>
      <c r="B437" s="29"/>
      <c r="C437" s="29"/>
      <c r="D437" s="29"/>
      <c r="E437" s="30"/>
      <c r="F437" s="22" t="str">
        <f>IF(OR($A437="",B437="",B437&lt;=0,Séries!Q436=""),"",B437/Séries!Q436-1)</f>
        <v/>
      </c>
      <c r="G437" s="22" t="str">
        <f>IF(OR($A437="",C437="",C437&lt;=0,Séries!R436=""),"",C437/Séries!R436-1)</f>
        <v/>
      </c>
      <c r="H437" s="22" t="str">
        <f>IF(OR($A437="",D437="",D437&lt;=0,Séries!S436=""),"",D437/Séries!S436-1)</f>
        <v/>
      </c>
      <c r="I437" s="22" t="str">
        <f>IF(OR($A437="",E437="",E437&lt;=0,Séries!T436=""),"",E437/Séries!T436-1)</f>
        <v/>
      </c>
      <c r="J437" s="27"/>
      <c r="K437" s="1" t="str">
        <f>IF(COUNTA(A437:E437)=0,"",IF(A437="","Preencha a data",IF(NOT(ISNUMBER(A437)),"Data inválida",IF(OR(A437&lt;36526,A437&gt;73050,A437&lt;&gt;INT(A437)),"Data inválida",IF(A437&lt;=Séries!U436,"Data repetida / fora de ordem",IF(COUNTA(B437:E437)&lt;&gt;COUNT(B437:E437),"Use preços numéricos",IF(OR(AND(ISNUMBER(B437),B437&lt;=0),AND(ISNUMBER(C437),C437&lt;=0),AND(ISNUMBER(D437),D437&lt;=0),AND(ISNUMBER(E437),E437&lt;=0)),"Use preços positivos","")))))))</f>
        <v/>
      </c>
    </row>
    <row r="438" spans="1:11" ht="22.95" customHeight="1">
      <c r="A438" s="28"/>
      <c r="B438" s="29"/>
      <c r="C438" s="29"/>
      <c r="D438" s="29"/>
      <c r="E438" s="30"/>
      <c r="F438" s="22" t="str">
        <f>IF(OR($A438="",B438="",B438&lt;=0,Séries!Q437=""),"",B438/Séries!Q437-1)</f>
        <v/>
      </c>
      <c r="G438" s="22" t="str">
        <f>IF(OR($A438="",C438="",C438&lt;=0,Séries!R437=""),"",C438/Séries!R437-1)</f>
        <v/>
      </c>
      <c r="H438" s="22" t="str">
        <f>IF(OR($A438="",D438="",D438&lt;=0,Séries!S437=""),"",D438/Séries!S437-1)</f>
        <v/>
      </c>
      <c r="I438" s="22" t="str">
        <f>IF(OR($A438="",E438="",E438&lt;=0,Séries!T437=""),"",E438/Séries!T437-1)</f>
        <v/>
      </c>
      <c r="J438" s="27"/>
      <c r="K438" s="1" t="str">
        <f>IF(COUNTA(A438:E438)=0,"",IF(A438="","Preencha a data",IF(NOT(ISNUMBER(A438)),"Data inválida",IF(OR(A438&lt;36526,A438&gt;73050,A438&lt;&gt;INT(A438)),"Data inválida",IF(A438&lt;=Séries!U437,"Data repetida / fora de ordem",IF(COUNTA(B438:E438)&lt;&gt;COUNT(B438:E438),"Use preços numéricos",IF(OR(AND(ISNUMBER(B438),B438&lt;=0),AND(ISNUMBER(C438),C438&lt;=0),AND(ISNUMBER(D438),D438&lt;=0),AND(ISNUMBER(E438),E438&lt;=0)),"Use preços positivos","")))))))</f>
        <v/>
      </c>
    </row>
    <row r="439" spans="1:11" ht="22.95" customHeight="1">
      <c r="A439" s="28"/>
      <c r="B439" s="29"/>
      <c r="C439" s="29"/>
      <c r="D439" s="29"/>
      <c r="E439" s="30"/>
      <c r="F439" s="22" t="str">
        <f>IF(OR($A439="",B439="",B439&lt;=0,Séries!Q438=""),"",B439/Séries!Q438-1)</f>
        <v/>
      </c>
      <c r="G439" s="22" t="str">
        <f>IF(OR($A439="",C439="",C439&lt;=0,Séries!R438=""),"",C439/Séries!R438-1)</f>
        <v/>
      </c>
      <c r="H439" s="22" t="str">
        <f>IF(OR($A439="",D439="",D439&lt;=0,Séries!S438=""),"",D439/Séries!S438-1)</f>
        <v/>
      </c>
      <c r="I439" s="22" t="str">
        <f>IF(OR($A439="",E439="",E439&lt;=0,Séries!T438=""),"",E439/Séries!T438-1)</f>
        <v/>
      </c>
      <c r="J439" s="27"/>
      <c r="K439" s="1" t="str">
        <f>IF(COUNTA(A439:E439)=0,"",IF(A439="","Preencha a data",IF(NOT(ISNUMBER(A439)),"Data inválida",IF(OR(A439&lt;36526,A439&gt;73050,A439&lt;&gt;INT(A439)),"Data inválida",IF(A439&lt;=Séries!U438,"Data repetida / fora de ordem",IF(COUNTA(B439:E439)&lt;&gt;COUNT(B439:E439),"Use preços numéricos",IF(OR(AND(ISNUMBER(B439),B439&lt;=0),AND(ISNUMBER(C439),C439&lt;=0),AND(ISNUMBER(D439),D439&lt;=0),AND(ISNUMBER(E439),E439&lt;=0)),"Use preços positivos","")))))))</f>
        <v/>
      </c>
    </row>
    <row r="440" spans="1:11" ht="22.95" customHeight="1">
      <c r="A440" s="28"/>
      <c r="B440" s="29"/>
      <c r="C440" s="29"/>
      <c r="D440" s="29"/>
      <c r="E440" s="30"/>
      <c r="F440" s="22" t="str">
        <f>IF(OR($A440="",B440="",B440&lt;=0,Séries!Q439=""),"",B440/Séries!Q439-1)</f>
        <v/>
      </c>
      <c r="G440" s="22" t="str">
        <f>IF(OR($A440="",C440="",C440&lt;=0,Séries!R439=""),"",C440/Séries!R439-1)</f>
        <v/>
      </c>
      <c r="H440" s="22" t="str">
        <f>IF(OR($A440="",D440="",D440&lt;=0,Séries!S439=""),"",D440/Séries!S439-1)</f>
        <v/>
      </c>
      <c r="I440" s="22" t="str">
        <f>IF(OR($A440="",E440="",E440&lt;=0,Séries!T439=""),"",E440/Séries!T439-1)</f>
        <v/>
      </c>
      <c r="J440" s="27"/>
      <c r="K440" s="1" t="str">
        <f>IF(COUNTA(A440:E440)=0,"",IF(A440="","Preencha a data",IF(NOT(ISNUMBER(A440)),"Data inválida",IF(OR(A440&lt;36526,A440&gt;73050,A440&lt;&gt;INT(A440)),"Data inválida",IF(A440&lt;=Séries!U439,"Data repetida / fora de ordem",IF(COUNTA(B440:E440)&lt;&gt;COUNT(B440:E440),"Use preços numéricos",IF(OR(AND(ISNUMBER(B440),B440&lt;=0),AND(ISNUMBER(C440),C440&lt;=0),AND(ISNUMBER(D440),D440&lt;=0),AND(ISNUMBER(E440),E440&lt;=0)),"Use preços positivos","")))))))</f>
        <v/>
      </c>
    </row>
    <row r="441" spans="1:11" ht="22.95" customHeight="1">
      <c r="A441" s="28"/>
      <c r="B441" s="29"/>
      <c r="C441" s="29"/>
      <c r="D441" s="29"/>
      <c r="E441" s="30"/>
      <c r="F441" s="22" t="str">
        <f>IF(OR($A441="",B441="",B441&lt;=0,Séries!Q440=""),"",B441/Séries!Q440-1)</f>
        <v/>
      </c>
      <c r="G441" s="22" t="str">
        <f>IF(OR($A441="",C441="",C441&lt;=0,Séries!R440=""),"",C441/Séries!R440-1)</f>
        <v/>
      </c>
      <c r="H441" s="22" t="str">
        <f>IF(OR($A441="",D441="",D441&lt;=0,Séries!S440=""),"",D441/Séries!S440-1)</f>
        <v/>
      </c>
      <c r="I441" s="22" t="str">
        <f>IF(OR($A441="",E441="",E441&lt;=0,Séries!T440=""),"",E441/Séries!T440-1)</f>
        <v/>
      </c>
      <c r="J441" s="27"/>
      <c r="K441" s="1" t="str">
        <f>IF(COUNTA(A441:E441)=0,"",IF(A441="","Preencha a data",IF(NOT(ISNUMBER(A441)),"Data inválida",IF(OR(A441&lt;36526,A441&gt;73050,A441&lt;&gt;INT(A441)),"Data inválida",IF(A441&lt;=Séries!U440,"Data repetida / fora de ordem",IF(COUNTA(B441:E441)&lt;&gt;COUNT(B441:E441),"Use preços numéricos",IF(OR(AND(ISNUMBER(B441),B441&lt;=0),AND(ISNUMBER(C441),C441&lt;=0),AND(ISNUMBER(D441),D441&lt;=0),AND(ISNUMBER(E441),E441&lt;=0)),"Use preços positivos","")))))))</f>
        <v/>
      </c>
    </row>
    <row r="442" spans="1:11" ht="22.95" customHeight="1">
      <c r="A442" s="28"/>
      <c r="B442" s="29"/>
      <c r="C442" s="29"/>
      <c r="D442" s="29"/>
      <c r="E442" s="30"/>
      <c r="F442" s="22" t="str">
        <f>IF(OR($A442="",B442="",B442&lt;=0,Séries!Q441=""),"",B442/Séries!Q441-1)</f>
        <v/>
      </c>
      <c r="G442" s="22" t="str">
        <f>IF(OR($A442="",C442="",C442&lt;=0,Séries!R441=""),"",C442/Séries!R441-1)</f>
        <v/>
      </c>
      <c r="H442" s="22" t="str">
        <f>IF(OR($A442="",D442="",D442&lt;=0,Séries!S441=""),"",D442/Séries!S441-1)</f>
        <v/>
      </c>
      <c r="I442" s="22" t="str">
        <f>IF(OR($A442="",E442="",E442&lt;=0,Séries!T441=""),"",E442/Séries!T441-1)</f>
        <v/>
      </c>
      <c r="J442" s="27"/>
      <c r="K442" s="1" t="str">
        <f>IF(COUNTA(A442:E442)=0,"",IF(A442="","Preencha a data",IF(NOT(ISNUMBER(A442)),"Data inválida",IF(OR(A442&lt;36526,A442&gt;73050,A442&lt;&gt;INT(A442)),"Data inválida",IF(A442&lt;=Séries!U441,"Data repetida / fora de ordem",IF(COUNTA(B442:E442)&lt;&gt;COUNT(B442:E442),"Use preços numéricos",IF(OR(AND(ISNUMBER(B442),B442&lt;=0),AND(ISNUMBER(C442),C442&lt;=0),AND(ISNUMBER(D442),D442&lt;=0),AND(ISNUMBER(E442),E442&lt;=0)),"Use preços positivos","")))))))</f>
        <v/>
      </c>
    </row>
    <row r="443" spans="1:11" ht="22.95" customHeight="1">
      <c r="A443" s="28"/>
      <c r="B443" s="29"/>
      <c r="C443" s="29"/>
      <c r="D443" s="29"/>
      <c r="E443" s="30"/>
      <c r="F443" s="22" t="str">
        <f>IF(OR($A443="",B443="",B443&lt;=0,Séries!Q442=""),"",B443/Séries!Q442-1)</f>
        <v/>
      </c>
      <c r="G443" s="22" t="str">
        <f>IF(OR($A443="",C443="",C443&lt;=0,Séries!R442=""),"",C443/Séries!R442-1)</f>
        <v/>
      </c>
      <c r="H443" s="22" t="str">
        <f>IF(OR($A443="",D443="",D443&lt;=0,Séries!S442=""),"",D443/Séries!S442-1)</f>
        <v/>
      </c>
      <c r="I443" s="22" t="str">
        <f>IF(OR($A443="",E443="",E443&lt;=0,Séries!T442=""),"",E443/Séries!T442-1)</f>
        <v/>
      </c>
      <c r="J443" s="27"/>
      <c r="K443" s="1" t="str">
        <f>IF(COUNTA(A443:E443)=0,"",IF(A443="","Preencha a data",IF(NOT(ISNUMBER(A443)),"Data inválida",IF(OR(A443&lt;36526,A443&gt;73050,A443&lt;&gt;INT(A443)),"Data inválida",IF(A443&lt;=Séries!U442,"Data repetida / fora de ordem",IF(COUNTA(B443:E443)&lt;&gt;COUNT(B443:E443),"Use preços numéricos",IF(OR(AND(ISNUMBER(B443),B443&lt;=0),AND(ISNUMBER(C443),C443&lt;=0),AND(ISNUMBER(D443),D443&lt;=0),AND(ISNUMBER(E443),E443&lt;=0)),"Use preços positivos","")))))))</f>
        <v/>
      </c>
    </row>
    <row r="444" spans="1:11" ht="22.95" customHeight="1">
      <c r="A444" s="28"/>
      <c r="B444" s="29"/>
      <c r="C444" s="29"/>
      <c r="D444" s="29"/>
      <c r="E444" s="30"/>
      <c r="F444" s="22" t="str">
        <f>IF(OR($A444="",B444="",B444&lt;=0,Séries!Q443=""),"",B444/Séries!Q443-1)</f>
        <v/>
      </c>
      <c r="G444" s="22" t="str">
        <f>IF(OR($A444="",C444="",C444&lt;=0,Séries!R443=""),"",C444/Séries!R443-1)</f>
        <v/>
      </c>
      <c r="H444" s="22" t="str">
        <f>IF(OR($A444="",D444="",D444&lt;=0,Séries!S443=""),"",D444/Séries!S443-1)</f>
        <v/>
      </c>
      <c r="I444" s="22" t="str">
        <f>IF(OR($A444="",E444="",E444&lt;=0,Séries!T443=""),"",E444/Séries!T443-1)</f>
        <v/>
      </c>
      <c r="J444" s="27"/>
      <c r="K444" s="1" t="str">
        <f>IF(COUNTA(A444:E444)=0,"",IF(A444="","Preencha a data",IF(NOT(ISNUMBER(A444)),"Data inválida",IF(OR(A444&lt;36526,A444&gt;73050,A444&lt;&gt;INT(A444)),"Data inválida",IF(A444&lt;=Séries!U443,"Data repetida / fora de ordem",IF(COUNTA(B444:E444)&lt;&gt;COUNT(B444:E444),"Use preços numéricos",IF(OR(AND(ISNUMBER(B444),B444&lt;=0),AND(ISNUMBER(C444),C444&lt;=0),AND(ISNUMBER(D444),D444&lt;=0),AND(ISNUMBER(E444),E444&lt;=0)),"Use preços positivos","")))))))</f>
        <v/>
      </c>
    </row>
    <row r="445" spans="1:11" ht="22.95" customHeight="1">
      <c r="A445" s="28"/>
      <c r="B445" s="29"/>
      <c r="C445" s="29"/>
      <c r="D445" s="29"/>
      <c r="E445" s="30"/>
      <c r="F445" s="22" t="str">
        <f>IF(OR($A445="",B445="",B445&lt;=0,Séries!Q444=""),"",B445/Séries!Q444-1)</f>
        <v/>
      </c>
      <c r="G445" s="22" t="str">
        <f>IF(OR($A445="",C445="",C445&lt;=0,Séries!R444=""),"",C445/Séries!R444-1)</f>
        <v/>
      </c>
      <c r="H445" s="22" t="str">
        <f>IF(OR($A445="",D445="",D445&lt;=0,Séries!S444=""),"",D445/Séries!S444-1)</f>
        <v/>
      </c>
      <c r="I445" s="22" t="str">
        <f>IF(OR($A445="",E445="",E445&lt;=0,Séries!T444=""),"",E445/Séries!T444-1)</f>
        <v/>
      </c>
      <c r="J445" s="27"/>
      <c r="K445" s="1" t="str">
        <f>IF(COUNTA(A445:E445)=0,"",IF(A445="","Preencha a data",IF(NOT(ISNUMBER(A445)),"Data inválida",IF(OR(A445&lt;36526,A445&gt;73050,A445&lt;&gt;INT(A445)),"Data inválida",IF(A445&lt;=Séries!U444,"Data repetida / fora de ordem",IF(COUNTA(B445:E445)&lt;&gt;COUNT(B445:E445),"Use preços numéricos",IF(OR(AND(ISNUMBER(B445),B445&lt;=0),AND(ISNUMBER(C445),C445&lt;=0),AND(ISNUMBER(D445),D445&lt;=0),AND(ISNUMBER(E445),E445&lt;=0)),"Use preços positivos","")))))))</f>
        <v/>
      </c>
    </row>
    <row r="446" spans="1:11" ht="22.95" customHeight="1">
      <c r="A446" s="28"/>
      <c r="B446" s="29"/>
      <c r="C446" s="29"/>
      <c r="D446" s="29"/>
      <c r="E446" s="30"/>
      <c r="F446" s="22" t="str">
        <f>IF(OR($A446="",B446="",B446&lt;=0,Séries!Q445=""),"",B446/Séries!Q445-1)</f>
        <v/>
      </c>
      <c r="G446" s="22" t="str">
        <f>IF(OR($A446="",C446="",C446&lt;=0,Séries!R445=""),"",C446/Séries!R445-1)</f>
        <v/>
      </c>
      <c r="H446" s="22" t="str">
        <f>IF(OR($A446="",D446="",D446&lt;=0,Séries!S445=""),"",D446/Séries!S445-1)</f>
        <v/>
      </c>
      <c r="I446" s="22" t="str">
        <f>IF(OR($A446="",E446="",E446&lt;=0,Séries!T445=""),"",E446/Séries!T445-1)</f>
        <v/>
      </c>
      <c r="J446" s="27"/>
      <c r="K446" s="1" t="str">
        <f>IF(COUNTA(A446:E446)=0,"",IF(A446="","Preencha a data",IF(NOT(ISNUMBER(A446)),"Data inválida",IF(OR(A446&lt;36526,A446&gt;73050,A446&lt;&gt;INT(A446)),"Data inválida",IF(A446&lt;=Séries!U445,"Data repetida / fora de ordem",IF(COUNTA(B446:E446)&lt;&gt;COUNT(B446:E446),"Use preços numéricos",IF(OR(AND(ISNUMBER(B446),B446&lt;=0),AND(ISNUMBER(C446),C446&lt;=0),AND(ISNUMBER(D446),D446&lt;=0),AND(ISNUMBER(E446),E446&lt;=0)),"Use preços positivos","")))))))</f>
        <v/>
      </c>
    </row>
    <row r="447" spans="1:11" ht="22.95" customHeight="1">
      <c r="A447" s="28"/>
      <c r="B447" s="29"/>
      <c r="C447" s="29"/>
      <c r="D447" s="29"/>
      <c r="E447" s="30"/>
      <c r="F447" s="22" t="str">
        <f>IF(OR($A447="",B447="",B447&lt;=0,Séries!Q446=""),"",B447/Séries!Q446-1)</f>
        <v/>
      </c>
      <c r="G447" s="22" t="str">
        <f>IF(OR($A447="",C447="",C447&lt;=0,Séries!R446=""),"",C447/Séries!R446-1)</f>
        <v/>
      </c>
      <c r="H447" s="22" t="str">
        <f>IF(OR($A447="",D447="",D447&lt;=0,Séries!S446=""),"",D447/Séries!S446-1)</f>
        <v/>
      </c>
      <c r="I447" s="22" t="str">
        <f>IF(OR($A447="",E447="",E447&lt;=0,Séries!T446=""),"",E447/Séries!T446-1)</f>
        <v/>
      </c>
      <c r="J447" s="27"/>
      <c r="K447" s="1" t="str">
        <f>IF(COUNTA(A447:E447)=0,"",IF(A447="","Preencha a data",IF(NOT(ISNUMBER(A447)),"Data inválida",IF(OR(A447&lt;36526,A447&gt;73050,A447&lt;&gt;INT(A447)),"Data inválida",IF(A447&lt;=Séries!U446,"Data repetida / fora de ordem",IF(COUNTA(B447:E447)&lt;&gt;COUNT(B447:E447),"Use preços numéricos",IF(OR(AND(ISNUMBER(B447),B447&lt;=0),AND(ISNUMBER(C447),C447&lt;=0),AND(ISNUMBER(D447),D447&lt;=0),AND(ISNUMBER(E447),E447&lt;=0)),"Use preços positivos","")))))))</f>
        <v/>
      </c>
    </row>
    <row r="448" spans="1:11" ht="22.95" customHeight="1">
      <c r="A448" s="28"/>
      <c r="B448" s="29"/>
      <c r="C448" s="29"/>
      <c r="D448" s="29"/>
      <c r="E448" s="30"/>
      <c r="F448" s="22" t="str">
        <f>IF(OR($A448="",B448="",B448&lt;=0,Séries!Q447=""),"",B448/Séries!Q447-1)</f>
        <v/>
      </c>
      <c r="G448" s="22" t="str">
        <f>IF(OR($A448="",C448="",C448&lt;=0,Séries!R447=""),"",C448/Séries!R447-1)</f>
        <v/>
      </c>
      <c r="H448" s="22" t="str">
        <f>IF(OR($A448="",D448="",D448&lt;=0,Séries!S447=""),"",D448/Séries!S447-1)</f>
        <v/>
      </c>
      <c r="I448" s="22" t="str">
        <f>IF(OR($A448="",E448="",E448&lt;=0,Séries!T447=""),"",E448/Séries!T447-1)</f>
        <v/>
      </c>
      <c r="J448" s="27"/>
      <c r="K448" s="1" t="str">
        <f>IF(COUNTA(A448:E448)=0,"",IF(A448="","Preencha a data",IF(NOT(ISNUMBER(A448)),"Data inválida",IF(OR(A448&lt;36526,A448&gt;73050,A448&lt;&gt;INT(A448)),"Data inválida",IF(A448&lt;=Séries!U447,"Data repetida / fora de ordem",IF(COUNTA(B448:E448)&lt;&gt;COUNT(B448:E448),"Use preços numéricos",IF(OR(AND(ISNUMBER(B448),B448&lt;=0),AND(ISNUMBER(C448),C448&lt;=0),AND(ISNUMBER(D448),D448&lt;=0),AND(ISNUMBER(E448),E448&lt;=0)),"Use preços positivos","")))))))</f>
        <v/>
      </c>
    </row>
    <row r="449" spans="1:11" ht="22.95" customHeight="1">
      <c r="A449" s="28"/>
      <c r="B449" s="29"/>
      <c r="C449" s="29"/>
      <c r="D449" s="29"/>
      <c r="E449" s="30"/>
      <c r="F449" s="22" t="str">
        <f>IF(OR($A449="",B449="",B449&lt;=0,Séries!Q448=""),"",B449/Séries!Q448-1)</f>
        <v/>
      </c>
      <c r="G449" s="22" t="str">
        <f>IF(OR($A449="",C449="",C449&lt;=0,Séries!R448=""),"",C449/Séries!R448-1)</f>
        <v/>
      </c>
      <c r="H449" s="22" t="str">
        <f>IF(OR($A449="",D449="",D449&lt;=0,Séries!S448=""),"",D449/Séries!S448-1)</f>
        <v/>
      </c>
      <c r="I449" s="22" t="str">
        <f>IF(OR($A449="",E449="",E449&lt;=0,Séries!T448=""),"",E449/Séries!T448-1)</f>
        <v/>
      </c>
      <c r="J449" s="27"/>
      <c r="K449" s="1" t="str">
        <f>IF(COUNTA(A449:E449)=0,"",IF(A449="","Preencha a data",IF(NOT(ISNUMBER(A449)),"Data inválida",IF(OR(A449&lt;36526,A449&gt;73050,A449&lt;&gt;INT(A449)),"Data inválida",IF(A449&lt;=Séries!U448,"Data repetida / fora de ordem",IF(COUNTA(B449:E449)&lt;&gt;COUNT(B449:E449),"Use preços numéricos",IF(OR(AND(ISNUMBER(B449),B449&lt;=0),AND(ISNUMBER(C449),C449&lt;=0),AND(ISNUMBER(D449),D449&lt;=0),AND(ISNUMBER(E449),E449&lt;=0)),"Use preços positivos","")))))))</f>
        <v/>
      </c>
    </row>
    <row r="450" spans="1:11" ht="22.95" customHeight="1">
      <c r="A450" s="28"/>
      <c r="B450" s="29"/>
      <c r="C450" s="29"/>
      <c r="D450" s="29"/>
      <c r="E450" s="30"/>
      <c r="F450" s="22" t="str">
        <f>IF(OR($A450="",B450="",B450&lt;=0,Séries!Q449=""),"",B450/Séries!Q449-1)</f>
        <v/>
      </c>
      <c r="G450" s="22" t="str">
        <f>IF(OR($A450="",C450="",C450&lt;=0,Séries!R449=""),"",C450/Séries!R449-1)</f>
        <v/>
      </c>
      <c r="H450" s="22" t="str">
        <f>IF(OR($A450="",D450="",D450&lt;=0,Séries!S449=""),"",D450/Séries!S449-1)</f>
        <v/>
      </c>
      <c r="I450" s="22" t="str">
        <f>IF(OR($A450="",E450="",E450&lt;=0,Séries!T449=""),"",E450/Séries!T449-1)</f>
        <v/>
      </c>
      <c r="J450" s="27"/>
      <c r="K450" s="1" t="str">
        <f>IF(COUNTA(A450:E450)=0,"",IF(A450="","Preencha a data",IF(NOT(ISNUMBER(A450)),"Data inválida",IF(OR(A450&lt;36526,A450&gt;73050,A450&lt;&gt;INT(A450)),"Data inválida",IF(A450&lt;=Séries!U449,"Data repetida / fora de ordem",IF(COUNTA(B450:E450)&lt;&gt;COUNT(B450:E450),"Use preços numéricos",IF(OR(AND(ISNUMBER(B450),B450&lt;=0),AND(ISNUMBER(C450),C450&lt;=0),AND(ISNUMBER(D450),D450&lt;=0),AND(ISNUMBER(E450),E450&lt;=0)),"Use preços positivos","")))))))</f>
        <v/>
      </c>
    </row>
    <row r="451" spans="1:11" ht="22.95" customHeight="1">
      <c r="A451" s="28"/>
      <c r="B451" s="29"/>
      <c r="C451" s="29"/>
      <c r="D451" s="29"/>
      <c r="E451" s="30"/>
      <c r="F451" s="22" t="str">
        <f>IF(OR($A451="",B451="",B451&lt;=0,Séries!Q450=""),"",B451/Séries!Q450-1)</f>
        <v/>
      </c>
      <c r="G451" s="22" t="str">
        <f>IF(OR($A451="",C451="",C451&lt;=0,Séries!R450=""),"",C451/Séries!R450-1)</f>
        <v/>
      </c>
      <c r="H451" s="22" t="str">
        <f>IF(OR($A451="",D451="",D451&lt;=0,Séries!S450=""),"",D451/Séries!S450-1)</f>
        <v/>
      </c>
      <c r="I451" s="22" t="str">
        <f>IF(OR($A451="",E451="",E451&lt;=0,Séries!T450=""),"",E451/Séries!T450-1)</f>
        <v/>
      </c>
      <c r="J451" s="27"/>
      <c r="K451" s="1" t="str">
        <f>IF(COUNTA(A451:E451)=0,"",IF(A451="","Preencha a data",IF(NOT(ISNUMBER(A451)),"Data inválida",IF(OR(A451&lt;36526,A451&gt;73050,A451&lt;&gt;INT(A451)),"Data inválida",IF(A451&lt;=Séries!U450,"Data repetida / fora de ordem",IF(COUNTA(B451:E451)&lt;&gt;COUNT(B451:E451),"Use preços numéricos",IF(OR(AND(ISNUMBER(B451),B451&lt;=0),AND(ISNUMBER(C451),C451&lt;=0),AND(ISNUMBER(D451),D451&lt;=0),AND(ISNUMBER(E451),E451&lt;=0)),"Use preços positivos","")))))))</f>
        <v/>
      </c>
    </row>
    <row r="452" spans="1:11" ht="22.95" customHeight="1">
      <c r="A452" s="28"/>
      <c r="B452" s="29"/>
      <c r="C452" s="29"/>
      <c r="D452" s="29"/>
      <c r="E452" s="30"/>
      <c r="F452" s="22" t="str">
        <f>IF(OR($A452="",B452="",B452&lt;=0,Séries!Q451=""),"",B452/Séries!Q451-1)</f>
        <v/>
      </c>
      <c r="G452" s="22" t="str">
        <f>IF(OR($A452="",C452="",C452&lt;=0,Séries!R451=""),"",C452/Séries!R451-1)</f>
        <v/>
      </c>
      <c r="H452" s="22" t="str">
        <f>IF(OR($A452="",D452="",D452&lt;=0,Séries!S451=""),"",D452/Séries!S451-1)</f>
        <v/>
      </c>
      <c r="I452" s="22" t="str">
        <f>IF(OR($A452="",E452="",E452&lt;=0,Séries!T451=""),"",E452/Séries!T451-1)</f>
        <v/>
      </c>
      <c r="J452" s="27"/>
      <c r="K452" s="1" t="str">
        <f>IF(COUNTA(A452:E452)=0,"",IF(A452="","Preencha a data",IF(NOT(ISNUMBER(A452)),"Data inválida",IF(OR(A452&lt;36526,A452&gt;73050,A452&lt;&gt;INT(A452)),"Data inválida",IF(A452&lt;=Séries!U451,"Data repetida / fora de ordem",IF(COUNTA(B452:E452)&lt;&gt;COUNT(B452:E452),"Use preços numéricos",IF(OR(AND(ISNUMBER(B452),B452&lt;=0),AND(ISNUMBER(C452),C452&lt;=0),AND(ISNUMBER(D452),D452&lt;=0),AND(ISNUMBER(E452),E452&lt;=0)),"Use preços positivos","")))))))</f>
        <v/>
      </c>
    </row>
    <row r="453" spans="1:11" ht="22.95" customHeight="1">
      <c r="A453" s="28"/>
      <c r="B453" s="29"/>
      <c r="C453" s="29"/>
      <c r="D453" s="29"/>
      <c r="E453" s="30"/>
      <c r="F453" s="22" t="str">
        <f>IF(OR($A453="",B453="",B453&lt;=0,Séries!Q452=""),"",B453/Séries!Q452-1)</f>
        <v/>
      </c>
      <c r="G453" s="22" t="str">
        <f>IF(OR($A453="",C453="",C453&lt;=0,Séries!R452=""),"",C453/Séries!R452-1)</f>
        <v/>
      </c>
      <c r="H453" s="22" t="str">
        <f>IF(OR($A453="",D453="",D453&lt;=0,Séries!S452=""),"",D453/Séries!S452-1)</f>
        <v/>
      </c>
      <c r="I453" s="22" t="str">
        <f>IF(OR($A453="",E453="",E453&lt;=0,Séries!T452=""),"",E453/Séries!T452-1)</f>
        <v/>
      </c>
      <c r="J453" s="27"/>
      <c r="K453" s="1" t="str">
        <f>IF(COUNTA(A453:E453)=0,"",IF(A453="","Preencha a data",IF(NOT(ISNUMBER(A453)),"Data inválida",IF(OR(A453&lt;36526,A453&gt;73050,A453&lt;&gt;INT(A453)),"Data inválida",IF(A453&lt;=Séries!U452,"Data repetida / fora de ordem",IF(COUNTA(B453:E453)&lt;&gt;COUNT(B453:E453),"Use preços numéricos",IF(OR(AND(ISNUMBER(B453),B453&lt;=0),AND(ISNUMBER(C453),C453&lt;=0),AND(ISNUMBER(D453),D453&lt;=0),AND(ISNUMBER(E453),E453&lt;=0)),"Use preços positivos","")))))))</f>
        <v/>
      </c>
    </row>
    <row r="454" spans="1:11" ht="22.95" customHeight="1">
      <c r="A454" s="28"/>
      <c r="B454" s="29"/>
      <c r="C454" s="29"/>
      <c r="D454" s="29"/>
      <c r="E454" s="30"/>
      <c r="F454" s="22" t="str">
        <f>IF(OR($A454="",B454="",B454&lt;=0,Séries!Q453=""),"",B454/Séries!Q453-1)</f>
        <v/>
      </c>
      <c r="G454" s="22" t="str">
        <f>IF(OR($A454="",C454="",C454&lt;=0,Séries!R453=""),"",C454/Séries!R453-1)</f>
        <v/>
      </c>
      <c r="H454" s="22" t="str">
        <f>IF(OR($A454="",D454="",D454&lt;=0,Séries!S453=""),"",D454/Séries!S453-1)</f>
        <v/>
      </c>
      <c r="I454" s="22" t="str">
        <f>IF(OR($A454="",E454="",E454&lt;=0,Séries!T453=""),"",E454/Séries!T453-1)</f>
        <v/>
      </c>
      <c r="J454" s="27"/>
      <c r="K454" s="1" t="str">
        <f>IF(COUNTA(A454:E454)=0,"",IF(A454="","Preencha a data",IF(NOT(ISNUMBER(A454)),"Data inválida",IF(OR(A454&lt;36526,A454&gt;73050,A454&lt;&gt;INT(A454)),"Data inválida",IF(A454&lt;=Séries!U453,"Data repetida / fora de ordem",IF(COUNTA(B454:E454)&lt;&gt;COUNT(B454:E454),"Use preços numéricos",IF(OR(AND(ISNUMBER(B454),B454&lt;=0),AND(ISNUMBER(C454),C454&lt;=0),AND(ISNUMBER(D454),D454&lt;=0),AND(ISNUMBER(E454),E454&lt;=0)),"Use preços positivos","")))))))</f>
        <v/>
      </c>
    </row>
    <row r="455" spans="1:11" ht="22.95" customHeight="1">
      <c r="A455" s="28"/>
      <c r="B455" s="29"/>
      <c r="C455" s="29"/>
      <c r="D455" s="29"/>
      <c r="E455" s="30"/>
      <c r="F455" s="22" t="str">
        <f>IF(OR($A455="",B455="",B455&lt;=0,Séries!Q454=""),"",B455/Séries!Q454-1)</f>
        <v/>
      </c>
      <c r="G455" s="22" t="str">
        <f>IF(OR($A455="",C455="",C455&lt;=0,Séries!R454=""),"",C455/Séries!R454-1)</f>
        <v/>
      </c>
      <c r="H455" s="22" t="str">
        <f>IF(OR($A455="",D455="",D455&lt;=0,Séries!S454=""),"",D455/Séries!S454-1)</f>
        <v/>
      </c>
      <c r="I455" s="22" t="str">
        <f>IF(OR($A455="",E455="",E455&lt;=0,Séries!T454=""),"",E455/Séries!T454-1)</f>
        <v/>
      </c>
      <c r="J455" s="27"/>
      <c r="K455" s="1" t="str">
        <f>IF(COUNTA(A455:E455)=0,"",IF(A455="","Preencha a data",IF(NOT(ISNUMBER(A455)),"Data inválida",IF(OR(A455&lt;36526,A455&gt;73050,A455&lt;&gt;INT(A455)),"Data inválida",IF(A455&lt;=Séries!U454,"Data repetida / fora de ordem",IF(COUNTA(B455:E455)&lt;&gt;COUNT(B455:E455),"Use preços numéricos",IF(OR(AND(ISNUMBER(B455),B455&lt;=0),AND(ISNUMBER(C455),C455&lt;=0),AND(ISNUMBER(D455),D455&lt;=0),AND(ISNUMBER(E455),E455&lt;=0)),"Use preços positivos","")))))))</f>
        <v/>
      </c>
    </row>
    <row r="456" spans="1:11" ht="22.95" customHeight="1">
      <c r="A456" s="28"/>
      <c r="B456" s="29"/>
      <c r="C456" s="29"/>
      <c r="D456" s="29"/>
      <c r="E456" s="30"/>
      <c r="F456" s="22" t="str">
        <f>IF(OR($A456="",B456="",B456&lt;=0,Séries!Q455=""),"",B456/Séries!Q455-1)</f>
        <v/>
      </c>
      <c r="G456" s="22" t="str">
        <f>IF(OR($A456="",C456="",C456&lt;=0,Séries!R455=""),"",C456/Séries!R455-1)</f>
        <v/>
      </c>
      <c r="H456" s="22" t="str">
        <f>IF(OR($A456="",D456="",D456&lt;=0,Séries!S455=""),"",D456/Séries!S455-1)</f>
        <v/>
      </c>
      <c r="I456" s="22" t="str">
        <f>IF(OR($A456="",E456="",E456&lt;=0,Séries!T455=""),"",E456/Séries!T455-1)</f>
        <v/>
      </c>
      <c r="J456" s="27"/>
      <c r="K456" s="1" t="str">
        <f>IF(COUNTA(A456:E456)=0,"",IF(A456="","Preencha a data",IF(NOT(ISNUMBER(A456)),"Data inválida",IF(OR(A456&lt;36526,A456&gt;73050,A456&lt;&gt;INT(A456)),"Data inválida",IF(A456&lt;=Séries!U455,"Data repetida / fora de ordem",IF(COUNTA(B456:E456)&lt;&gt;COUNT(B456:E456),"Use preços numéricos",IF(OR(AND(ISNUMBER(B456),B456&lt;=0),AND(ISNUMBER(C456),C456&lt;=0),AND(ISNUMBER(D456),D456&lt;=0),AND(ISNUMBER(E456),E456&lt;=0)),"Use preços positivos","")))))))</f>
        <v/>
      </c>
    </row>
    <row r="457" spans="1:11" ht="22.95" customHeight="1">
      <c r="A457" s="28"/>
      <c r="B457" s="29"/>
      <c r="C457" s="29"/>
      <c r="D457" s="29"/>
      <c r="E457" s="30"/>
      <c r="F457" s="22" t="str">
        <f>IF(OR($A457="",B457="",B457&lt;=0,Séries!Q456=""),"",B457/Séries!Q456-1)</f>
        <v/>
      </c>
      <c r="G457" s="22" t="str">
        <f>IF(OR($A457="",C457="",C457&lt;=0,Séries!R456=""),"",C457/Séries!R456-1)</f>
        <v/>
      </c>
      <c r="H457" s="22" t="str">
        <f>IF(OR($A457="",D457="",D457&lt;=0,Séries!S456=""),"",D457/Séries!S456-1)</f>
        <v/>
      </c>
      <c r="I457" s="22" t="str">
        <f>IF(OR($A457="",E457="",E457&lt;=0,Séries!T456=""),"",E457/Séries!T456-1)</f>
        <v/>
      </c>
      <c r="J457" s="27"/>
      <c r="K457" s="1" t="str">
        <f>IF(COUNTA(A457:E457)=0,"",IF(A457="","Preencha a data",IF(NOT(ISNUMBER(A457)),"Data inválida",IF(OR(A457&lt;36526,A457&gt;73050,A457&lt;&gt;INT(A457)),"Data inválida",IF(A457&lt;=Séries!U456,"Data repetida / fora de ordem",IF(COUNTA(B457:E457)&lt;&gt;COUNT(B457:E457),"Use preços numéricos",IF(OR(AND(ISNUMBER(B457),B457&lt;=0),AND(ISNUMBER(C457),C457&lt;=0),AND(ISNUMBER(D457),D457&lt;=0),AND(ISNUMBER(E457),E457&lt;=0)),"Use preços positivos","")))))))</f>
        <v/>
      </c>
    </row>
    <row r="458" spans="1:11" ht="22.95" customHeight="1">
      <c r="A458" s="28"/>
      <c r="B458" s="29"/>
      <c r="C458" s="29"/>
      <c r="D458" s="29"/>
      <c r="E458" s="30"/>
      <c r="F458" s="22" t="str">
        <f>IF(OR($A458="",B458="",B458&lt;=0,Séries!Q457=""),"",B458/Séries!Q457-1)</f>
        <v/>
      </c>
      <c r="G458" s="22" t="str">
        <f>IF(OR($A458="",C458="",C458&lt;=0,Séries!R457=""),"",C458/Séries!R457-1)</f>
        <v/>
      </c>
      <c r="H458" s="22" t="str">
        <f>IF(OR($A458="",D458="",D458&lt;=0,Séries!S457=""),"",D458/Séries!S457-1)</f>
        <v/>
      </c>
      <c r="I458" s="22" t="str">
        <f>IF(OR($A458="",E458="",E458&lt;=0,Séries!T457=""),"",E458/Séries!T457-1)</f>
        <v/>
      </c>
      <c r="J458" s="27"/>
      <c r="K458" s="1" t="str">
        <f>IF(COUNTA(A458:E458)=0,"",IF(A458="","Preencha a data",IF(NOT(ISNUMBER(A458)),"Data inválida",IF(OR(A458&lt;36526,A458&gt;73050,A458&lt;&gt;INT(A458)),"Data inválida",IF(A458&lt;=Séries!U457,"Data repetida / fora de ordem",IF(COUNTA(B458:E458)&lt;&gt;COUNT(B458:E458),"Use preços numéricos",IF(OR(AND(ISNUMBER(B458),B458&lt;=0),AND(ISNUMBER(C458),C458&lt;=0),AND(ISNUMBER(D458),D458&lt;=0),AND(ISNUMBER(E458),E458&lt;=0)),"Use preços positivos","")))))))</f>
        <v/>
      </c>
    </row>
    <row r="459" spans="1:11" ht="22.95" customHeight="1">
      <c r="A459" s="28"/>
      <c r="B459" s="29"/>
      <c r="C459" s="29"/>
      <c r="D459" s="29"/>
      <c r="E459" s="30"/>
      <c r="F459" s="22" t="str">
        <f>IF(OR($A459="",B459="",B459&lt;=0,Séries!Q458=""),"",B459/Séries!Q458-1)</f>
        <v/>
      </c>
      <c r="G459" s="22" t="str">
        <f>IF(OR($A459="",C459="",C459&lt;=0,Séries!R458=""),"",C459/Séries!R458-1)</f>
        <v/>
      </c>
      <c r="H459" s="22" t="str">
        <f>IF(OR($A459="",D459="",D459&lt;=0,Séries!S458=""),"",D459/Séries!S458-1)</f>
        <v/>
      </c>
      <c r="I459" s="22" t="str">
        <f>IF(OR($A459="",E459="",E459&lt;=0,Séries!T458=""),"",E459/Séries!T458-1)</f>
        <v/>
      </c>
      <c r="J459" s="27"/>
      <c r="K459" s="1" t="str">
        <f>IF(COUNTA(A459:E459)=0,"",IF(A459="","Preencha a data",IF(NOT(ISNUMBER(A459)),"Data inválida",IF(OR(A459&lt;36526,A459&gt;73050,A459&lt;&gt;INT(A459)),"Data inválida",IF(A459&lt;=Séries!U458,"Data repetida / fora de ordem",IF(COUNTA(B459:E459)&lt;&gt;COUNT(B459:E459),"Use preços numéricos",IF(OR(AND(ISNUMBER(B459),B459&lt;=0),AND(ISNUMBER(C459),C459&lt;=0),AND(ISNUMBER(D459),D459&lt;=0),AND(ISNUMBER(E459),E459&lt;=0)),"Use preços positivos","")))))))</f>
        <v/>
      </c>
    </row>
    <row r="460" spans="1:11" ht="22.95" customHeight="1">
      <c r="A460" s="28"/>
      <c r="B460" s="29"/>
      <c r="C460" s="29"/>
      <c r="D460" s="29"/>
      <c r="E460" s="30"/>
      <c r="F460" s="22" t="str">
        <f>IF(OR($A460="",B460="",B460&lt;=0,Séries!Q459=""),"",B460/Séries!Q459-1)</f>
        <v/>
      </c>
      <c r="G460" s="22" t="str">
        <f>IF(OR($A460="",C460="",C460&lt;=0,Séries!R459=""),"",C460/Séries!R459-1)</f>
        <v/>
      </c>
      <c r="H460" s="22" t="str">
        <f>IF(OR($A460="",D460="",D460&lt;=0,Séries!S459=""),"",D460/Séries!S459-1)</f>
        <v/>
      </c>
      <c r="I460" s="22" t="str">
        <f>IF(OR($A460="",E460="",E460&lt;=0,Séries!T459=""),"",E460/Séries!T459-1)</f>
        <v/>
      </c>
      <c r="J460" s="27"/>
      <c r="K460" s="1" t="str">
        <f>IF(COUNTA(A460:E460)=0,"",IF(A460="","Preencha a data",IF(NOT(ISNUMBER(A460)),"Data inválida",IF(OR(A460&lt;36526,A460&gt;73050,A460&lt;&gt;INT(A460)),"Data inválida",IF(A460&lt;=Séries!U459,"Data repetida / fora de ordem",IF(COUNTA(B460:E460)&lt;&gt;COUNT(B460:E460),"Use preços numéricos",IF(OR(AND(ISNUMBER(B460),B460&lt;=0),AND(ISNUMBER(C460),C460&lt;=0),AND(ISNUMBER(D460),D460&lt;=0),AND(ISNUMBER(E460),E460&lt;=0)),"Use preços positivos","")))))))</f>
        <v/>
      </c>
    </row>
    <row r="461" spans="1:11" ht="22.95" customHeight="1">
      <c r="A461" s="28"/>
      <c r="B461" s="29"/>
      <c r="C461" s="29"/>
      <c r="D461" s="29"/>
      <c r="E461" s="30"/>
      <c r="F461" s="22" t="str">
        <f>IF(OR($A461="",B461="",B461&lt;=0,Séries!Q460=""),"",B461/Séries!Q460-1)</f>
        <v/>
      </c>
      <c r="G461" s="22" t="str">
        <f>IF(OR($A461="",C461="",C461&lt;=0,Séries!R460=""),"",C461/Séries!R460-1)</f>
        <v/>
      </c>
      <c r="H461" s="22" t="str">
        <f>IF(OR($A461="",D461="",D461&lt;=0,Séries!S460=""),"",D461/Séries!S460-1)</f>
        <v/>
      </c>
      <c r="I461" s="22" t="str">
        <f>IF(OR($A461="",E461="",E461&lt;=0,Séries!T460=""),"",E461/Séries!T460-1)</f>
        <v/>
      </c>
      <c r="J461" s="27"/>
      <c r="K461" s="1" t="str">
        <f>IF(COUNTA(A461:E461)=0,"",IF(A461="","Preencha a data",IF(NOT(ISNUMBER(A461)),"Data inválida",IF(OR(A461&lt;36526,A461&gt;73050,A461&lt;&gt;INT(A461)),"Data inválida",IF(A461&lt;=Séries!U460,"Data repetida / fora de ordem",IF(COUNTA(B461:E461)&lt;&gt;COUNT(B461:E461),"Use preços numéricos",IF(OR(AND(ISNUMBER(B461),B461&lt;=0),AND(ISNUMBER(C461),C461&lt;=0),AND(ISNUMBER(D461),D461&lt;=0),AND(ISNUMBER(E461),E461&lt;=0)),"Use preços positivos","")))))))</f>
        <v/>
      </c>
    </row>
    <row r="462" spans="1:11" ht="22.95" customHeight="1">
      <c r="A462" s="28"/>
      <c r="B462" s="29"/>
      <c r="C462" s="29"/>
      <c r="D462" s="29"/>
      <c r="E462" s="30"/>
      <c r="F462" s="22" t="str">
        <f>IF(OR($A462="",B462="",B462&lt;=0,Séries!Q461=""),"",B462/Séries!Q461-1)</f>
        <v/>
      </c>
      <c r="G462" s="22" t="str">
        <f>IF(OR($A462="",C462="",C462&lt;=0,Séries!R461=""),"",C462/Séries!R461-1)</f>
        <v/>
      </c>
      <c r="H462" s="22" t="str">
        <f>IF(OR($A462="",D462="",D462&lt;=0,Séries!S461=""),"",D462/Séries!S461-1)</f>
        <v/>
      </c>
      <c r="I462" s="22" t="str">
        <f>IF(OR($A462="",E462="",E462&lt;=0,Séries!T461=""),"",E462/Séries!T461-1)</f>
        <v/>
      </c>
      <c r="J462" s="27"/>
      <c r="K462" s="1" t="str">
        <f>IF(COUNTA(A462:E462)=0,"",IF(A462="","Preencha a data",IF(NOT(ISNUMBER(A462)),"Data inválida",IF(OR(A462&lt;36526,A462&gt;73050,A462&lt;&gt;INT(A462)),"Data inválida",IF(A462&lt;=Séries!U461,"Data repetida / fora de ordem",IF(COUNTA(B462:E462)&lt;&gt;COUNT(B462:E462),"Use preços numéricos",IF(OR(AND(ISNUMBER(B462),B462&lt;=0),AND(ISNUMBER(C462),C462&lt;=0),AND(ISNUMBER(D462),D462&lt;=0),AND(ISNUMBER(E462),E462&lt;=0)),"Use preços positivos","")))))))</f>
        <v/>
      </c>
    </row>
    <row r="463" spans="1:11" ht="22.95" customHeight="1">
      <c r="A463" s="28"/>
      <c r="B463" s="29"/>
      <c r="C463" s="29"/>
      <c r="D463" s="29"/>
      <c r="E463" s="30"/>
      <c r="F463" s="22" t="str">
        <f>IF(OR($A463="",B463="",B463&lt;=0,Séries!Q462=""),"",B463/Séries!Q462-1)</f>
        <v/>
      </c>
      <c r="G463" s="22" t="str">
        <f>IF(OR($A463="",C463="",C463&lt;=0,Séries!R462=""),"",C463/Séries!R462-1)</f>
        <v/>
      </c>
      <c r="H463" s="22" t="str">
        <f>IF(OR($A463="",D463="",D463&lt;=0,Séries!S462=""),"",D463/Séries!S462-1)</f>
        <v/>
      </c>
      <c r="I463" s="22" t="str">
        <f>IF(OR($A463="",E463="",E463&lt;=0,Séries!T462=""),"",E463/Séries!T462-1)</f>
        <v/>
      </c>
      <c r="J463" s="27"/>
      <c r="K463" s="1" t="str">
        <f>IF(COUNTA(A463:E463)=0,"",IF(A463="","Preencha a data",IF(NOT(ISNUMBER(A463)),"Data inválida",IF(OR(A463&lt;36526,A463&gt;73050,A463&lt;&gt;INT(A463)),"Data inválida",IF(A463&lt;=Séries!U462,"Data repetida / fora de ordem",IF(COUNTA(B463:E463)&lt;&gt;COUNT(B463:E463),"Use preços numéricos",IF(OR(AND(ISNUMBER(B463),B463&lt;=0),AND(ISNUMBER(C463),C463&lt;=0),AND(ISNUMBER(D463),D463&lt;=0),AND(ISNUMBER(E463),E463&lt;=0)),"Use preços positivos","")))))))</f>
        <v/>
      </c>
    </row>
    <row r="464" spans="1:11" ht="22.95" customHeight="1">
      <c r="A464" s="28"/>
      <c r="B464" s="29"/>
      <c r="C464" s="29"/>
      <c r="D464" s="29"/>
      <c r="E464" s="30"/>
      <c r="F464" s="22" t="str">
        <f>IF(OR($A464="",B464="",B464&lt;=0,Séries!Q463=""),"",B464/Séries!Q463-1)</f>
        <v/>
      </c>
      <c r="G464" s="22" t="str">
        <f>IF(OR($A464="",C464="",C464&lt;=0,Séries!R463=""),"",C464/Séries!R463-1)</f>
        <v/>
      </c>
      <c r="H464" s="22" t="str">
        <f>IF(OR($A464="",D464="",D464&lt;=0,Séries!S463=""),"",D464/Séries!S463-1)</f>
        <v/>
      </c>
      <c r="I464" s="22" t="str">
        <f>IF(OR($A464="",E464="",E464&lt;=0,Séries!T463=""),"",E464/Séries!T463-1)</f>
        <v/>
      </c>
      <c r="J464" s="27"/>
      <c r="K464" s="1" t="str">
        <f>IF(COUNTA(A464:E464)=0,"",IF(A464="","Preencha a data",IF(NOT(ISNUMBER(A464)),"Data inválida",IF(OR(A464&lt;36526,A464&gt;73050,A464&lt;&gt;INT(A464)),"Data inválida",IF(A464&lt;=Séries!U463,"Data repetida / fora de ordem",IF(COUNTA(B464:E464)&lt;&gt;COUNT(B464:E464),"Use preços numéricos",IF(OR(AND(ISNUMBER(B464),B464&lt;=0),AND(ISNUMBER(C464),C464&lt;=0),AND(ISNUMBER(D464),D464&lt;=0),AND(ISNUMBER(E464),E464&lt;=0)),"Use preços positivos","")))))))</f>
        <v/>
      </c>
    </row>
    <row r="465" spans="1:11" ht="22.95" customHeight="1">
      <c r="A465" s="28"/>
      <c r="B465" s="29"/>
      <c r="C465" s="29"/>
      <c r="D465" s="29"/>
      <c r="E465" s="30"/>
      <c r="F465" s="22" t="str">
        <f>IF(OR($A465="",B465="",B465&lt;=0,Séries!Q464=""),"",B465/Séries!Q464-1)</f>
        <v/>
      </c>
      <c r="G465" s="22" t="str">
        <f>IF(OR($A465="",C465="",C465&lt;=0,Séries!R464=""),"",C465/Séries!R464-1)</f>
        <v/>
      </c>
      <c r="H465" s="22" t="str">
        <f>IF(OR($A465="",D465="",D465&lt;=0,Séries!S464=""),"",D465/Séries!S464-1)</f>
        <v/>
      </c>
      <c r="I465" s="22" t="str">
        <f>IF(OR($A465="",E465="",E465&lt;=0,Séries!T464=""),"",E465/Séries!T464-1)</f>
        <v/>
      </c>
      <c r="J465" s="27"/>
      <c r="K465" s="1" t="str">
        <f>IF(COUNTA(A465:E465)=0,"",IF(A465="","Preencha a data",IF(NOT(ISNUMBER(A465)),"Data inválida",IF(OR(A465&lt;36526,A465&gt;73050,A465&lt;&gt;INT(A465)),"Data inválida",IF(A465&lt;=Séries!U464,"Data repetida / fora de ordem",IF(COUNTA(B465:E465)&lt;&gt;COUNT(B465:E465),"Use preços numéricos",IF(OR(AND(ISNUMBER(B465),B465&lt;=0),AND(ISNUMBER(C465),C465&lt;=0),AND(ISNUMBER(D465),D465&lt;=0),AND(ISNUMBER(E465),E465&lt;=0)),"Use preços positivos","")))))))</f>
        <v/>
      </c>
    </row>
    <row r="466" spans="1:11" ht="22.95" customHeight="1">
      <c r="A466" s="28"/>
      <c r="B466" s="29"/>
      <c r="C466" s="29"/>
      <c r="D466" s="29"/>
      <c r="E466" s="30"/>
      <c r="F466" s="22" t="str">
        <f>IF(OR($A466="",B466="",B466&lt;=0,Séries!Q465=""),"",B466/Séries!Q465-1)</f>
        <v/>
      </c>
      <c r="G466" s="22" t="str">
        <f>IF(OR($A466="",C466="",C466&lt;=0,Séries!R465=""),"",C466/Séries!R465-1)</f>
        <v/>
      </c>
      <c r="H466" s="22" t="str">
        <f>IF(OR($A466="",D466="",D466&lt;=0,Séries!S465=""),"",D466/Séries!S465-1)</f>
        <v/>
      </c>
      <c r="I466" s="22" t="str">
        <f>IF(OR($A466="",E466="",E466&lt;=0,Séries!T465=""),"",E466/Séries!T465-1)</f>
        <v/>
      </c>
      <c r="J466" s="27"/>
      <c r="K466" s="1" t="str">
        <f>IF(COUNTA(A466:E466)=0,"",IF(A466="","Preencha a data",IF(NOT(ISNUMBER(A466)),"Data inválida",IF(OR(A466&lt;36526,A466&gt;73050,A466&lt;&gt;INT(A466)),"Data inválida",IF(A466&lt;=Séries!U465,"Data repetida / fora de ordem",IF(COUNTA(B466:E466)&lt;&gt;COUNT(B466:E466),"Use preços numéricos",IF(OR(AND(ISNUMBER(B466),B466&lt;=0),AND(ISNUMBER(C466),C466&lt;=0),AND(ISNUMBER(D466),D466&lt;=0),AND(ISNUMBER(E466),E466&lt;=0)),"Use preços positivos","")))))))</f>
        <v/>
      </c>
    </row>
    <row r="467" spans="1:11" ht="22.95" customHeight="1">
      <c r="A467" s="28"/>
      <c r="B467" s="29"/>
      <c r="C467" s="29"/>
      <c r="D467" s="29"/>
      <c r="E467" s="30"/>
      <c r="F467" s="22" t="str">
        <f>IF(OR($A467="",B467="",B467&lt;=0,Séries!Q466=""),"",B467/Séries!Q466-1)</f>
        <v/>
      </c>
      <c r="G467" s="22" t="str">
        <f>IF(OR($A467="",C467="",C467&lt;=0,Séries!R466=""),"",C467/Séries!R466-1)</f>
        <v/>
      </c>
      <c r="H467" s="22" t="str">
        <f>IF(OR($A467="",D467="",D467&lt;=0,Séries!S466=""),"",D467/Séries!S466-1)</f>
        <v/>
      </c>
      <c r="I467" s="22" t="str">
        <f>IF(OR($A467="",E467="",E467&lt;=0,Séries!T466=""),"",E467/Séries!T466-1)</f>
        <v/>
      </c>
      <c r="J467" s="27"/>
      <c r="K467" s="1" t="str">
        <f>IF(COUNTA(A467:E467)=0,"",IF(A467="","Preencha a data",IF(NOT(ISNUMBER(A467)),"Data inválida",IF(OR(A467&lt;36526,A467&gt;73050,A467&lt;&gt;INT(A467)),"Data inválida",IF(A467&lt;=Séries!U466,"Data repetida / fora de ordem",IF(COUNTA(B467:E467)&lt;&gt;COUNT(B467:E467),"Use preços numéricos",IF(OR(AND(ISNUMBER(B467),B467&lt;=0),AND(ISNUMBER(C467),C467&lt;=0),AND(ISNUMBER(D467),D467&lt;=0),AND(ISNUMBER(E467),E467&lt;=0)),"Use preços positivos","")))))))</f>
        <v/>
      </c>
    </row>
    <row r="468" spans="1:11" ht="22.95" customHeight="1">
      <c r="A468" s="28"/>
      <c r="B468" s="29"/>
      <c r="C468" s="29"/>
      <c r="D468" s="29"/>
      <c r="E468" s="30"/>
      <c r="F468" s="22" t="str">
        <f>IF(OR($A468="",B468="",B468&lt;=0,Séries!Q467=""),"",B468/Séries!Q467-1)</f>
        <v/>
      </c>
      <c r="G468" s="22" t="str">
        <f>IF(OR($A468="",C468="",C468&lt;=0,Séries!R467=""),"",C468/Séries!R467-1)</f>
        <v/>
      </c>
      <c r="H468" s="22" t="str">
        <f>IF(OR($A468="",D468="",D468&lt;=0,Séries!S467=""),"",D468/Séries!S467-1)</f>
        <v/>
      </c>
      <c r="I468" s="22" t="str">
        <f>IF(OR($A468="",E468="",E468&lt;=0,Séries!T467=""),"",E468/Séries!T467-1)</f>
        <v/>
      </c>
      <c r="J468" s="27"/>
      <c r="K468" s="1" t="str">
        <f>IF(COUNTA(A468:E468)=0,"",IF(A468="","Preencha a data",IF(NOT(ISNUMBER(A468)),"Data inválida",IF(OR(A468&lt;36526,A468&gt;73050,A468&lt;&gt;INT(A468)),"Data inválida",IF(A468&lt;=Séries!U467,"Data repetida / fora de ordem",IF(COUNTA(B468:E468)&lt;&gt;COUNT(B468:E468),"Use preços numéricos",IF(OR(AND(ISNUMBER(B468),B468&lt;=0),AND(ISNUMBER(C468),C468&lt;=0),AND(ISNUMBER(D468),D468&lt;=0),AND(ISNUMBER(E468),E468&lt;=0)),"Use preços positivos","")))))))</f>
        <v/>
      </c>
    </row>
    <row r="469" spans="1:11" ht="22.95" customHeight="1">
      <c r="A469" s="28"/>
      <c r="B469" s="29"/>
      <c r="C469" s="29"/>
      <c r="D469" s="29"/>
      <c r="E469" s="30"/>
      <c r="F469" s="22" t="str">
        <f>IF(OR($A469="",B469="",B469&lt;=0,Séries!Q468=""),"",B469/Séries!Q468-1)</f>
        <v/>
      </c>
      <c r="G469" s="22" t="str">
        <f>IF(OR($A469="",C469="",C469&lt;=0,Séries!R468=""),"",C469/Séries!R468-1)</f>
        <v/>
      </c>
      <c r="H469" s="22" t="str">
        <f>IF(OR($A469="",D469="",D469&lt;=0,Séries!S468=""),"",D469/Séries!S468-1)</f>
        <v/>
      </c>
      <c r="I469" s="22" t="str">
        <f>IF(OR($A469="",E469="",E469&lt;=0,Séries!T468=""),"",E469/Séries!T468-1)</f>
        <v/>
      </c>
      <c r="J469" s="27"/>
      <c r="K469" s="1" t="str">
        <f>IF(COUNTA(A469:E469)=0,"",IF(A469="","Preencha a data",IF(NOT(ISNUMBER(A469)),"Data inválida",IF(OR(A469&lt;36526,A469&gt;73050,A469&lt;&gt;INT(A469)),"Data inválida",IF(A469&lt;=Séries!U468,"Data repetida / fora de ordem",IF(COUNTA(B469:E469)&lt;&gt;COUNT(B469:E469),"Use preços numéricos",IF(OR(AND(ISNUMBER(B469),B469&lt;=0),AND(ISNUMBER(C469),C469&lt;=0),AND(ISNUMBER(D469),D469&lt;=0),AND(ISNUMBER(E469),E469&lt;=0)),"Use preços positivos","")))))))</f>
        <v/>
      </c>
    </row>
    <row r="470" spans="1:11" ht="22.95" customHeight="1">
      <c r="A470" s="28"/>
      <c r="B470" s="29"/>
      <c r="C470" s="29"/>
      <c r="D470" s="29"/>
      <c r="E470" s="30"/>
      <c r="F470" s="22" t="str">
        <f>IF(OR($A470="",B470="",B470&lt;=0,Séries!Q469=""),"",B470/Séries!Q469-1)</f>
        <v/>
      </c>
      <c r="G470" s="22" t="str">
        <f>IF(OR($A470="",C470="",C470&lt;=0,Séries!R469=""),"",C470/Séries!R469-1)</f>
        <v/>
      </c>
      <c r="H470" s="22" t="str">
        <f>IF(OR($A470="",D470="",D470&lt;=0,Séries!S469=""),"",D470/Séries!S469-1)</f>
        <v/>
      </c>
      <c r="I470" s="22" t="str">
        <f>IF(OR($A470="",E470="",E470&lt;=0,Séries!T469=""),"",E470/Séries!T469-1)</f>
        <v/>
      </c>
      <c r="J470" s="27"/>
      <c r="K470" s="1" t="str">
        <f>IF(COUNTA(A470:E470)=0,"",IF(A470="","Preencha a data",IF(NOT(ISNUMBER(A470)),"Data inválida",IF(OR(A470&lt;36526,A470&gt;73050,A470&lt;&gt;INT(A470)),"Data inválida",IF(A470&lt;=Séries!U469,"Data repetida / fora de ordem",IF(COUNTA(B470:E470)&lt;&gt;COUNT(B470:E470),"Use preços numéricos",IF(OR(AND(ISNUMBER(B470),B470&lt;=0),AND(ISNUMBER(C470),C470&lt;=0),AND(ISNUMBER(D470),D470&lt;=0),AND(ISNUMBER(E470),E470&lt;=0)),"Use preços positivos","")))))))</f>
        <v/>
      </c>
    </row>
    <row r="471" spans="1:11" ht="22.95" customHeight="1">
      <c r="A471" s="28"/>
      <c r="B471" s="29"/>
      <c r="C471" s="29"/>
      <c r="D471" s="29"/>
      <c r="E471" s="30"/>
      <c r="F471" s="22" t="str">
        <f>IF(OR($A471="",B471="",B471&lt;=0,Séries!Q470=""),"",B471/Séries!Q470-1)</f>
        <v/>
      </c>
      <c r="G471" s="22" t="str">
        <f>IF(OR($A471="",C471="",C471&lt;=0,Séries!R470=""),"",C471/Séries!R470-1)</f>
        <v/>
      </c>
      <c r="H471" s="22" t="str">
        <f>IF(OR($A471="",D471="",D471&lt;=0,Séries!S470=""),"",D471/Séries!S470-1)</f>
        <v/>
      </c>
      <c r="I471" s="22" t="str">
        <f>IF(OR($A471="",E471="",E471&lt;=0,Séries!T470=""),"",E471/Séries!T470-1)</f>
        <v/>
      </c>
      <c r="J471" s="27"/>
      <c r="K471" s="1" t="str">
        <f>IF(COUNTA(A471:E471)=0,"",IF(A471="","Preencha a data",IF(NOT(ISNUMBER(A471)),"Data inválida",IF(OR(A471&lt;36526,A471&gt;73050,A471&lt;&gt;INT(A471)),"Data inválida",IF(A471&lt;=Séries!U470,"Data repetida / fora de ordem",IF(COUNTA(B471:E471)&lt;&gt;COUNT(B471:E471),"Use preços numéricos",IF(OR(AND(ISNUMBER(B471),B471&lt;=0),AND(ISNUMBER(C471),C471&lt;=0),AND(ISNUMBER(D471),D471&lt;=0),AND(ISNUMBER(E471),E471&lt;=0)),"Use preços positivos","")))))))</f>
        <v/>
      </c>
    </row>
    <row r="472" spans="1:11" ht="22.95" customHeight="1">
      <c r="A472" s="28"/>
      <c r="B472" s="29"/>
      <c r="C472" s="29"/>
      <c r="D472" s="29"/>
      <c r="E472" s="30"/>
      <c r="F472" s="22" t="str">
        <f>IF(OR($A472="",B472="",B472&lt;=0,Séries!Q471=""),"",B472/Séries!Q471-1)</f>
        <v/>
      </c>
      <c r="G472" s="22" t="str">
        <f>IF(OR($A472="",C472="",C472&lt;=0,Séries!R471=""),"",C472/Séries!R471-1)</f>
        <v/>
      </c>
      <c r="H472" s="22" t="str">
        <f>IF(OR($A472="",D472="",D472&lt;=0,Séries!S471=""),"",D472/Séries!S471-1)</f>
        <v/>
      </c>
      <c r="I472" s="22" t="str">
        <f>IF(OR($A472="",E472="",E472&lt;=0,Séries!T471=""),"",E472/Séries!T471-1)</f>
        <v/>
      </c>
      <c r="J472" s="27"/>
      <c r="K472" s="1" t="str">
        <f>IF(COUNTA(A472:E472)=0,"",IF(A472="","Preencha a data",IF(NOT(ISNUMBER(A472)),"Data inválida",IF(OR(A472&lt;36526,A472&gt;73050,A472&lt;&gt;INT(A472)),"Data inválida",IF(A472&lt;=Séries!U471,"Data repetida / fora de ordem",IF(COUNTA(B472:E472)&lt;&gt;COUNT(B472:E472),"Use preços numéricos",IF(OR(AND(ISNUMBER(B472),B472&lt;=0),AND(ISNUMBER(C472),C472&lt;=0),AND(ISNUMBER(D472),D472&lt;=0),AND(ISNUMBER(E472),E472&lt;=0)),"Use preços positivos","")))))))</f>
        <v/>
      </c>
    </row>
    <row r="473" spans="1:11" ht="22.95" customHeight="1">
      <c r="A473" s="28"/>
      <c r="B473" s="29"/>
      <c r="C473" s="29"/>
      <c r="D473" s="29"/>
      <c r="E473" s="30"/>
      <c r="F473" s="22" t="str">
        <f>IF(OR($A473="",B473="",B473&lt;=0,Séries!Q472=""),"",B473/Séries!Q472-1)</f>
        <v/>
      </c>
      <c r="G473" s="22" t="str">
        <f>IF(OR($A473="",C473="",C473&lt;=0,Séries!R472=""),"",C473/Séries!R472-1)</f>
        <v/>
      </c>
      <c r="H473" s="22" t="str">
        <f>IF(OR($A473="",D473="",D473&lt;=0,Séries!S472=""),"",D473/Séries!S472-1)</f>
        <v/>
      </c>
      <c r="I473" s="22" t="str">
        <f>IF(OR($A473="",E473="",E473&lt;=0,Séries!T472=""),"",E473/Séries!T472-1)</f>
        <v/>
      </c>
      <c r="J473" s="27"/>
      <c r="K473" s="1" t="str">
        <f>IF(COUNTA(A473:E473)=0,"",IF(A473="","Preencha a data",IF(NOT(ISNUMBER(A473)),"Data inválida",IF(OR(A473&lt;36526,A473&gt;73050,A473&lt;&gt;INT(A473)),"Data inválida",IF(A473&lt;=Séries!U472,"Data repetida / fora de ordem",IF(COUNTA(B473:E473)&lt;&gt;COUNT(B473:E473),"Use preços numéricos",IF(OR(AND(ISNUMBER(B473),B473&lt;=0),AND(ISNUMBER(C473),C473&lt;=0),AND(ISNUMBER(D473),D473&lt;=0),AND(ISNUMBER(E473),E473&lt;=0)),"Use preços positivos","")))))))</f>
        <v/>
      </c>
    </row>
    <row r="474" spans="1:11" ht="22.95" customHeight="1">
      <c r="A474" s="28"/>
      <c r="B474" s="29"/>
      <c r="C474" s="29"/>
      <c r="D474" s="29"/>
      <c r="E474" s="30"/>
      <c r="F474" s="22" t="str">
        <f>IF(OR($A474="",B474="",B474&lt;=0,Séries!Q473=""),"",B474/Séries!Q473-1)</f>
        <v/>
      </c>
      <c r="G474" s="22" t="str">
        <f>IF(OR($A474="",C474="",C474&lt;=0,Séries!R473=""),"",C474/Séries!R473-1)</f>
        <v/>
      </c>
      <c r="H474" s="22" t="str">
        <f>IF(OR($A474="",D474="",D474&lt;=0,Séries!S473=""),"",D474/Séries!S473-1)</f>
        <v/>
      </c>
      <c r="I474" s="22" t="str">
        <f>IF(OR($A474="",E474="",E474&lt;=0,Séries!T473=""),"",E474/Séries!T473-1)</f>
        <v/>
      </c>
      <c r="J474" s="27"/>
      <c r="K474" s="1" t="str">
        <f>IF(COUNTA(A474:E474)=0,"",IF(A474="","Preencha a data",IF(NOT(ISNUMBER(A474)),"Data inválida",IF(OR(A474&lt;36526,A474&gt;73050,A474&lt;&gt;INT(A474)),"Data inválida",IF(A474&lt;=Séries!U473,"Data repetida / fora de ordem",IF(COUNTA(B474:E474)&lt;&gt;COUNT(B474:E474),"Use preços numéricos",IF(OR(AND(ISNUMBER(B474),B474&lt;=0),AND(ISNUMBER(C474),C474&lt;=0),AND(ISNUMBER(D474),D474&lt;=0),AND(ISNUMBER(E474),E474&lt;=0)),"Use preços positivos","")))))))</f>
        <v/>
      </c>
    </row>
    <row r="475" spans="1:11" ht="22.95" customHeight="1">
      <c r="A475" s="28"/>
      <c r="B475" s="29"/>
      <c r="C475" s="29"/>
      <c r="D475" s="29"/>
      <c r="E475" s="30"/>
      <c r="F475" s="22" t="str">
        <f>IF(OR($A475="",B475="",B475&lt;=0,Séries!Q474=""),"",B475/Séries!Q474-1)</f>
        <v/>
      </c>
      <c r="G475" s="22" t="str">
        <f>IF(OR($A475="",C475="",C475&lt;=0,Séries!R474=""),"",C475/Séries!R474-1)</f>
        <v/>
      </c>
      <c r="H475" s="22" t="str">
        <f>IF(OR($A475="",D475="",D475&lt;=0,Séries!S474=""),"",D475/Séries!S474-1)</f>
        <v/>
      </c>
      <c r="I475" s="22" t="str">
        <f>IF(OR($A475="",E475="",E475&lt;=0,Séries!T474=""),"",E475/Séries!T474-1)</f>
        <v/>
      </c>
      <c r="J475" s="27"/>
      <c r="K475" s="1" t="str">
        <f>IF(COUNTA(A475:E475)=0,"",IF(A475="","Preencha a data",IF(NOT(ISNUMBER(A475)),"Data inválida",IF(OR(A475&lt;36526,A475&gt;73050,A475&lt;&gt;INT(A475)),"Data inválida",IF(A475&lt;=Séries!U474,"Data repetida / fora de ordem",IF(COUNTA(B475:E475)&lt;&gt;COUNT(B475:E475),"Use preços numéricos",IF(OR(AND(ISNUMBER(B475),B475&lt;=0),AND(ISNUMBER(C475),C475&lt;=0),AND(ISNUMBER(D475),D475&lt;=0),AND(ISNUMBER(E475),E475&lt;=0)),"Use preços positivos","")))))))</f>
        <v/>
      </c>
    </row>
    <row r="476" spans="1:11" ht="22.95" customHeight="1">
      <c r="A476" s="28"/>
      <c r="B476" s="29"/>
      <c r="C476" s="29"/>
      <c r="D476" s="29"/>
      <c r="E476" s="30"/>
      <c r="F476" s="22" t="str">
        <f>IF(OR($A476="",B476="",B476&lt;=0,Séries!Q475=""),"",B476/Séries!Q475-1)</f>
        <v/>
      </c>
      <c r="G476" s="22" t="str">
        <f>IF(OR($A476="",C476="",C476&lt;=0,Séries!R475=""),"",C476/Séries!R475-1)</f>
        <v/>
      </c>
      <c r="H476" s="22" t="str">
        <f>IF(OR($A476="",D476="",D476&lt;=0,Séries!S475=""),"",D476/Séries!S475-1)</f>
        <v/>
      </c>
      <c r="I476" s="22" t="str">
        <f>IF(OR($A476="",E476="",E476&lt;=0,Séries!T475=""),"",E476/Séries!T475-1)</f>
        <v/>
      </c>
      <c r="J476" s="27"/>
      <c r="K476" s="1" t="str">
        <f>IF(COUNTA(A476:E476)=0,"",IF(A476="","Preencha a data",IF(NOT(ISNUMBER(A476)),"Data inválida",IF(OR(A476&lt;36526,A476&gt;73050,A476&lt;&gt;INT(A476)),"Data inválida",IF(A476&lt;=Séries!U475,"Data repetida / fora de ordem",IF(COUNTA(B476:E476)&lt;&gt;COUNT(B476:E476),"Use preços numéricos",IF(OR(AND(ISNUMBER(B476),B476&lt;=0),AND(ISNUMBER(C476),C476&lt;=0),AND(ISNUMBER(D476),D476&lt;=0),AND(ISNUMBER(E476),E476&lt;=0)),"Use preços positivos","")))))))</f>
        <v/>
      </c>
    </row>
    <row r="477" spans="1:11" ht="22.95" customHeight="1">
      <c r="A477" s="28"/>
      <c r="B477" s="29"/>
      <c r="C477" s="29"/>
      <c r="D477" s="29"/>
      <c r="E477" s="30"/>
      <c r="F477" s="22" t="str">
        <f>IF(OR($A477="",B477="",B477&lt;=0,Séries!Q476=""),"",B477/Séries!Q476-1)</f>
        <v/>
      </c>
      <c r="G477" s="22" t="str">
        <f>IF(OR($A477="",C477="",C477&lt;=0,Séries!R476=""),"",C477/Séries!R476-1)</f>
        <v/>
      </c>
      <c r="H477" s="22" t="str">
        <f>IF(OR($A477="",D477="",D477&lt;=0,Séries!S476=""),"",D477/Séries!S476-1)</f>
        <v/>
      </c>
      <c r="I477" s="22" t="str">
        <f>IF(OR($A477="",E477="",E477&lt;=0,Séries!T476=""),"",E477/Séries!T476-1)</f>
        <v/>
      </c>
      <c r="J477" s="27"/>
      <c r="K477" s="1" t="str">
        <f>IF(COUNTA(A477:E477)=0,"",IF(A477="","Preencha a data",IF(NOT(ISNUMBER(A477)),"Data inválida",IF(OR(A477&lt;36526,A477&gt;73050,A477&lt;&gt;INT(A477)),"Data inválida",IF(A477&lt;=Séries!U476,"Data repetida / fora de ordem",IF(COUNTA(B477:E477)&lt;&gt;COUNT(B477:E477),"Use preços numéricos",IF(OR(AND(ISNUMBER(B477),B477&lt;=0),AND(ISNUMBER(C477),C477&lt;=0),AND(ISNUMBER(D477),D477&lt;=0),AND(ISNUMBER(E477),E477&lt;=0)),"Use preços positivos","")))))))</f>
        <v/>
      </c>
    </row>
    <row r="478" spans="1:11" ht="22.95" customHeight="1">
      <c r="A478" s="28"/>
      <c r="B478" s="29"/>
      <c r="C478" s="29"/>
      <c r="D478" s="29"/>
      <c r="E478" s="30"/>
      <c r="F478" s="22" t="str">
        <f>IF(OR($A478="",B478="",B478&lt;=0,Séries!Q477=""),"",B478/Séries!Q477-1)</f>
        <v/>
      </c>
      <c r="G478" s="22" t="str">
        <f>IF(OR($A478="",C478="",C478&lt;=0,Séries!R477=""),"",C478/Séries!R477-1)</f>
        <v/>
      </c>
      <c r="H478" s="22" t="str">
        <f>IF(OR($A478="",D478="",D478&lt;=0,Séries!S477=""),"",D478/Séries!S477-1)</f>
        <v/>
      </c>
      <c r="I478" s="22" t="str">
        <f>IF(OR($A478="",E478="",E478&lt;=0,Séries!T477=""),"",E478/Séries!T477-1)</f>
        <v/>
      </c>
      <c r="J478" s="27"/>
      <c r="K478" s="1" t="str">
        <f>IF(COUNTA(A478:E478)=0,"",IF(A478="","Preencha a data",IF(NOT(ISNUMBER(A478)),"Data inválida",IF(OR(A478&lt;36526,A478&gt;73050,A478&lt;&gt;INT(A478)),"Data inválida",IF(A478&lt;=Séries!U477,"Data repetida / fora de ordem",IF(COUNTA(B478:E478)&lt;&gt;COUNT(B478:E478),"Use preços numéricos",IF(OR(AND(ISNUMBER(B478),B478&lt;=0),AND(ISNUMBER(C478),C478&lt;=0),AND(ISNUMBER(D478),D478&lt;=0),AND(ISNUMBER(E478),E478&lt;=0)),"Use preços positivos","")))))))</f>
        <v/>
      </c>
    </row>
    <row r="479" spans="1:11" ht="22.95" customHeight="1">
      <c r="A479" s="28"/>
      <c r="B479" s="29"/>
      <c r="C479" s="29"/>
      <c r="D479" s="29"/>
      <c r="E479" s="30"/>
      <c r="F479" s="22" t="str">
        <f>IF(OR($A479="",B479="",B479&lt;=0,Séries!Q478=""),"",B479/Séries!Q478-1)</f>
        <v/>
      </c>
      <c r="G479" s="22" t="str">
        <f>IF(OR($A479="",C479="",C479&lt;=0,Séries!R478=""),"",C479/Séries!R478-1)</f>
        <v/>
      </c>
      <c r="H479" s="22" t="str">
        <f>IF(OR($A479="",D479="",D479&lt;=0,Séries!S478=""),"",D479/Séries!S478-1)</f>
        <v/>
      </c>
      <c r="I479" s="22" t="str">
        <f>IF(OR($A479="",E479="",E479&lt;=0,Séries!T478=""),"",E479/Séries!T478-1)</f>
        <v/>
      </c>
      <c r="J479" s="27"/>
      <c r="K479" s="1" t="str">
        <f>IF(COUNTA(A479:E479)=0,"",IF(A479="","Preencha a data",IF(NOT(ISNUMBER(A479)),"Data inválida",IF(OR(A479&lt;36526,A479&gt;73050,A479&lt;&gt;INT(A479)),"Data inválida",IF(A479&lt;=Séries!U478,"Data repetida / fora de ordem",IF(COUNTA(B479:E479)&lt;&gt;COUNT(B479:E479),"Use preços numéricos",IF(OR(AND(ISNUMBER(B479),B479&lt;=0),AND(ISNUMBER(C479),C479&lt;=0),AND(ISNUMBER(D479),D479&lt;=0),AND(ISNUMBER(E479),E479&lt;=0)),"Use preços positivos","")))))))</f>
        <v/>
      </c>
    </row>
    <row r="480" spans="1:11" ht="22.95" customHeight="1">
      <c r="A480" s="28"/>
      <c r="B480" s="29"/>
      <c r="C480" s="29"/>
      <c r="D480" s="29"/>
      <c r="E480" s="30"/>
      <c r="F480" s="22" t="str">
        <f>IF(OR($A480="",B480="",B480&lt;=0,Séries!Q479=""),"",B480/Séries!Q479-1)</f>
        <v/>
      </c>
      <c r="G480" s="22" t="str">
        <f>IF(OR($A480="",C480="",C480&lt;=0,Séries!R479=""),"",C480/Séries!R479-1)</f>
        <v/>
      </c>
      <c r="H480" s="22" t="str">
        <f>IF(OR($A480="",D480="",D480&lt;=0,Séries!S479=""),"",D480/Séries!S479-1)</f>
        <v/>
      </c>
      <c r="I480" s="22" t="str">
        <f>IF(OR($A480="",E480="",E480&lt;=0,Séries!T479=""),"",E480/Séries!T479-1)</f>
        <v/>
      </c>
      <c r="J480" s="27"/>
      <c r="K480" s="1" t="str">
        <f>IF(COUNTA(A480:E480)=0,"",IF(A480="","Preencha a data",IF(NOT(ISNUMBER(A480)),"Data inválida",IF(OR(A480&lt;36526,A480&gt;73050,A480&lt;&gt;INT(A480)),"Data inválida",IF(A480&lt;=Séries!U479,"Data repetida / fora de ordem",IF(COUNTA(B480:E480)&lt;&gt;COUNT(B480:E480),"Use preços numéricos",IF(OR(AND(ISNUMBER(B480),B480&lt;=0),AND(ISNUMBER(C480),C480&lt;=0),AND(ISNUMBER(D480),D480&lt;=0),AND(ISNUMBER(E480),E480&lt;=0)),"Use preços positivos","")))))))</f>
        <v/>
      </c>
    </row>
    <row r="481" spans="1:11" ht="22.95" customHeight="1">
      <c r="A481" s="28"/>
      <c r="B481" s="29"/>
      <c r="C481" s="29"/>
      <c r="D481" s="29"/>
      <c r="E481" s="30"/>
      <c r="F481" s="22" t="str">
        <f>IF(OR($A481="",B481="",B481&lt;=0,Séries!Q480=""),"",B481/Séries!Q480-1)</f>
        <v/>
      </c>
      <c r="G481" s="22" t="str">
        <f>IF(OR($A481="",C481="",C481&lt;=0,Séries!R480=""),"",C481/Séries!R480-1)</f>
        <v/>
      </c>
      <c r="H481" s="22" t="str">
        <f>IF(OR($A481="",D481="",D481&lt;=0,Séries!S480=""),"",D481/Séries!S480-1)</f>
        <v/>
      </c>
      <c r="I481" s="22" t="str">
        <f>IF(OR($A481="",E481="",E481&lt;=0,Séries!T480=""),"",E481/Séries!T480-1)</f>
        <v/>
      </c>
      <c r="J481" s="27"/>
      <c r="K481" s="1" t="str">
        <f>IF(COUNTA(A481:E481)=0,"",IF(A481="","Preencha a data",IF(NOT(ISNUMBER(A481)),"Data inválida",IF(OR(A481&lt;36526,A481&gt;73050,A481&lt;&gt;INT(A481)),"Data inválida",IF(A481&lt;=Séries!U480,"Data repetida / fora de ordem",IF(COUNTA(B481:E481)&lt;&gt;COUNT(B481:E481),"Use preços numéricos",IF(OR(AND(ISNUMBER(B481),B481&lt;=0),AND(ISNUMBER(C481),C481&lt;=0),AND(ISNUMBER(D481),D481&lt;=0),AND(ISNUMBER(E481),E481&lt;=0)),"Use preços positivos","")))))))</f>
        <v/>
      </c>
    </row>
    <row r="482" spans="1:11" ht="22.95" customHeight="1">
      <c r="A482" s="28"/>
      <c r="B482" s="29"/>
      <c r="C482" s="29"/>
      <c r="D482" s="29"/>
      <c r="E482" s="30"/>
      <c r="F482" s="22" t="str">
        <f>IF(OR($A482="",B482="",B482&lt;=0,Séries!Q481=""),"",B482/Séries!Q481-1)</f>
        <v/>
      </c>
      <c r="G482" s="22" t="str">
        <f>IF(OR($A482="",C482="",C482&lt;=0,Séries!R481=""),"",C482/Séries!R481-1)</f>
        <v/>
      </c>
      <c r="H482" s="22" t="str">
        <f>IF(OR($A482="",D482="",D482&lt;=0,Séries!S481=""),"",D482/Séries!S481-1)</f>
        <v/>
      </c>
      <c r="I482" s="22" t="str">
        <f>IF(OR($A482="",E482="",E482&lt;=0,Séries!T481=""),"",E482/Séries!T481-1)</f>
        <v/>
      </c>
      <c r="J482" s="27"/>
      <c r="K482" s="1" t="str">
        <f>IF(COUNTA(A482:E482)=0,"",IF(A482="","Preencha a data",IF(NOT(ISNUMBER(A482)),"Data inválida",IF(OR(A482&lt;36526,A482&gt;73050,A482&lt;&gt;INT(A482)),"Data inválida",IF(A482&lt;=Séries!U481,"Data repetida / fora de ordem",IF(COUNTA(B482:E482)&lt;&gt;COUNT(B482:E482),"Use preços numéricos",IF(OR(AND(ISNUMBER(B482),B482&lt;=0),AND(ISNUMBER(C482),C482&lt;=0),AND(ISNUMBER(D482),D482&lt;=0),AND(ISNUMBER(E482),E482&lt;=0)),"Use preços positivos","")))))))</f>
        <v/>
      </c>
    </row>
    <row r="483" spans="1:11" ht="22.95" customHeight="1">
      <c r="A483" s="28"/>
      <c r="B483" s="29"/>
      <c r="C483" s="29"/>
      <c r="D483" s="29"/>
      <c r="E483" s="30"/>
      <c r="F483" s="22" t="str">
        <f>IF(OR($A483="",B483="",B483&lt;=0,Séries!Q482=""),"",B483/Séries!Q482-1)</f>
        <v/>
      </c>
      <c r="G483" s="22" t="str">
        <f>IF(OR($A483="",C483="",C483&lt;=0,Séries!R482=""),"",C483/Séries!R482-1)</f>
        <v/>
      </c>
      <c r="H483" s="22" t="str">
        <f>IF(OR($A483="",D483="",D483&lt;=0,Séries!S482=""),"",D483/Séries!S482-1)</f>
        <v/>
      </c>
      <c r="I483" s="22" t="str">
        <f>IF(OR($A483="",E483="",E483&lt;=0,Séries!T482=""),"",E483/Séries!T482-1)</f>
        <v/>
      </c>
      <c r="J483" s="27"/>
      <c r="K483" s="1" t="str">
        <f>IF(COUNTA(A483:E483)=0,"",IF(A483="","Preencha a data",IF(NOT(ISNUMBER(A483)),"Data inválida",IF(OR(A483&lt;36526,A483&gt;73050,A483&lt;&gt;INT(A483)),"Data inválida",IF(A483&lt;=Séries!U482,"Data repetida / fora de ordem",IF(COUNTA(B483:E483)&lt;&gt;COUNT(B483:E483),"Use preços numéricos",IF(OR(AND(ISNUMBER(B483),B483&lt;=0),AND(ISNUMBER(C483),C483&lt;=0),AND(ISNUMBER(D483),D483&lt;=0),AND(ISNUMBER(E483),E483&lt;=0)),"Use preços positivos","")))))))</f>
        <v/>
      </c>
    </row>
    <row r="484" spans="1:11" ht="22.95" customHeight="1">
      <c r="A484" s="28"/>
      <c r="B484" s="29"/>
      <c r="C484" s="29"/>
      <c r="D484" s="29"/>
      <c r="E484" s="30"/>
      <c r="F484" s="22" t="str">
        <f>IF(OR($A484="",B484="",B484&lt;=0,Séries!Q483=""),"",B484/Séries!Q483-1)</f>
        <v/>
      </c>
      <c r="G484" s="22" t="str">
        <f>IF(OR($A484="",C484="",C484&lt;=0,Séries!R483=""),"",C484/Séries!R483-1)</f>
        <v/>
      </c>
      <c r="H484" s="22" t="str">
        <f>IF(OR($A484="",D484="",D484&lt;=0,Séries!S483=""),"",D484/Séries!S483-1)</f>
        <v/>
      </c>
      <c r="I484" s="22" t="str">
        <f>IF(OR($A484="",E484="",E484&lt;=0,Séries!T483=""),"",E484/Séries!T483-1)</f>
        <v/>
      </c>
      <c r="J484" s="27"/>
      <c r="K484" s="1" t="str">
        <f>IF(COUNTA(A484:E484)=0,"",IF(A484="","Preencha a data",IF(NOT(ISNUMBER(A484)),"Data inválida",IF(OR(A484&lt;36526,A484&gt;73050,A484&lt;&gt;INT(A484)),"Data inválida",IF(A484&lt;=Séries!U483,"Data repetida / fora de ordem",IF(COUNTA(B484:E484)&lt;&gt;COUNT(B484:E484),"Use preços numéricos",IF(OR(AND(ISNUMBER(B484),B484&lt;=0),AND(ISNUMBER(C484),C484&lt;=0),AND(ISNUMBER(D484),D484&lt;=0),AND(ISNUMBER(E484),E484&lt;=0)),"Use preços positivos","")))))))</f>
        <v/>
      </c>
    </row>
    <row r="485" spans="1:11" ht="22.95" customHeight="1">
      <c r="A485" s="28"/>
      <c r="B485" s="29"/>
      <c r="C485" s="29"/>
      <c r="D485" s="29"/>
      <c r="E485" s="30"/>
      <c r="F485" s="22" t="str">
        <f>IF(OR($A485="",B485="",B485&lt;=0,Séries!Q484=""),"",B485/Séries!Q484-1)</f>
        <v/>
      </c>
      <c r="G485" s="22" t="str">
        <f>IF(OR($A485="",C485="",C485&lt;=0,Séries!R484=""),"",C485/Séries!R484-1)</f>
        <v/>
      </c>
      <c r="H485" s="22" t="str">
        <f>IF(OR($A485="",D485="",D485&lt;=0,Séries!S484=""),"",D485/Séries!S484-1)</f>
        <v/>
      </c>
      <c r="I485" s="22" t="str">
        <f>IF(OR($A485="",E485="",E485&lt;=0,Séries!T484=""),"",E485/Séries!T484-1)</f>
        <v/>
      </c>
      <c r="J485" s="27"/>
      <c r="K485" s="1" t="str">
        <f>IF(COUNTA(A485:E485)=0,"",IF(A485="","Preencha a data",IF(NOT(ISNUMBER(A485)),"Data inválida",IF(OR(A485&lt;36526,A485&gt;73050,A485&lt;&gt;INT(A485)),"Data inválida",IF(A485&lt;=Séries!U484,"Data repetida / fora de ordem",IF(COUNTA(B485:E485)&lt;&gt;COUNT(B485:E485),"Use preços numéricos",IF(OR(AND(ISNUMBER(B485),B485&lt;=0),AND(ISNUMBER(C485),C485&lt;=0),AND(ISNUMBER(D485),D485&lt;=0),AND(ISNUMBER(E485),E485&lt;=0)),"Use preços positivos","")))))))</f>
        <v/>
      </c>
    </row>
    <row r="486" spans="1:11" ht="22.95" customHeight="1">
      <c r="A486" s="28"/>
      <c r="B486" s="29"/>
      <c r="C486" s="29"/>
      <c r="D486" s="29"/>
      <c r="E486" s="30"/>
      <c r="F486" s="22" t="str">
        <f>IF(OR($A486="",B486="",B486&lt;=0,Séries!Q485=""),"",B486/Séries!Q485-1)</f>
        <v/>
      </c>
      <c r="G486" s="22" t="str">
        <f>IF(OR($A486="",C486="",C486&lt;=0,Séries!R485=""),"",C486/Séries!R485-1)</f>
        <v/>
      </c>
      <c r="H486" s="22" t="str">
        <f>IF(OR($A486="",D486="",D486&lt;=0,Séries!S485=""),"",D486/Séries!S485-1)</f>
        <v/>
      </c>
      <c r="I486" s="22" t="str">
        <f>IF(OR($A486="",E486="",E486&lt;=0,Séries!T485=""),"",E486/Séries!T485-1)</f>
        <v/>
      </c>
      <c r="J486" s="27"/>
      <c r="K486" s="1" t="str">
        <f>IF(COUNTA(A486:E486)=0,"",IF(A486="","Preencha a data",IF(NOT(ISNUMBER(A486)),"Data inválida",IF(OR(A486&lt;36526,A486&gt;73050,A486&lt;&gt;INT(A486)),"Data inválida",IF(A486&lt;=Séries!U485,"Data repetida / fora de ordem",IF(COUNTA(B486:E486)&lt;&gt;COUNT(B486:E486),"Use preços numéricos",IF(OR(AND(ISNUMBER(B486),B486&lt;=0),AND(ISNUMBER(C486),C486&lt;=0),AND(ISNUMBER(D486),D486&lt;=0),AND(ISNUMBER(E486),E486&lt;=0)),"Use preços positivos","")))))))</f>
        <v/>
      </c>
    </row>
    <row r="487" spans="1:11" ht="22.95" customHeight="1">
      <c r="A487" s="28"/>
      <c r="B487" s="29"/>
      <c r="C487" s="29"/>
      <c r="D487" s="29"/>
      <c r="E487" s="30"/>
      <c r="F487" s="22" t="str">
        <f>IF(OR($A487="",B487="",B487&lt;=0,Séries!Q486=""),"",B487/Séries!Q486-1)</f>
        <v/>
      </c>
      <c r="G487" s="22" t="str">
        <f>IF(OR($A487="",C487="",C487&lt;=0,Séries!R486=""),"",C487/Séries!R486-1)</f>
        <v/>
      </c>
      <c r="H487" s="22" t="str">
        <f>IF(OR($A487="",D487="",D487&lt;=0,Séries!S486=""),"",D487/Séries!S486-1)</f>
        <v/>
      </c>
      <c r="I487" s="22" t="str">
        <f>IF(OR($A487="",E487="",E487&lt;=0,Séries!T486=""),"",E487/Séries!T486-1)</f>
        <v/>
      </c>
      <c r="J487" s="27"/>
      <c r="K487" s="1" t="str">
        <f>IF(COUNTA(A487:E487)=0,"",IF(A487="","Preencha a data",IF(NOT(ISNUMBER(A487)),"Data inválida",IF(OR(A487&lt;36526,A487&gt;73050,A487&lt;&gt;INT(A487)),"Data inválida",IF(A487&lt;=Séries!U486,"Data repetida / fora de ordem",IF(COUNTA(B487:E487)&lt;&gt;COUNT(B487:E487),"Use preços numéricos",IF(OR(AND(ISNUMBER(B487),B487&lt;=0),AND(ISNUMBER(C487),C487&lt;=0),AND(ISNUMBER(D487),D487&lt;=0),AND(ISNUMBER(E487),E487&lt;=0)),"Use preços positivos","")))))))</f>
        <v/>
      </c>
    </row>
    <row r="488" spans="1:11" ht="22.95" customHeight="1">
      <c r="A488" s="28"/>
      <c r="B488" s="29"/>
      <c r="C488" s="29"/>
      <c r="D488" s="29"/>
      <c r="E488" s="30"/>
      <c r="F488" s="22" t="str">
        <f>IF(OR($A488="",B488="",B488&lt;=0,Séries!Q487=""),"",B488/Séries!Q487-1)</f>
        <v/>
      </c>
      <c r="G488" s="22" t="str">
        <f>IF(OR($A488="",C488="",C488&lt;=0,Séries!R487=""),"",C488/Séries!R487-1)</f>
        <v/>
      </c>
      <c r="H488" s="22" t="str">
        <f>IF(OR($A488="",D488="",D488&lt;=0,Séries!S487=""),"",D488/Séries!S487-1)</f>
        <v/>
      </c>
      <c r="I488" s="22" t="str">
        <f>IF(OR($A488="",E488="",E488&lt;=0,Séries!T487=""),"",E488/Séries!T487-1)</f>
        <v/>
      </c>
      <c r="J488" s="27"/>
      <c r="K488" s="1" t="str">
        <f>IF(COUNTA(A488:E488)=0,"",IF(A488="","Preencha a data",IF(NOT(ISNUMBER(A488)),"Data inválida",IF(OR(A488&lt;36526,A488&gt;73050,A488&lt;&gt;INT(A488)),"Data inválida",IF(A488&lt;=Séries!U487,"Data repetida / fora de ordem",IF(COUNTA(B488:E488)&lt;&gt;COUNT(B488:E488),"Use preços numéricos",IF(OR(AND(ISNUMBER(B488),B488&lt;=0),AND(ISNUMBER(C488),C488&lt;=0),AND(ISNUMBER(D488),D488&lt;=0),AND(ISNUMBER(E488),E488&lt;=0)),"Use preços positivos","")))))))</f>
        <v/>
      </c>
    </row>
    <row r="489" spans="1:11" ht="22.95" customHeight="1">
      <c r="A489" s="28"/>
      <c r="B489" s="29"/>
      <c r="C489" s="29"/>
      <c r="D489" s="29"/>
      <c r="E489" s="30"/>
      <c r="F489" s="22" t="str">
        <f>IF(OR($A489="",B489="",B489&lt;=0,Séries!Q488=""),"",B489/Séries!Q488-1)</f>
        <v/>
      </c>
      <c r="G489" s="22" t="str">
        <f>IF(OR($A489="",C489="",C489&lt;=0,Séries!R488=""),"",C489/Séries!R488-1)</f>
        <v/>
      </c>
      <c r="H489" s="22" t="str">
        <f>IF(OR($A489="",D489="",D489&lt;=0,Séries!S488=""),"",D489/Séries!S488-1)</f>
        <v/>
      </c>
      <c r="I489" s="22" t="str">
        <f>IF(OR($A489="",E489="",E489&lt;=0,Séries!T488=""),"",E489/Séries!T488-1)</f>
        <v/>
      </c>
      <c r="J489" s="27"/>
      <c r="K489" s="1" t="str">
        <f>IF(COUNTA(A489:E489)=0,"",IF(A489="","Preencha a data",IF(NOT(ISNUMBER(A489)),"Data inválida",IF(OR(A489&lt;36526,A489&gt;73050,A489&lt;&gt;INT(A489)),"Data inválida",IF(A489&lt;=Séries!U488,"Data repetida / fora de ordem",IF(COUNTA(B489:E489)&lt;&gt;COUNT(B489:E489),"Use preços numéricos",IF(OR(AND(ISNUMBER(B489),B489&lt;=0),AND(ISNUMBER(C489),C489&lt;=0),AND(ISNUMBER(D489),D489&lt;=0),AND(ISNUMBER(E489),E489&lt;=0)),"Use preços positivos","")))))))</f>
        <v/>
      </c>
    </row>
    <row r="490" spans="1:11" ht="22.95" customHeight="1">
      <c r="A490" s="28"/>
      <c r="B490" s="29"/>
      <c r="C490" s="29"/>
      <c r="D490" s="29"/>
      <c r="E490" s="30"/>
      <c r="F490" s="22" t="str">
        <f>IF(OR($A490="",B490="",B490&lt;=0,Séries!Q489=""),"",B490/Séries!Q489-1)</f>
        <v/>
      </c>
      <c r="G490" s="22" t="str">
        <f>IF(OR($A490="",C490="",C490&lt;=0,Séries!R489=""),"",C490/Séries!R489-1)</f>
        <v/>
      </c>
      <c r="H490" s="22" t="str">
        <f>IF(OR($A490="",D490="",D490&lt;=0,Séries!S489=""),"",D490/Séries!S489-1)</f>
        <v/>
      </c>
      <c r="I490" s="22" t="str">
        <f>IF(OR($A490="",E490="",E490&lt;=0,Séries!T489=""),"",E490/Séries!T489-1)</f>
        <v/>
      </c>
      <c r="J490" s="27"/>
      <c r="K490" s="1" t="str">
        <f>IF(COUNTA(A490:E490)=0,"",IF(A490="","Preencha a data",IF(NOT(ISNUMBER(A490)),"Data inválida",IF(OR(A490&lt;36526,A490&gt;73050,A490&lt;&gt;INT(A490)),"Data inválida",IF(A490&lt;=Séries!U489,"Data repetida / fora de ordem",IF(COUNTA(B490:E490)&lt;&gt;COUNT(B490:E490),"Use preços numéricos",IF(OR(AND(ISNUMBER(B490),B490&lt;=0),AND(ISNUMBER(C490),C490&lt;=0),AND(ISNUMBER(D490),D490&lt;=0),AND(ISNUMBER(E490),E490&lt;=0)),"Use preços positivos","")))))))</f>
        <v/>
      </c>
    </row>
    <row r="491" spans="1:11" ht="22.95" customHeight="1">
      <c r="A491" s="28"/>
      <c r="B491" s="29"/>
      <c r="C491" s="29"/>
      <c r="D491" s="29"/>
      <c r="E491" s="30"/>
      <c r="F491" s="22" t="str">
        <f>IF(OR($A491="",B491="",B491&lt;=0,Séries!Q490=""),"",B491/Séries!Q490-1)</f>
        <v/>
      </c>
      <c r="G491" s="22" t="str">
        <f>IF(OR($A491="",C491="",C491&lt;=0,Séries!R490=""),"",C491/Séries!R490-1)</f>
        <v/>
      </c>
      <c r="H491" s="22" t="str">
        <f>IF(OR($A491="",D491="",D491&lt;=0,Séries!S490=""),"",D491/Séries!S490-1)</f>
        <v/>
      </c>
      <c r="I491" s="22" t="str">
        <f>IF(OR($A491="",E491="",E491&lt;=0,Séries!T490=""),"",E491/Séries!T490-1)</f>
        <v/>
      </c>
      <c r="J491" s="27"/>
      <c r="K491" s="1" t="str">
        <f>IF(COUNTA(A491:E491)=0,"",IF(A491="","Preencha a data",IF(NOT(ISNUMBER(A491)),"Data inválida",IF(OR(A491&lt;36526,A491&gt;73050,A491&lt;&gt;INT(A491)),"Data inválida",IF(A491&lt;=Séries!U490,"Data repetida / fora de ordem",IF(COUNTA(B491:E491)&lt;&gt;COUNT(B491:E491),"Use preços numéricos",IF(OR(AND(ISNUMBER(B491),B491&lt;=0),AND(ISNUMBER(C491),C491&lt;=0),AND(ISNUMBER(D491),D491&lt;=0),AND(ISNUMBER(E491),E491&lt;=0)),"Use preços positivos","")))))))</f>
        <v/>
      </c>
    </row>
    <row r="492" spans="1:11" ht="22.95" customHeight="1">
      <c r="A492" s="28"/>
      <c r="B492" s="29"/>
      <c r="C492" s="29"/>
      <c r="D492" s="29"/>
      <c r="E492" s="30"/>
      <c r="F492" s="22" t="str">
        <f>IF(OR($A492="",B492="",B492&lt;=0,Séries!Q491=""),"",B492/Séries!Q491-1)</f>
        <v/>
      </c>
      <c r="G492" s="22" t="str">
        <f>IF(OR($A492="",C492="",C492&lt;=0,Séries!R491=""),"",C492/Séries!R491-1)</f>
        <v/>
      </c>
      <c r="H492" s="22" t="str">
        <f>IF(OR($A492="",D492="",D492&lt;=0,Séries!S491=""),"",D492/Séries!S491-1)</f>
        <v/>
      </c>
      <c r="I492" s="22" t="str">
        <f>IF(OR($A492="",E492="",E492&lt;=0,Séries!T491=""),"",E492/Séries!T491-1)</f>
        <v/>
      </c>
      <c r="J492" s="27"/>
      <c r="K492" s="1" t="str">
        <f>IF(COUNTA(A492:E492)=0,"",IF(A492="","Preencha a data",IF(NOT(ISNUMBER(A492)),"Data inválida",IF(OR(A492&lt;36526,A492&gt;73050,A492&lt;&gt;INT(A492)),"Data inválida",IF(A492&lt;=Séries!U491,"Data repetida / fora de ordem",IF(COUNTA(B492:E492)&lt;&gt;COUNT(B492:E492),"Use preços numéricos",IF(OR(AND(ISNUMBER(B492),B492&lt;=0),AND(ISNUMBER(C492),C492&lt;=0),AND(ISNUMBER(D492),D492&lt;=0),AND(ISNUMBER(E492),E492&lt;=0)),"Use preços positivos","")))))))</f>
        <v/>
      </c>
    </row>
    <row r="493" spans="1:11" ht="22.95" customHeight="1">
      <c r="A493" s="28"/>
      <c r="B493" s="29"/>
      <c r="C493" s="29"/>
      <c r="D493" s="29"/>
      <c r="E493" s="30"/>
      <c r="F493" s="22" t="str">
        <f>IF(OR($A493="",B493="",B493&lt;=0,Séries!Q492=""),"",B493/Séries!Q492-1)</f>
        <v/>
      </c>
      <c r="G493" s="22" t="str">
        <f>IF(OR($A493="",C493="",C493&lt;=0,Séries!R492=""),"",C493/Séries!R492-1)</f>
        <v/>
      </c>
      <c r="H493" s="22" t="str">
        <f>IF(OR($A493="",D493="",D493&lt;=0,Séries!S492=""),"",D493/Séries!S492-1)</f>
        <v/>
      </c>
      <c r="I493" s="22" t="str">
        <f>IF(OR($A493="",E493="",E493&lt;=0,Séries!T492=""),"",E493/Séries!T492-1)</f>
        <v/>
      </c>
      <c r="J493" s="27"/>
      <c r="K493" s="1" t="str">
        <f>IF(COUNTA(A493:E493)=0,"",IF(A493="","Preencha a data",IF(NOT(ISNUMBER(A493)),"Data inválida",IF(OR(A493&lt;36526,A493&gt;73050,A493&lt;&gt;INT(A493)),"Data inválida",IF(A493&lt;=Séries!U492,"Data repetida / fora de ordem",IF(COUNTA(B493:E493)&lt;&gt;COUNT(B493:E493),"Use preços numéricos",IF(OR(AND(ISNUMBER(B493),B493&lt;=0),AND(ISNUMBER(C493),C493&lt;=0),AND(ISNUMBER(D493),D493&lt;=0),AND(ISNUMBER(E493),E493&lt;=0)),"Use preços positivos","")))))))</f>
        <v/>
      </c>
    </row>
    <row r="494" spans="1:11" ht="22.95" customHeight="1">
      <c r="A494" s="28"/>
      <c r="B494" s="29"/>
      <c r="C494" s="29"/>
      <c r="D494" s="29"/>
      <c r="E494" s="30"/>
      <c r="F494" s="22" t="str">
        <f>IF(OR($A494="",B494="",B494&lt;=0,Séries!Q493=""),"",B494/Séries!Q493-1)</f>
        <v/>
      </c>
      <c r="G494" s="22" t="str">
        <f>IF(OR($A494="",C494="",C494&lt;=0,Séries!R493=""),"",C494/Séries!R493-1)</f>
        <v/>
      </c>
      <c r="H494" s="22" t="str">
        <f>IF(OR($A494="",D494="",D494&lt;=0,Séries!S493=""),"",D494/Séries!S493-1)</f>
        <v/>
      </c>
      <c r="I494" s="22" t="str">
        <f>IF(OR($A494="",E494="",E494&lt;=0,Séries!T493=""),"",E494/Séries!T493-1)</f>
        <v/>
      </c>
      <c r="J494" s="27"/>
      <c r="K494" s="1" t="str">
        <f>IF(COUNTA(A494:E494)=0,"",IF(A494="","Preencha a data",IF(NOT(ISNUMBER(A494)),"Data inválida",IF(OR(A494&lt;36526,A494&gt;73050,A494&lt;&gt;INT(A494)),"Data inválida",IF(A494&lt;=Séries!U493,"Data repetida / fora de ordem",IF(COUNTA(B494:E494)&lt;&gt;COUNT(B494:E494),"Use preços numéricos",IF(OR(AND(ISNUMBER(B494),B494&lt;=0),AND(ISNUMBER(C494),C494&lt;=0),AND(ISNUMBER(D494),D494&lt;=0),AND(ISNUMBER(E494),E494&lt;=0)),"Use preços positivos","")))))))</f>
        <v/>
      </c>
    </row>
    <row r="495" spans="1:11" ht="22.95" customHeight="1">
      <c r="A495" s="28"/>
      <c r="B495" s="29"/>
      <c r="C495" s="29"/>
      <c r="D495" s="29"/>
      <c r="E495" s="30"/>
      <c r="F495" s="22" t="str">
        <f>IF(OR($A495="",B495="",B495&lt;=0,Séries!Q494=""),"",B495/Séries!Q494-1)</f>
        <v/>
      </c>
      <c r="G495" s="22" t="str">
        <f>IF(OR($A495="",C495="",C495&lt;=0,Séries!R494=""),"",C495/Séries!R494-1)</f>
        <v/>
      </c>
      <c r="H495" s="22" t="str">
        <f>IF(OR($A495="",D495="",D495&lt;=0,Séries!S494=""),"",D495/Séries!S494-1)</f>
        <v/>
      </c>
      <c r="I495" s="22" t="str">
        <f>IF(OR($A495="",E495="",E495&lt;=0,Séries!T494=""),"",E495/Séries!T494-1)</f>
        <v/>
      </c>
      <c r="J495" s="27"/>
      <c r="K495" s="1" t="str">
        <f>IF(COUNTA(A495:E495)=0,"",IF(A495="","Preencha a data",IF(NOT(ISNUMBER(A495)),"Data inválida",IF(OR(A495&lt;36526,A495&gt;73050,A495&lt;&gt;INT(A495)),"Data inválida",IF(A495&lt;=Séries!U494,"Data repetida / fora de ordem",IF(COUNTA(B495:E495)&lt;&gt;COUNT(B495:E495),"Use preços numéricos",IF(OR(AND(ISNUMBER(B495),B495&lt;=0),AND(ISNUMBER(C495),C495&lt;=0),AND(ISNUMBER(D495),D495&lt;=0),AND(ISNUMBER(E495),E495&lt;=0)),"Use preços positivos","")))))))</f>
        <v/>
      </c>
    </row>
    <row r="496" spans="1:11" ht="22.95" customHeight="1">
      <c r="A496" s="28"/>
      <c r="B496" s="29"/>
      <c r="C496" s="29"/>
      <c r="D496" s="29"/>
      <c r="E496" s="30"/>
      <c r="F496" s="22" t="str">
        <f>IF(OR($A496="",B496="",B496&lt;=0,Séries!Q495=""),"",B496/Séries!Q495-1)</f>
        <v/>
      </c>
      <c r="G496" s="22" t="str">
        <f>IF(OR($A496="",C496="",C496&lt;=0,Séries!R495=""),"",C496/Séries!R495-1)</f>
        <v/>
      </c>
      <c r="H496" s="22" t="str">
        <f>IF(OR($A496="",D496="",D496&lt;=0,Séries!S495=""),"",D496/Séries!S495-1)</f>
        <v/>
      </c>
      <c r="I496" s="22" t="str">
        <f>IF(OR($A496="",E496="",E496&lt;=0,Séries!T495=""),"",E496/Séries!T495-1)</f>
        <v/>
      </c>
      <c r="J496" s="27"/>
      <c r="K496" s="1" t="str">
        <f>IF(COUNTA(A496:E496)=0,"",IF(A496="","Preencha a data",IF(NOT(ISNUMBER(A496)),"Data inválida",IF(OR(A496&lt;36526,A496&gt;73050,A496&lt;&gt;INT(A496)),"Data inválida",IF(A496&lt;=Séries!U495,"Data repetida / fora de ordem",IF(COUNTA(B496:E496)&lt;&gt;COUNT(B496:E496),"Use preços numéricos",IF(OR(AND(ISNUMBER(B496),B496&lt;=0),AND(ISNUMBER(C496),C496&lt;=0),AND(ISNUMBER(D496),D496&lt;=0),AND(ISNUMBER(E496),E496&lt;=0)),"Use preços positivos","")))))))</f>
        <v/>
      </c>
    </row>
    <row r="497" spans="1:11" ht="22.95" customHeight="1">
      <c r="A497" s="28"/>
      <c r="B497" s="29"/>
      <c r="C497" s="29"/>
      <c r="D497" s="29"/>
      <c r="E497" s="30"/>
      <c r="F497" s="22" t="str">
        <f>IF(OR($A497="",B497="",B497&lt;=0,Séries!Q496=""),"",B497/Séries!Q496-1)</f>
        <v/>
      </c>
      <c r="G497" s="22" t="str">
        <f>IF(OR($A497="",C497="",C497&lt;=0,Séries!R496=""),"",C497/Séries!R496-1)</f>
        <v/>
      </c>
      <c r="H497" s="22" t="str">
        <f>IF(OR($A497="",D497="",D497&lt;=0,Séries!S496=""),"",D497/Séries!S496-1)</f>
        <v/>
      </c>
      <c r="I497" s="22" t="str">
        <f>IF(OR($A497="",E497="",E497&lt;=0,Séries!T496=""),"",E497/Séries!T496-1)</f>
        <v/>
      </c>
      <c r="J497" s="27"/>
      <c r="K497" s="1" t="str">
        <f>IF(COUNTA(A497:E497)=0,"",IF(A497="","Preencha a data",IF(NOT(ISNUMBER(A497)),"Data inválida",IF(OR(A497&lt;36526,A497&gt;73050,A497&lt;&gt;INT(A497)),"Data inválida",IF(A497&lt;=Séries!U496,"Data repetida / fora de ordem",IF(COUNTA(B497:E497)&lt;&gt;COUNT(B497:E497),"Use preços numéricos",IF(OR(AND(ISNUMBER(B497),B497&lt;=0),AND(ISNUMBER(C497),C497&lt;=0),AND(ISNUMBER(D497),D497&lt;=0),AND(ISNUMBER(E497),E497&lt;=0)),"Use preços positivos","")))))))</f>
        <v/>
      </c>
    </row>
    <row r="498" spans="1:11" ht="22.95" customHeight="1">
      <c r="A498" s="28"/>
      <c r="B498" s="29"/>
      <c r="C498" s="29"/>
      <c r="D498" s="29"/>
      <c r="E498" s="30"/>
      <c r="F498" s="22" t="str">
        <f>IF(OR($A498="",B498="",B498&lt;=0,Séries!Q497=""),"",B498/Séries!Q497-1)</f>
        <v/>
      </c>
      <c r="G498" s="22" t="str">
        <f>IF(OR($A498="",C498="",C498&lt;=0,Séries!R497=""),"",C498/Séries!R497-1)</f>
        <v/>
      </c>
      <c r="H498" s="22" t="str">
        <f>IF(OR($A498="",D498="",D498&lt;=0,Séries!S497=""),"",D498/Séries!S497-1)</f>
        <v/>
      </c>
      <c r="I498" s="22" t="str">
        <f>IF(OR($A498="",E498="",E498&lt;=0,Séries!T497=""),"",E498/Séries!T497-1)</f>
        <v/>
      </c>
      <c r="J498" s="27"/>
      <c r="K498" s="1" t="str">
        <f>IF(COUNTA(A498:E498)=0,"",IF(A498="","Preencha a data",IF(NOT(ISNUMBER(A498)),"Data inválida",IF(OR(A498&lt;36526,A498&gt;73050,A498&lt;&gt;INT(A498)),"Data inválida",IF(A498&lt;=Séries!U497,"Data repetida / fora de ordem",IF(COUNTA(B498:E498)&lt;&gt;COUNT(B498:E498),"Use preços numéricos",IF(OR(AND(ISNUMBER(B498),B498&lt;=0),AND(ISNUMBER(C498),C498&lt;=0),AND(ISNUMBER(D498),D498&lt;=0),AND(ISNUMBER(E498),E498&lt;=0)),"Use preços positivos","")))))))</f>
        <v/>
      </c>
    </row>
    <row r="499" spans="1:11" ht="22.95" customHeight="1">
      <c r="A499" s="28"/>
      <c r="B499" s="29"/>
      <c r="C499" s="29"/>
      <c r="D499" s="29"/>
      <c r="E499" s="30"/>
      <c r="F499" s="22" t="str">
        <f>IF(OR($A499="",B499="",B499&lt;=0,Séries!Q498=""),"",B499/Séries!Q498-1)</f>
        <v/>
      </c>
      <c r="G499" s="22" t="str">
        <f>IF(OR($A499="",C499="",C499&lt;=0,Séries!R498=""),"",C499/Séries!R498-1)</f>
        <v/>
      </c>
      <c r="H499" s="22" t="str">
        <f>IF(OR($A499="",D499="",D499&lt;=0,Séries!S498=""),"",D499/Séries!S498-1)</f>
        <v/>
      </c>
      <c r="I499" s="22" t="str">
        <f>IF(OR($A499="",E499="",E499&lt;=0,Séries!T498=""),"",E499/Séries!T498-1)</f>
        <v/>
      </c>
      <c r="J499" s="27"/>
      <c r="K499" s="1" t="str">
        <f>IF(COUNTA(A499:E499)=0,"",IF(A499="","Preencha a data",IF(NOT(ISNUMBER(A499)),"Data inválida",IF(OR(A499&lt;36526,A499&gt;73050,A499&lt;&gt;INT(A499)),"Data inválida",IF(A499&lt;=Séries!U498,"Data repetida / fora de ordem",IF(COUNTA(B499:E499)&lt;&gt;COUNT(B499:E499),"Use preços numéricos",IF(OR(AND(ISNUMBER(B499),B499&lt;=0),AND(ISNUMBER(C499),C499&lt;=0),AND(ISNUMBER(D499),D499&lt;=0),AND(ISNUMBER(E499),E499&lt;=0)),"Use preços positivos","")))))))</f>
        <v/>
      </c>
    </row>
    <row r="500" spans="1:11" ht="22.95" customHeight="1">
      <c r="A500" s="28"/>
      <c r="B500" s="29"/>
      <c r="C500" s="29"/>
      <c r="D500" s="29"/>
      <c r="E500" s="30"/>
      <c r="F500" s="22" t="str">
        <f>IF(OR($A500="",B500="",B500&lt;=0,Séries!Q499=""),"",B500/Séries!Q499-1)</f>
        <v/>
      </c>
      <c r="G500" s="22" t="str">
        <f>IF(OR($A500="",C500="",C500&lt;=0,Séries!R499=""),"",C500/Séries!R499-1)</f>
        <v/>
      </c>
      <c r="H500" s="22" t="str">
        <f>IF(OR($A500="",D500="",D500&lt;=0,Séries!S499=""),"",D500/Séries!S499-1)</f>
        <v/>
      </c>
      <c r="I500" s="22" t="str">
        <f>IF(OR($A500="",E500="",E500&lt;=0,Séries!T499=""),"",E500/Séries!T499-1)</f>
        <v/>
      </c>
      <c r="J500" s="27"/>
      <c r="K500" s="1" t="str">
        <f>IF(COUNTA(A500:E500)=0,"",IF(A500="","Preencha a data",IF(NOT(ISNUMBER(A500)),"Data inválida",IF(OR(A500&lt;36526,A500&gt;73050,A500&lt;&gt;INT(A500)),"Data inválida",IF(A500&lt;=Séries!U499,"Data repetida / fora de ordem",IF(COUNTA(B500:E500)&lt;&gt;COUNT(B500:E500),"Use preços numéricos",IF(OR(AND(ISNUMBER(B500),B500&lt;=0),AND(ISNUMBER(C500),C500&lt;=0),AND(ISNUMBER(D500),D500&lt;=0),AND(ISNUMBER(E500),E500&lt;=0)),"Use preços positivos","")))))))</f>
        <v/>
      </c>
    </row>
    <row r="501" spans="1:11" ht="22.95" customHeight="1">
      <c r="A501" s="28"/>
      <c r="B501" s="29"/>
      <c r="C501" s="29"/>
      <c r="D501" s="29"/>
      <c r="E501" s="30"/>
      <c r="F501" s="22" t="str">
        <f>IF(OR($A501="",B501="",B501&lt;=0,Séries!Q500=""),"",B501/Séries!Q500-1)</f>
        <v/>
      </c>
      <c r="G501" s="22" t="str">
        <f>IF(OR($A501="",C501="",C501&lt;=0,Séries!R500=""),"",C501/Séries!R500-1)</f>
        <v/>
      </c>
      <c r="H501" s="22" t="str">
        <f>IF(OR($A501="",D501="",D501&lt;=0,Séries!S500=""),"",D501/Séries!S500-1)</f>
        <v/>
      </c>
      <c r="I501" s="22" t="str">
        <f>IF(OR($A501="",E501="",E501&lt;=0,Séries!T500=""),"",E501/Séries!T500-1)</f>
        <v/>
      </c>
      <c r="J501" s="27"/>
      <c r="K501" s="1" t="str">
        <f>IF(COUNTA(A501:E501)=0,"",IF(A501="","Preencha a data",IF(NOT(ISNUMBER(A501)),"Data inválida",IF(OR(A501&lt;36526,A501&gt;73050,A501&lt;&gt;INT(A501)),"Data inválida",IF(A501&lt;=Séries!U500,"Data repetida / fora de ordem",IF(COUNTA(B501:E501)&lt;&gt;COUNT(B501:E501),"Use preços numéricos",IF(OR(AND(ISNUMBER(B501),B501&lt;=0),AND(ISNUMBER(C501),C501&lt;=0),AND(ISNUMBER(D501),D501&lt;=0),AND(ISNUMBER(E501),E501&lt;=0)),"Use preços positivos","")))))))</f>
        <v/>
      </c>
    </row>
    <row r="502" spans="1:11" ht="22.95" customHeight="1">
      <c r="A502" s="28"/>
      <c r="B502" s="29"/>
      <c r="C502" s="29"/>
      <c r="D502" s="29"/>
      <c r="E502" s="30"/>
      <c r="F502" s="22" t="str">
        <f>IF(OR($A502="",B502="",B502&lt;=0,Séries!Q501=""),"",B502/Séries!Q501-1)</f>
        <v/>
      </c>
      <c r="G502" s="22" t="str">
        <f>IF(OR($A502="",C502="",C502&lt;=0,Séries!R501=""),"",C502/Séries!R501-1)</f>
        <v/>
      </c>
      <c r="H502" s="22" t="str">
        <f>IF(OR($A502="",D502="",D502&lt;=0,Séries!S501=""),"",D502/Séries!S501-1)</f>
        <v/>
      </c>
      <c r="I502" s="22" t="str">
        <f>IF(OR($A502="",E502="",E502&lt;=0,Séries!T501=""),"",E502/Séries!T501-1)</f>
        <v/>
      </c>
      <c r="J502" s="27"/>
      <c r="K502" s="1" t="str">
        <f>IF(COUNTA(A502:E502)=0,"",IF(A502="","Preencha a data",IF(NOT(ISNUMBER(A502)),"Data inválida",IF(OR(A502&lt;36526,A502&gt;73050,A502&lt;&gt;INT(A502)),"Data inválida",IF(A502&lt;=Séries!U501,"Data repetida / fora de ordem",IF(COUNTA(B502:E502)&lt;&gt;COUNT(B502:E502),"Use preços numéricos",IF(OR(AND(ISNUMBER(B502),B502&lt;=0),AND(ISNUMBER(C502),C502&lt;=0),AND(ISNUMBER(D502),D502&lt;=0),AND(ISNUMBER(E502),E502&lt;=0)),"Use preços positivos","")))))))</f>
        <v/>
      </c>
    </row>
    <row r="503" spans="1:11" ht="22.95" customHeight="1">
      <c r="A503" s="28"/>
      <c r="B503" s="29"/>
      <c r="C503" s="29"/>
      <c r="D503" s="29"/>
      <c r="E503" s="30"/>
      <c r="F503" s="22" t="str">
        <f>IF(OR($A503="",B503="",B503&lt;=0,Séries!Q502=""),"",B503/Séries!Q502-1)</f>
        <v/>
      </c>
      <c r="G503" s="22" t="str">
        <f>IF(OR($A503="",C503="",C503&lt;=0,Séries!R502=""),"",C503/Séries!R502-1)</f>
        <v/>
      </c>
      <c r="H503" s="22" t="str">
        <f>IF(OR($A503="",D503="",D503&lt;=0,Séries!S502=""),"",D503/Séries!S502-1)</f>
        <v/>
      </c>
      <c r="I503" s="22" t="str">
        <f>IF(OR($A503="",E503="",E503&lt;=0,Séries!T502=""),"",E503/Séries!T502-1)</f>
        <v/>
      </c>
      <c r="J503" s="27"/>
      <c r="K503" s="1" t="str">
        <f>IF(COUNTA(A503:E503)=0,"",IF(A503="","Preencha a data",IF(NOT(ISNUMBER(A503)),"Data inválida",IF(OR(A503&lt;36526,A503&gt;73050,A503&lt;&gt;INT(A503)),"Data inválida",IF(A503&lt;=Séries!U502,"Data repetida / fora de ordem",IF(COUNTA(B503:E503)&lt;&gt;COUNT(B503:E503),"Use preços numéricos",IF(OR(AND(ISNUMBER(B503),B503&lt;=0),AND(ISNUMBER(C503),C503&lt;=0),AND(ISNUMBER(D503),D503&lt;=0),AND(ISNUMBER(E503),E503&lt;=0)),"Use preços positivos","")))))))</f>
        <v/>
      </c>
    </row>
    <row r="504" spans="1:11" ht="22.95" customHeight="1">
      <c r="A504" s="28"/>
      <c r="B504" s="29"/>
      <c r="C504" s="29"/>
      <c r="D504" s="29"/>
      <c r="E504" s="30"/>
      <c r="F504" s="22" t="str">
        <f>IF(OR($A504="",B504="",B504&lt;=0,Séries!Q503=""),"",B504/Séries!Q503-1)</f>
        <v/>
      </c>
      <c r="G504" s="22" t="str">
        <f>IF(OR($A504="",C504="",C504&lt;=0,Séries!R503=""),"",C504/Séries!R503-1)</f>
        <v/>
      </c>
      <c r="H504" s="22" t="str">
        <f>IF(OR($A504="",D504="",D504&lt;=0,Séries!S503=""),"",D504/Séries!S503-1)</f>
        <v/>
      </c>
      <c r="I504" s="22" t="str">
        <f>IF(OR($A504="",E504="",E504&lt;=0,Séries!T503=""),"",E504/Séries!T503-1)</f>
        <v/>
      </c>
      <c r="J504" s="27"/>
      <c r="K504" s="1" t="str">
        <f>IF(COUNTA(A504:E504)=0,"",IF(A504="","Preencha a data",IF(NOT(ISNUMBER(A504)),"Data inválida",IF(OR(A504&lt;36526,A504&gt;73050,A504&lt;&gt;INT(A504)),"Data inválida",IF(A504&lt;=Séries!U503,"Data repetida / fora de ordem",IF(COUNTA(B504:E504)&lt;&gt;COUNT(B504:E504),"Use preços numéricos",IF(OR(AND(ISNUMBER(B504),B504&lt;=0),AND(ISNUMBER(C504),C504&lt;=0),AND(ISNUMBER(D504),D504&lt;=0),AND(ISNUMBER(E504),E504&lt;=0)),"Use preços positivos","")))))))</f>
        <v/>
      </c>
    </row>
    <row r="505" spans="1:11" ht="22.95" customHeight="1">
      <c r="A505" s="28"/>
      <c r="B505" s="29"/>
      <c r="C505" s="29"/>
      <c r="D505" s="29"/>
      <c r="E505" s="30"/>
      <c r="F505" s="22" t="str">
        <f>IF(OR($A505="",B505="",B505&lt;=0,Séries!Q504=""),"",B505/Séries!Q504-1)</f>
        <v/>
      </c>
      <c r="G505" s="22" t="str">
        <f>IF(OR($A505="",C505="",C505&lt;=0,Séries!R504=""),"",C505/Séries!R504-1)</f>
        <v/>
      </c>
      <c r="H505" s="22" t="str">
        <f>IF(OR($A505="",D505="",D505&lt;=0,Séries!S504=""),"",D505/Séries!S504-1)</f>
        <v/>
      </c>
      <c r="I505" s="22" t="str">
        <f>IF(OR($A505="",E505="",E505&lt;=0,Séries!T504=""),"",E505/Séries!T504-1)</f>
        <v/>
      </c>
      <c r="J505" s="27"/>
      <c r="K505" s="1" t="str">
        <f>IF(COUNTA(A505:E505)=0,"",IF(A505="","Preencha a data",IF(NOT(ISNUMBER(A505)),"Data inválida",IF(OR(A505&lt;36526,A505&gt;73050,A505&lt;&gt;INT(A505)),"Data inválida",IF(A505&lt;=Séries!U504,"Data repetida / fora de ordem",IF(COUNTA(B505:E505)&lt;&gt;COUNT(B505:E505),"Use preços numéricos",IF(OR(AND(ISNUMBER(B505),B505&lt;=0),AND(ISNUMBER(C505),C505&lt;=0),AND(ISNUMBER(D505),D505&lt;=0),AND(ISNUMBER(E505),E505&lt;=0)),"Use preços positivos","")))))))</f>
        <v/>
      </c>
    </row>
    <row r="506" spans="1:11" ht="22.95" customHeight="1">
      <c r="A506" s="28"/>
      <c r="B506" s="29"/>
      <c r="C506" s="29"/>
      <c r="D506" s="29"/>
      <c r="E506" s="30"/>
      <c r="F506" s="22" t="str">
        <f>IF(OR($A506="",B506="",B506&lt;=0,Séries!Q505=""),"",B506/Séries!Q505-1)</f>
        <v/>
      </c>
      <c r="G506" s="22" t="str">
        <f>IF(OR($A506="",C506="",C506&lt;=0,Séries!R505=""),"",C506/Séries!R505-1)</f>
        <v/>
      </c>
      <c r="H506" s="22" t="str">
        <f>IF(OR($A506="",D506="",D506&lt;=0,Séries!S505=""),"",D506/Séries!S505-1)</f>
        <v/>
      </c>
      <c r="I506" s="22" t="str">
        <f>IF(OR($A506="",E506="",E506&lt;=0,Séries!T505=""),"",E506/Séries!T505-1)</f>
        <v/>
      </c>
      <c r="J506" s="27"/>
      <c r="K506" s="1" t="str">
        <f>IF(COUNTA(A506:E506)=0,"",IF(A506="","Preencha a data",IF(NOT(ISNUMBER(A506)),"Data inválida",IF(OR(A506&lt;36526,A506&gt;73050,A506&lt;&gt;INT(A506)),"Data inválida",IF(A506&lt;=Séries!U505,"Data repetida / fora de ordem",IF(COUNTA(B506:E506)&lt;&gt;COUNT(B506:E506),"Use preços numéricos",IF(OR(AND(ISNUMBER(B506),B506&lt;=0),AND(ISNUMBER(C506),C506&lt;=0),AND(ISNUMBER(D506),D506&lt;=0),AND(ISNUMBER(E506),E506&lt;=0)),"Use preços positivos","")))))))</f>
        <v/>
      </c>
    </row>
    <row r="507" spans="1:11" ht="22.95" customHeight="1">
      <c r="A507" s="28"/>
      <c r="B507" s="29"/>
      <c r="C507" s="29"/>
      <c r="D507" s="29"/>
      <c r="E507" s="30"/>
      <c r="F507" s="22" t="str">
        <f>IF(OR($A507="",B507="",B507&lt;=0,Séries!Q506=""),"",B507/Séries!Q506-1)</f>
        <v/>
      </c>
      <c r="G507" s="22" t="str">
        <f>IF(OR($A507="",C507="",C507&lt;=0,Séries!R506=""),"",C507/Séries!R506-1)</f>
        <v/>
      </c>
      <c r="H507" s="22" t="str">
        <f>IF(OR($A507="",D507="",D507&lt;=0,Séries!S506=""),"",D507/Séries!S506-1)</f>
        <v/>
      </c>
      <c r="I507" s="22" t="str">
        <f>IF(OR($A507="",E507="",E507&lt;=0,Séries!T506=""),"",E507/Séries!T506-1)</f>
        <v/>
      </c>
      <c r="J507" s="27"/>
      <c r="K507" s="1" t="str">
        <f>IF(COUNTA(A507:E507)=0,"",IF(A507="","Preencha a data",IF(NOT(ISNUMBER(A507)),"Data inválida",IF(OR(A507&lt;36526,A507&gt;73050,A507&lt;&gt;INT(A507)),"Data inválida",IF(A507&lt;=Séries!U506,"Data repetida / fora de ordem",IF(COUNTA(B507:E507)&lt;&gt;COUNT(B507:E507),"Use preços numéricos",IF(OR(AND(ISNUMBER(B507),B507&lt;=0),AND(ISNUMBER(C507),C507&lt;=0),AND(ISNUMBER(D507),D507&lt;=0),AND(ISNUMBER(E507),E507&lt;=0)),"Use preços positivos","")))))))</f>
        <v/>
      </c>
    </row>
    <row r="508" spans="1:11" ht="22.95" customHeight="1">
      <c r="A508" s="28"/>
      <c r="B508" s="29"/>
      <c r="C508" s="29"/>
      <c r="D508" s="29"/>
      <c r="E508" s="30"/>
      <c r="F508" s="22" t="str">
        <f>IF(OR($A508="",B508="",B508&lt;=0,Séries!Q507=""),"",B508/Séries!Q507-1)</f>
        <v/>
      </c>
      <c r="G508" s="22" t="str">
        <f>IF(OR($A508="",C508="",C508&lt;=0,Séries!R507=""),"",C508/Séries!R507-1)</f>
        <v/>
      </c>
      <c r="H508" s="22" t="str">
        <f>IF(OR($A508="",D508="",D508&lt;=0,Séries!S507=""),"",D508/Séries!S507-1)</f>
        <v/>
      </c>
      <c r="I508" s="22" t="str">
        <f>IF(OR($A508="",E508="",E508&lt;=0,Séries!T507=""),"",E508/Séries!T507-1)</f>
        <v/>
      </c>
      <c r="J508" s="27"/>
      <c r="K508" s="1" t="str">
        <f>IF(COUNTA(A508:E508)=0,"",IF(A508="","Preencha a data",IF(NOT(ISNUMBER(A508)),"Data inválida",IF(OR(A508&lt;36526,A508&gt;73050,A508&lt;&gt;INT(A508)),"Data inválida",IF(A508&lt;=Séries!U507,"Data repetida / fora de ordem",IF(COUNTA(B508:E508)&lt;&gt;COUNT(B508:E508),"Use preços numéricos",IF(OR(AND(ISNUMBER(B508),B508&lt;=0),AND(ISNUMBER(C508),C508&lt;=0),AND(ISNUMBER(D508),D508&lt;=0),AND(ISNUMBER(E508),E508&lt;=0)),"Use preços positivos","")))))))</f>
        <v/>
      </c>
    </row>
    <row r="509" spans="1:11" ht="22.95" customHeight="1">
      <c r="A509" s="28"/>
      <c r="B509" s="29"/>
      <c r="C509" s="29"/>
      <c r="D509" s="29"/>
      <c r="E509" s="30"/>
      <c r="F509" s="22" t="str">
        <f>IF(OR($A509="",B509="",B509&lt;=0,Séries!Q508=""),"",B509/Séries!Q508-1)</f>
        <v/>
      </c>
      <c r="G509" s="22" t="str">
        <f>IF(OR($A509="",C509="",C509&lt;=0,Séries!R508=""),"",C509/Séries!R508-1)</f>
        <v/>
      </c>
      <c r="H509" s="22" t="str">
        <f>IF(OR($A509="",D509="",D509&lt;=0,Séries!S508=""),"",D509/Séries!S508-1)</f>
        <v/>
      </c>
      <c r="I509" s="22" t="str">
        <f>IF(OR($A509="",E509="",E509&lt;=0,Séries!T508=""),"",E509/Séries!T508-1)</f>
        <v/>
      </c>
      <c r="J509" s="27"/>
      <c r="K509" s="1" t="str">
        <f>IF(COUNTA(A509:E509)=0,"",IF(A509="","Preencha a data",IF(NOT(ISNUMBER(A509)),"Data inválida",IF(OR(A509&lt;36526,A509&gt;73050,A509&lt;&gt;INT(A509)),"Data inválida",IF(A509&lt;=Séries!U508,"Data repetida / fora de ordem",IF(COUNTA(B509:E509)&lt;&gt;COUNT(B509:E509),"Use preços numéricos",IF(OR(AND(ISNUMBER(B509),B509&lt;=0),AND(ISNUMBER(C509),C509&lt;=0),AND(ISNUMBER(D509),D509&lt;=0),AND(ISNUMBER(E509),E509&lt;=0)),"Use preços positivos","")))))))</f>
        <v/>
      </c>
    </row>
    <row r="510" spans="1:11" ht="22.95" customHeight="1">
      <c r="A510" s="28"/>
      <c r="B510" s="29"/>
      <c r="C510" s="29"/>
      <c r="D510" s="29"/>
      <c r="E510" s="30"/>
      <c r="F510" s="22" t="str">
        <f>IF(OR($A510="",B510="",B510&lt;=0,Séries!Q509=""),"",B510/Séries!Q509-1)</f>
        <v/>
      </c>
      <c r="G510" s="22" t="str">
        <f>IF(OR($A510="",C510="",C510&lt;=0,Séries!R509=""),"",C510/Séries!R509-1)</f>
        <v/>
      </c>
      <c r="H510" s="22" t="str">
        <f>IF(OR($A510="",D510="",D510&lt;=0,Séries!S509=""),"",D510/Séries!S509-1)</f>
        <v/>
      </c>
      <c r="I510" s="22" t="str">
        <f>IF(OR($A510="",E510="",E510&lt;=0,Séries!T509=""),"",E510/Séries!T509-1)</f>
        <v/>
      </c>
      <c r="J510" s="27"/>
      <c r="K510" s="1" t="str">
        <f>IF(COUNTA(A510:E510)=0,"",IF(A510="","Preencha a data",IF(NOT(ISNUMBER(A510)),"Data inválida",IF(OR(A510&lt;36526,A510&gt;73050,A510&lt;&gt;INT(A510)),"Data inválida",IF(A510&lt;=Séries!U509,"Data repetida / fora de ordem",IF(COUNTA(B510:E510)&lt;&gt;COUNT(B510:E510),"Use preços numéricos",IF(OR(AND(ISNUMBER(B510),B510&lt;=0),AND(ISNUMBER(C510),C510&lt;=0),AND(ISNUMBER(D510),D510&lt;=0),AND(ISNUMBER(E510),E510&lt;=0)),"Use preços positivos","")))))))</f>
        <v/>
      </c>
    </row>
    <row r="511" spans="1:11" ht="22.95" customHeight="1">
      <c r="A511" s="28"/>
      <c r="B511" s="29"/>
      <c r="C511" s="29"/>
      <c r="D511" s="29"/>
      <c r="E511" s="30"/>
      <c r="F511" s="22" t="str">
        <f>IF(OR($A511="",B511="",B511&lt;=0,Séries!Q510=""),"",B511/Séries!Q510-1)</f>
        <v/>
      </c>
      <c r="G511" s="22" t="str">
        <f>IF(OR($A511="",C511="",C511&lt;=0,Séries!R510=""),"",C511/Séries!R510-1)</f>
        <v/>
      </c>
      <c r="H511" s="22" t="str">
        <f>IF(OR($A511="",D511="",D511&lt;=0,Séries!S510=""),"",D511/Séries!S510-1)</f>
        <v/>
      </c>
      <c r="I511" s="22" t="str">
        <f>IF(OR($A511="",E511="",E511&lt;=0,Séries!T510=""),"",E511/Séries!T510-1)</f>
        <v/>
      </c>
      <c r="J511" s="27"/>
      <c r="K511" s="1" t="str">
        <f>IF(COUNTA(A511:E511)=0,"",IF(A511="","Preencha a data",IF(NOT(ISNUMBER(A511)),"Data inválida",IF(OR(A511&lt;36526,A511&gt;73050,A511&lt;&gt;INT(A511)),"Data inválida",IF(A511&lt;=Séries!U510,"Data repetida / fora de ordem",IF(COUNTA(B511:E511)&lt;&gt;COUNT(B511:E511),"Use preços numéricos",IF(OR(AND(ISNUMBER(B511),B511&lt;=0),AND(ISNUMBER(C511),C511&lt;=0),AND(ISNUMBER(D511),D511&lt;=0),AND(ISNUMBER(E511),E511&lt;=0)),"Use preços positivos","")))))))</f>
        <v/>
      </c>
    </row>
    <row r="512" spans="1:11" ht="22.95" customHeight="1">
      <c r="A512" s="28"/>
      <c r="B512" s="29"/>
      <c r="C512" s="29"/>
      <c r="D512" s="29"/>
      <c r="E512" s="30"/>
      <c r="F512" s="22" t="str">
        <f>IF(OR($A512="",B512="",B512&lt;=0,Séries!Q511=""),"",B512/Séries!Q511-1)</f>
        <v/>
      </c>
      <c r="G512" s="22" t="str">
        <f>IF(OR($A512="",C512="",C512&lt;=0,Séries!R511=""),"",C512/Séries!R511-1)</f>
        <v/>
      </c>
      <c r="H512" s="22" t="str">
        <f>IF(OR($A512="",D512="",D512&lt;=0,Séries!S511=""),"",D512/Séries!S511-1)</f>
        <v/>
      </c>
      <c r="I512" s="22" t="str">
        <f>IF(OR($A512="",E512="",E512&lt;=0,Séries!T511=""),"",E512/Séries!T511-1)</f>
        <v/>
      </c>
      <c r="J512" s="27"/>
      <c r="K512" s="1" t="str">
        <f>IF(COUNTA(A512:E512)=0,"",IF(A512="","Preencha a data",IF(NOT(ISNUMBER(A512)),"Data inválida",IF(OR(A512&lt;36526,A512&gt;73050,A512&lt;&gt;INT(A512)),"Data inválida",IF(A512&lt;=Séries!U511,"Data repetida / fora de ordem",IF(COUNTA(B512:E512)&lt;&gt;COUNT(B512:E512),"Use preços numéricos",IF(OR(AND(ISNUMBER(B512),B512&lt;=0),AND(ISNUMBER(C512),C512&lt;=0),AND(ISNUMBER(D512),D512&lt;=0),AND(ISNUMBER(E512),E512&lt;=0)),"Use preços positivos","")))))))</f>
        <v/>
      </c>
    </row>
    <row r="513" spans="1:11" ht="22.95" customHeight="1">
      <c r="A513" s="28"/>
      <c r="B513" s="29"/>
      <c r="C513" s="29"/>
      <c r="D513" s="29"/>
      <c r="E513" s="30"/>
      <c r="F513" s="22" t="str">
        <f>IF(OR($A513="",B513="",B513&lt;=0,Séries!Q512=""),"",B513/Séries!Q512-1)</f>
        <v/>
      </c>
      <c r="G513" s="22" t="str">
        <f>IF(OR($A513="",C513="",C513&lt;=0,Séries!R512=""),"",C513/Séries!R512-1)</f>
        <v/>
      </c>
      <c r="H513" s="22" t="str">
        <f>IF(OR($A513="",D513="",D513&lt;=0,Séries!S512=""),"",D513/Séries!S512-1)</f>
        <v/>
      </c>
      <c r="I513" s="22" t="str">
        <f>IF(OR($A513="",E513="",E513&lt;=0,Séries!T512=""),"",E513/Séries!T512-1)</f>
        <v/>
      </c>
      <c r="J513" s="27"/>
      <c r="K513" s="1" t="str">
        <f>IF(COUNTA(A513:E513)=0,"",IF(A513="","Preencha a data",IF(NOT(ISNUMBER(A513)),"Data inválida",IF(OR(A513&lt;36526,A513&gt;73050,A513&lt;&gt;INT(A513)),"Data inválida",IF(A513&lt;=Séries!U512,"Data repetida / fora de ordem",IF(COUNTA(B513:E513)&lt;&gt;COUNT(B513:E513),"Use preços numéricos",IF(OR(AND(ISNUMBER(B513),B513&lt;=0),AND(ISNUMBER(C513),C513&lt;=0),AND(ISNUMBER(D513),D513&lt;=0),AND(ISNUMBER(E513),E513&lt;=0)),"Use preços positivos","")))))))</f>
        <v/>
      </c>
    </row>
    <row r="514" spans="1:11" ht="22.95" customHeight="1">
      <c r="A514" s="28"/>
      <c r="B514" s="29"/>
      <c r="C514" s="29"/>
      <c r="D514" s="29"/>
      <c r="E514" s="30"/>
      <c r="F514" s="22" t="str">
        <f>IF(OR($A514="",B514="",B514&lt;=0,Séries!Q513=""),"",B514/Séries!Q513-1)</f>
        <v/>
      </c>
      <c r="G514" s="22" t="str">
        <f>IF(OR($A514="",C514="",C514&lt;=0,Séries!R513=""),"",C514/Séries!R513-1)</f>
        <v/>
      </c>
      <c r="H514" s="22" t="str">
        <f>IF(OR($A514="",D514="",D514&lt;=0,Séries!S513=""),"",D514/Séries!S513-1)</f>
        <v/>
      </c>
      <c r="I514" s="22" t="str">
        <f>IF(OR($A514="",E514="",E514&lt;=0,Séries!T513=""),"",E514/Séries!T513-1)</f>
        <v/>
      </c>
      <c r="J514" s="27"/>
      <c r="K514" s="1" t="str">
        <f>IF(COUNTA(A514:E514)=0,"",IF(A514="","Preencha a data",IF(NOT(ISNUMBER(A514)),"Data inválida",IF(OR(A514&lt;36526,A514&gt;73050,A514&lt;&gt;INT(A514)),"Data inválida",IF(A514&lt;=Séries!U513,"Data repetida / fora de ordem",IF(COUNTA(B514:E514)&lt;&gt;COUNT(B514:E514),"Use preços numéricos",IF(OR(AND(ISNUMBER(B514),B514&lt;=0),AND(ISNUMBER(C514),C514&lt;=0),AND(ISNUMBER(D514),D514&lt;=0),AND(ISNUMBER(E514),E514&lt;=0)),"Use preços positivos","")))))))</f>
        <v/>
      </c>
    </row>
    <row r="515" spans="1:11" ht="22.95" customHeight="1">
      <c r="A515" s="28"/>
      <c r="B515" s="29"/>
      <c r="C515" s="29"/>
      <c r="D515" s="29"/>
      <c r="E515" s="30"/>
      <c r="F515" s="22" t="str">
        <f>IF(OR($A515="",B515="",B515&lt;=0,Séries!Q514=""),"",B515/Séries!Q514-1)</f>
        <v/>
      </c>
      <c r="G515" s="22" t="str">
        <f>IF(OR($A515="",C515="",C515&lt;=0,Séries!R514=""),"",C515/Séries!R514-1)</f>
        <v/>
      </c>
      <c r="H515" s="22" t="str">
        <f>IF(OR($A515="",D515="",D515&lt;=0,Séries!S514=""),"",D515/Séries!S514-1)</f>
        <v/>
      </c>
      <c r="I515" s="22" t="str">
        <f>IF(OR($A515="",E515="",E515&lt;=0,Séries!T514=""),"",E515/Séries!T514-1)</f>
        <v/>
      </c>
      <c r="J515" s="27"/>
      <c r="K515" s="1" t="str">
        <f>IF(COUNTA(A515:E515)=0,"",IF(A515="","Preencha a data",IF(NOT(ISNUMBER(A515)),"Data inválida",IF(OR(A515&lt;36526,A515&gt;73050,A515&lt;&gt;INT(A515)),"Data inválida",IF(A515&lt;=Séries!U514,"Data repetida / fora de ordem",IF(COUNTA(B515:E515)&lt;&gt;COUNT(B515:E515),"Use preços numéricos",IF(OR(AND(ISNUMBER(B515),B515&lt;=0),AND(ISNUMBER(C515),C515&lt;=0),AND(ISNUMBER(D515),D515&lt;=0),AND(ISNUMBER(E515),E515&lt;=0)),"Use preços positivos","")))))))</f>
        <v/>
      </c>
    </row>
    <row r="516" spans="1:11" ht="22.95" customHeight="1">
      <c r="A516" s="28"/>
      <c r="B516" s="29"/>
      <c r="C516" s="29"/>
      <c r="D516" s="29"/>
      <c r="E516" s="30"/>
      <c r="F516" s="22" t="str">
        <f>IF(OR($A516="",B516="",B516&lt;=0,Séries!Q515=""),"",B516/Séries!Q515-1)</f>
        <v/>
      </c>
      <c r="G516" s="22" t="str">
        <f>IF(OR($A516="",C516="",C516&lt;=0,Séries!R515=""),"",C516/Séries!R515-1)</f>
        <v/>
      </c>
      <c r="H516" s="22" t="str">
        <f>IF(OR($A516="",D516="",D516&lt;=0,Séries!S515=""),"",D516/Séries!S515-1)</f>
        <v/>
      </c>
      <c r="I516" s="22" t="str">
        <f>IF(OR($A516="",E516="",E516&lt;=0,Séries!T515=""),"",E516/Séries!T515-1)</f>
        <v/>
      </c>
      <c r="J516" s="27"/>
      <c r="K516" s="1" t="str">
        <f>IF(COUNTA(A516:E516)=0,"",IF(A516="","Preencha a data",IF(NOT(ISNUMBER(A516)),"Data inválida",IF(OR(A516&lt;36526,A516&gt;73050,A516&lt;&gt;INT(A516)),"Data inválida",IF(A516&lt;=Séries!U515,"Data repetida / fora de ordem",IF(COUNTA(B516:E516)&lt;&gt;COUNT(B516:E516),"Use preços numéricos",IF(OR(AND(ISNUMBER(B516),B516&lt;=0),AND(ISNUMBER(C516),C516&lt;=0),AND(ISNUMBER(D516),D516&lt;=0),AND(ISNUMBER(E516),E516&lt;=0)),"Use preços positivos","")))))))</f>
        <v/>
      </c>
    </row>
    <row r="517" spans="1:11" ht="22.95" customHeight="1">
      <c r="A517" s="28"/>
      <c r="B517" s="29"/>
      <c r="C517" s="29"/>
      <c r="D517" s="29"/>
      <c r="E517" s="30"/>
      <c r="F517" s="22" t="str">
        <f>IF(OR($A517="",B517="",B517&lt;=0,Séries!Q516=""),"",B517/Séries!Q516-1)</f>
        <v/>
      </c>
      <c r="G517" s="22" t="str">
        <f>IF(OR($A517="",C517="",C517&lt;=0,Séries!R516=""),"",C517/Séries!R516-1)</f>
        <v/>
      </c>
      <c r="H517" s="22" t="str">
        <f>IF(OR($A517="",D517="",D517&lt;=0,Séries!S516=""),"",D517/Séries!S516-1)</f>
        <v/>
      </c>
      <c r="I517" s="22" t="str">
        <f>IF(OR($A517="",E517="",E517&lt;=0,Séries!T516=""),"",E517/Séries!T516-1)</f>
        <v/>
      </c>
      <c r="J517" s="27"/>
      <c r="K517" s="1" t="str">
        <f>IF(COUNTA(A517:E517)=0,"",IF(A517="","Preencha a data",IF(NOT(ISNUMBER(A517)),"Data inválida",IF(OR(A517&lt;36526,A517&gt;73050,A517&lt;&gt;INT(A517)),"Data inválida",IF(A517&lt;=Séries!U516,"Data repetida / fora de ordem",IF(COUNTA(B517:E517)&lt;&gt;COUNT(B517:E517),"Use preços numéricos",IF(OR(AND(ISNUMBER(B517),B517&lt;=0),AND(ISNUMBER(C517),C517&lt;=0),AND(ISNUMBER(D517),D517&lt;=0),AND(ISNUMBER(E517),E517&lt;=0)),"Use preços positivos","")))))))</f>
        <v/>
      </c>
    </row>
    <row r="518" spans="1:11" ht="22.95" customHeight="1">
      <c r="A518" s="28"/>
      <c r="B518" s="29"/>
      <c r="C518" s="29"/>
      <c r="D518" s="29"/>
      <c r="E518" s="30"/>
      <c r="F518" s="22" t="str">
        <f>IF(OR($A518="",B518="",B518&lt;=0,Séries!Q517=""),"",B518/Séries!Q517-1)</f>
        <v/>
      </c>
      <c r="G518" s="22" t="str">
        <f>IF(OR($A518="",C518="",C518&lt;=0,Séries!R517=""),"",C518/Séries!R517-1)</f>
        <v/>
      </c>
      <c r="H518" s="22" t="str">
        <f>IF(OR($A518="",D518="",D518&lt;=0,Séries!S517=""),"",D518/Séries!S517-1)</f>
        <v/>
      </c>
      <c r="I518" s="22" t="str">
        <f>IF(OR($A518="",E518="",E518&lt;=0,Séries!T517=""),"",E518/Séries!T517-1)</f>
        <v/>
      </c>
      <c r="J518" s="27"/>
      <c r="K518" s="1" t="str">
        <f>IF(COUNTA(A518:E518)=0,"",IF(A518="","Preencha a data",IF(NOT(ISNUMBER(A518)),"Data inválida",IF(OR(A518&lt;36526,A518&gt;73050,A518&lt;&gt;INT(A518)),"Data inválida",IF(A518&lt;=Séries!U517,"Data repetida / fora de ordem",IF(COUNTA(B518:E518)&lt;&gt;COUNT(B518:E518),"Use preços numéricos",IF(OR(AND(ISNUMBER(B518),B518&lt;=0),AND(ISNUMBER(C518),C518&lt;=0),AND(ISNUMBER(D518),D518&lt;=0),AND(ISNUMBER(E518),E518&lt;=0)),"Use preços positivos","")))))))</f>
        <v/>
      </c>
    </row>
    <row r="519" spans="1:11" ht="22.95" customHeight="1">
      <c r="A519" s="28"/>
      <c r="B519" s="29"/>
      <c r="C519" s="29"/>
      <c r="D519" s="29"/>
      <c r="E519" s="30"/>
      <c r="F519" s="22" t="str">
        <f>IF(OR($A519="",B519="",B519&lt;=0,Séries!Q518=""),"",B519/Séries!Q518-1)</f>
        <v/>
      </c>
      <c r="G519" s="22" t="str">
        <f>IF(OR($A519="",C519="",C519&lt;=0,Séries!R518=""),"",C519/Séries!R518-1)</f>
        <v/>
      </c>
      <c r="H519" s="22" t="str">
        <f>IF(OR($A519="",D519="",D519&lt;=0,Séries!S518=""),"",D519/Séries!S518-1)</f>
        <v/>
      </c>
      <c r="I519" s="22" t="str">
        <f>IF(OR($A519="",E519="",E519&lt;=0,Séries!T518=""),"",E519/Séries!T518-1)</f>
        <v/>
      </c>
      <c r="J519" s="27"/>
      <c r="K519" s="1" t="str">
        <f>IF(COUNTA(A519:E519)=0,"",IF(A519="","Preencha a data",IF(NOT(ISNUMBER(A519)),"Data inválida",IF(OR(A519&lt;36526,A519&gt;73050,A519&lt;&gt;INT(A519)),"Data inválida",IF(A519&lt;=Séries!U518,"Data repetida / fora de ordem",IF(COUNTA(B519:E519)&lt;&gt;COUNT(B519:E519),"Use preços numéricos",IF(OR(AND(ISNUMBER(B519),B519&lt;=0),AND(ISNUMBER(C519),C519&lt;=0),AND(ISNUMBER(D519),D519&lt;=0),AND(ISNUMBER(E519),E519&lt;=0)),"Use preços positivos","")))))))</f>
        <v/>
      </c>
    </row>
    <row r="520" spans="1:11" ht="22.95" customHeight="1">
      <c r="A520" s="28"/>
      <c r="B520" s="29"/>
      <c r="C520" s="29"/>
      <c r="D520" s="29"/>
      <c r="E520" s="30"/>
      <c r="F520" s="22" t="str">
        <f>IF(OR($A520="",B520="",B520&lt;=0,Séries!Q519=""),"",B520/Séries!Q519-1)</f>
        <v/>
      </c>
      <c r="G520" s="22" t="str">
        <f>IF(OR($A520="",C520="",C520&lt;=0,Séries!R519=""),"",C520/Séries!R519-1)</f>
        <v/>
      </c>
      <c r="H520" s="22" t="str">
        <f>IF(OR($A520="",D520="",D520&lt;=0,Séries!S519=""),"",D520/Séries!S519-1)</f>
        <v/>
      </c>
      <c r="I520" s="22" t="str">
        <f>IF(OR($A520="",E520="",E520&lt;=0,Séries!T519=""),"",E520/Séries!T519-1)</f>
        <v/>
      </c>
      <c r="J520" s="27"/>
      <c r="K520" s="1" t="str">
        <f>IF(COUNTA(A520:E520)=0,"",IF(A520="","Preencha a data",IF(NOT(ISNUMBER(A520)),"Data inválida",IF(OR(A520&lt;36526,A520&gt;73050,A520&lt;&gt;INT(A520)),"Data inválida",IF(A520&lt;=Séries!U519,"Data repetida / fora de ordem",IF(COUNTA(B520:E520)&lt;&gt;COUNT(B520:E520),"Use preços numéricos",IF(OR(AND(ISNUMBER(B520),B520&lt;=0),AND(ISNUMBER(C520),C520&lt;=0),AND(ISNUMBER(D520),D520&lt;=0),AND(ISNUMBER(E520),E520&lt;=0)),"Use preços positivos","")))))))</f>
        <v/>
      </c>
    </row>
    <row r="521" spans="1:11" ht="22.95" customHeight="1">
      <c r="A521" s="28"/>
      <c r="B521" s="29"/>
      <c r="C521" s="29"/>
      <c r="D521" s="29"/>
      <c r="E521" s="30"/>
      <c r="F521" s="22" t="str">
        <f>IF(OR($A521="",B521="",B521&lt;=0,Séries!Q520=""),"",B521/Séries!Q520-1)</f>
        <v/>
      </c>
      <c r="G521" s="22" t="str">
        <f>IF(OR($A521="",C521="",C521&lt;=0,Séries!R520=""),"",C521/Séries!R520-1)</f>
        <v/>
      </c>
      <c r="H521" s="22" t="str">
        <f>IF(OR($A521="",D521="",D521&lt;=0,Séries!S520=""),"",D521/Séries!S520-1)</f>
        <v/>
      </c>
      <c r="I521" s="22" t="str">
        <f>IF(OR($A521="",E521="",E521&lt;=0,Séries!T520=""),"",E521/Séries!T520-1)</f>
        <v/>
      </c>
      <c r="J521" s="27"/>
      <c r="K521" s="1" t="str">
        <f>IF(COUNTA(A521:E521)=0,"",IF(A521="","Preencha a data",IF(NOT(ISNUMBER(A521)),"Data inválida",IF(OR(A521&lt;36526,A521&gt;73050,A521&lt;&gt;INT(A521)),"Data inválida",IF(A521&lt;=Séries!U520,"Data repetida / fora de ordem",IF(COUNTA(B521:E521)&lt;&gt;COUNT(B521:E521),"Use preços numéricos",IF(OR(AND(ISNUMBER(B521),B521&lt;=0),AND(ISNUMBER(C521),C521&lt;=0),AND(ISNUMBER(D521),D521&lt;=0),AND(ISNUMBER(E521),E521&lt;=0)),"Use preços positivos","")))))))</f>
        <v/>
      </c>
    </row>
    <row r="522" spans="1:11" ht="22.95" customHeight="1">
      <c r="A522" s="28"/>
      <c r="B522" s="29"/>
      <c r="C522" s="29"/>
      <c r="D522" s="29"/>
      <c r="E522" s="30"/>
      <c r="F522" s="22" t="str">
        <f>IF(OR($A522="",B522="",B522&lt;=0,Séries!Q521=""),"",B522/Séries!Q521-1)</f>
        <v/>
      </c>
      <c r="G522" s="22" t="str">
        <f>IF(OR($A522="",C522="",C522&lt;=0,Séries!R521=""),"",C522/Séries!R521-1)</f>
        <v/>
      </c>
      <c r="H522" s="22" t="str">
        <f>IF(OR($A522="",D522="",D522&lt;=0,Séries!S521=""),"",D522/Séries!S521-1)</f>
        <v/>
      </c>
      <c r="I522" s="22" t="str">
        <f>IF(OR($A522="",E522="",E522&lt;=0,Séries!T521=""),"",E522/Séries!T521-1)</f>
        <v/>
      </c>
      <c r="J522" s="27"/>
      <c r="K522" s="1" t="str">
        <f>IF(COUNTA(A522:E522)=0,"",IF(A522="","Preencha a data",IF(NOT(ISNUMBER(A522)),"Data inválida",IF(OR(A522&lt;36526,A522&gt;73050,A522&lt;&gt;INT(A522)),"Data inválida",IF(A522&lt;=Séries!U521,"Data repetida / fora de ordem",IF(COUNTA(B522:E522)&lt;&gt;COUNT(B522:E522),"Use preços numéricos",IF(OR(AND(ISNUMBER(B522),B522&lt;=0),AND(ISNUMBER(C522),C522&lt;=0),AND(ISNUMBER(D522),D522&lt;=0),AND(ISNUMBER(E522),E522&lt;=0)),"Use preços positivos","")))))))</f>
        <v/>
      </c>
    </row>
    <row r="523" spans="1:11" ht="22.95" customHeight="1">
      <c r="A523" s="28"/>
      <c r="B523" s="29"/>
      <c r="C523" s="29"/>
      <c r="D523" s="29"/>
      <c r="E523" s="30"/>
      <c r="F523" s="22" t="str">
        <f>IF(OR($A523="",B523="",B523&lt;=0,Séries!Q522=""),"",B523/Séries!Q522-1)</f>
        <v/>
      </c>
      <c r="G523" s="22" t="str">
        <f>IF(OR($A523="",C523="",C523&lt;=0,Séries!R522=""),"",C523/Séries!R522-1)</f>
        <v/>
      </c>
      <c r="H523" s="22" t="str">
        <f>IF(OR($A523="",D523="",D523&lt;=0,Séries!S522=""),"",D523/Séries!S522-1)</f>
        <v/>
      </c>
      <c r="I523" s="22" t="str">
        <f>IF(OR($A523="",E523="",E523&lt;=0,Séries!T522=""),"",E523/Séries!T522-1)</f>
        <v/>
      </c>
      <c r="J523" s="27"/>
      <c r="K523" s="1" t="str">
        <f>IF(COUNTA(A523:E523)=0,"",IF(A523="","Preencha a data",IF(NOT(ISNUMBER(A523)),"Data inválida",IF(OR(A523&lt;36526,A523&gt;73050,A523&lt;&gt;INT(A523)),"Data inválida",IF(A523&lt;=Séries!U522,"Data repetida / fora de ordem",IF(COUNTA(B523:E523)&lt;&gt;COUNT(B523:E523),"Use preços numéricos",IF(OR(AND(ISNUMBER(B523),B523&lt;=0),AND(ISNUMBER(C523),C523&lt;=0),AND(ISNUMBER(D523),D523&lt;=0),AND(ISNUMBER(E523),E523&lt;=0)),"Use preços positivos","")))))))</f>
        <v/>
      </c>
    </row>
    <row r="524" spans="1:11" ht="22.95" customHeight="1">
      <c r="A524" s="28"/>
      <c r="B524" s="29"/>
      <c r="C524" s="29"/>
      <c r="D524" s="29"/>
      <c r="E524" s="30"/>
      <c r="F524" s="22" t="str">
        <f>IF(OR($A524="",B524="",B524&lt;=0,Séries!Q523=""),"",B524/Séries!Q523-1)</f>
        <v/>
      </c>
      <c r="G524" s="22" t="str">
        <f>IF(OR($A524="",C524="",C524&lt;=0,Séries!R523=""),"",C524/Séries!R523-1)</f>
        <v/>
      </c>
      <c r="H524" s="22" t="str">
        <f>IF(OR($A524="",D524="",D524&lt;=0,Séries!S523=""),"",D524/Séries!S523-1)</f>
        <v/>
      </c>
      <c r="I524" s="22" t="str">
        <f>IF(OR($A524="",E524="",E524&lt;=0,Séries!T523=""),"",E524/Séries!T523-1)</f>
        <v/>
      </c>
      <c r="J524" s="27"/>
      <c r="K524" s="1" t="str">
        <f>IF(COUNTA(A524:E524)=0,"",IF(A524="","Preencha a data",IF(NOT(ISNUMBER(A524)),"Data inválida",IF(OR(A524&lt;36526,A524&gt;73050,A524&lt;&gt;INT(A524)),"Data inválida",IF(A524&lt;=Séries!U523,"Data repetida / fora de ordem",IF(COUNTA(B524:E524)&lt;&gt;COUNT(B524:E524),"Use preços numéricos",IF(OR(AND(ISNUMBER(B524),B524&lt;=0),AND(ISNUMBER(C524),C524&lt;=0),AND(ISNUMBER(D524),D524&lt;=0),AND(ISNUMBER(E524),E524&lt;=0)),"Use preços positivos","")))))))</f>
        <v/>
      </c>
    </row>
    <row r="525" spans="1:11" ht="22.95" customHeight="1">
      <c r="A525" s="28"/>
      <c r="B525" s="29"/>
      <c r="C525" s="29"/>
      <c r="D525" s="29"/>
      <c r="E525" s="30"/>
      <c r="F525" s="22" t="str">
        <f>IF(OR($A525="",B525="",B525&lt;=0,Séries!Q524=""),"",B525/Séries!Q524-1)</f>
        <v/>
      </c>
      <c r="G525" s="22" t="str">
        <f>IF(OR($A525="",C525="",C525&lt;=0,Séries!R524=""),"",C525/Séries!R524-1)</f>
        <v/>
      </c>
      <c r="H525" s="22" t="str">
        <f>IF(OR($A525="",D525="",D525&lt;=0,Séries!S524=""),"",D525/Séries!S524-1)</f>
        <v/>
      </c>
      <c r="I525" s="22" t="str">
        <f>IF(OR($A525="",E525="",E525&lt;=0,Séries!T524=""),"",E525/Séries!T524-1)</f>
        <v/>
      </c>
      <c r="J525" s="27"/>
      <c r="K525" s="1" t="str">
        <f>IF(COUNTA(A525:E525)=0,"",IF(A525="","Preencha a data",IF(NOT(ISNUMBER(A525)),"Data inválida",IF(OR(A525&lt;36526,A525&gt;73050,A525&lt;&gt;INT(A525)),"Data inválida",IF(A525&lt;=Séries!U524,"Data repetida / fora de ordem",IF(COUNTA(B525:E525)&lt;&gt;COUNT(B525:E525),"Use preços numéricos",IF(OR(AND(ISNUMBER(B525),B525&lt;=0),AND(ISNUMBER(C525),C525&lt;=0),AND(ISNUMBER(D525),D525&lt;=0),AND(ISNUMBER(E525),E525&lt;=0)),"Use preços positivos","")))))))</f>
        <v/>
      </c>
    </row>
    <row r="526" spans="1:11" ht="22.95" customHeight="1">
      <c r="A526" s="28"/>
      <c r="B526" s="29"/>
      <c r="C526" s="29"/>
      <c r="D526" s="29"/>
      <c r="E526" s="30"/>
      <c r="F526" s="22" t="str">
        <f>IF(OR($A526="",B526="",B526&lt;=0,Séries!Q525=""),"",B526/Séries!Q525-1)</f>
        <v/>
      </c>
      <c r="G526" s="22" t="str">
        <f>IF(OR($A526="",C526="",C526&lt;=0,Séries!R525=""),"",C526/Séries!R525-1)</f>
        <v/>
      </c>
      <c r="H526" s="22" t="str">
        <f>IF(OR($A526="",D526="",D526&lt;=0,Séries!S525=""),"",D526/Séries!S525-1)</f>
        <v/>
      </c>
      <c r="I526" s="22" t="str">
        <f>IF(OR($A526="",E526="",E526&lt;=0,Séries!T525=""),"",E526/Séries!T525-1)</f>
        <v/>
      </c>
      <c r="J526" s="27"/>
      <c r="K526" s="1" t="str">
        <f>IF(COUNTA(A526:E526)=0,"",IF(A526="","Preencha a data",IF(NOT(ISNUMBER(A526)),"Data inválida",IF(OR(A526&lt;36526,A526&gt;73050,A526&lt;&gt;INT(A526)),"Data inválida",IF(A526&lt;=Séries!U525,"Data repetida / fora de ordem",IF(COUNTA(B526:E526)&lt;&gt;COUNT(B526:E526),"Use preços numéricos",IF(OR(AND(ISNUMBER(B526),B526&lt;=0),AND(ISNUMBER(C526),C526&lt;=0),AND(ISNUMBER(D526),D526&lt;=0),AND(ISNUMBER(E526),E526&lt;=0)),"Use preços positivos","")))))))</f>
        <v/>
      </c>
    </row>
    <row r="527" spans="1:11" ht="22.95" customHeight="1">
      <c r="A527" s="28"/>
      <c r="B527" s="29"/>
      <c r="C527" s="29"/>
      <c r="D527" s="29"/>
      <c r="E527" s="30"/>
      <c r="F527" s="22" t="str">
        <f>IF(OR($A527="",B527="",B527&lt;=0,Séries!Q526=""),"",B527/Séries!Q526-1)</f>
        <v/>
      </c>
      <c r="G527" s="22" t="str">
        <f>IF(OR($A527="",C527="",C527&lt;=0,Séries!R526=""),"",C527/Séries!R526-1)</f>
        <v/>
      </c>
      <c r="H527" s="22" t="str">
        <f>IF(OR($A527="",D527="",D527&lt;=0,Séries!S526=""),"",D527/Séries!S526-1)</f>
        <v/>
      </c>
      <c r="I527" s="22" t="str">
        <f>IF(OR($A527="",E527="",E527&lt;=0,Séries!T526=""),"",E527/Séries!T526-1)</f>
        <v/>
      </c>
      <c r="J527" s="27"/>
      <c r="K527" s="1" t="str">
        <f>IF(COUNTA(A527:E527)=0,"",IF(A527="","Preencha a data",IF(NOT(ISNUMBER(A527)),"Data inválida",IF(OR(A527&lt;36526,A527&gt;73050,A527&lt;&gt;INT(A527)),"Data inválida",IF(A527&lt;=Séries!U526,"Data repetida / fora de ordem",IF(COUNTA(B527:E527)&lt;&gt;COUNT(B527:E527),"Use preços numéricos",IF(OR(AND(ISNUMBER(B527),B527&lt;=0),AND(ISNUMBER(C527),C527&lt;=0),AND(ISNUMBER(D527),D527&lt;=0),AND(ISNUMBER(E527),E527&lt;=0)),"Use preços positivos","")))))))</f>
        <v/>
      </c>
    </row>
    <row r="528" spans="1:11" ht="22.95" customHeight="1">
      <c r="A528" s="28"/>
      <c r="B528" s="29"/>
      <c r="C528" s="29"/>
      <c r="D528" s="29"/>
      <c r="E528" s="30"/>
      <c r="F528" s="22" t="str">
        <f>IF(OR($A528="",B528="",B528&lt;=0,Séries!Q527=""),"",B528/Séries!Q527-1)</f>
        <v/>
      </c>
      <c r="G528" s="22" t="str">
        <f>IF(OR($A528="",C528="",C528&lt;=0,Séries!R527=""),"",C528/Séries!R527-1)</f>
        <v/>
      </c>
      <c r="H528" s="22" t="str">
        <f>IF(OR($A528="",D528="",D528&lt;=0,Séries!S527=""),"",D528/Séries!S527-1)</f>
        <v/>
      </c>
      <c r="I528" s="22" t="str">
        <f>IF(OR($A528="",E528="",E528&lt;=0,Séries!T527=""),"",E528/Séries!T527-1)</f>
        <v/>
      </c>
      <c r="J528" s="27"/>
      <c r="K528" s="1" t="str">
        <f>IF(COUNTA(A528:E528)=0,"",IF(A528="","Preencha a data",IF(NOT(ISNUMBER(A528)),"Data inválida",IF(OR(A528&lt;36526,A528&gt;73050,A528&lt;&gt;INT(A528)),"Data inválida",IF(A528&lt;=Séries!U527,"Data repetida / fora de ordem",IF(COUNTA(B528:E528)&lt;&gt;COUNT(B528:E528),"Use preços numéricos",IF(OR(AND(ISNUMBER(B528),B528&lt;=0),AND(ISNUMBER(C528),C528&lt;=0),AND(ISNUMBER(D528),D528&lt;=0),AND(ISNUMBER(E528),E528&lt;=0)),"Use preços positivos","")))))))</f>
        <v/>
      </c>
    </row>
    <row r="529" spans="1:11" ht="22.95" customHeight="1">
      <c r="A529" s="28"/>
      <c r="B529" s="29"/>
      <c r="C529" s="29"/>
      <c r="D529" s="29"/>
      <c r="E529" s="30"/>
      <c r="F529" s="22" t="str">
        <f>IF(OR($A529="",B529="",B529&lt;=0,Séries!Q528=""),"",B529/Séries!Q528-1)</f>
        <v/>
      </c>
      <c r="G529" s="22" t="str">
        <f>IF(OR($A529="",C529="",C529&lt;=0,Séries!R528=""),"",C529/Séries!R528-1)</f>
        <v/>
      </c>
      <c r="H529" s="22" t="str">
        <f>IF(OR($A529="",D529="",D529&lt;=0,Séries!S528=""),"",D529/Séries!S528-1)</f>
        <v/>
      </c>
      <c r="I529" s="22" t="str">
        <f>IF(OR($A529="",E529="",E529&lt;=0,Séries!T528=""),"",E529/Séries!T528-1)</f>
        <v/>
      </c>
      <c r="J529" s="27"/>
      <c r="K529" s="1" t="str">
        <f>IF(COUNTA(A529:E529)=0,"",IF(A529="","Preencha a data",IF(NOT(ISNUMBER(A529)),"Data inválida",IF(OR(A529&lt;36526,A529&gt;73050,A529&lt;&gt;INT(A529)),"Data inválida",IF(A529&lt;=Séries!U528,"Data repetida / fora de ordem",IF(COUNTA(B529:E529)&lt;&gt;COUNT(B529:E529),"Use preços numéricos",IF(OR(AND(ISNUMBER(B529),B529&lt;=0),AND(ISNUMBER(C529),C529&lt;=0),AND(ISNUMBER(D529),D529&lt;=0),AND(ISNUMBER(E529),E529&lt;=0)),"Use preços positivos","")))))))</f>
        <v/>
      </c>
    </row>
    <row r="530" spans="1:11" ht="22.95" customHeight="1">
      <c r="A530" s="28"/>
      <c r="B530" s="29"/>
      <c r="C530" s="29"/>
      <c r="D530" s="29"/>
      <c r="E530" s="30"/>
      <c r="F530" s="22" t="str">
        <f>IF(OR($A530="",B530="",B530&lt;=0,Séries!Q529=""),"",B530/Séries!Q529-1)</f>
        <v/>
      </c>
      <c r="G530" s="22" t="str">
        <f>IF(OR($A530="",C530="",C530&lt;=0,Séries!R529=""),"",C530/Séries!R529-1)</f>
        <v/>
      </c>
      <c r="H530" s="22" t="str">
        <f>IF(OR($A530="",D530="",D530&lt;=0,Séries!S529=""),"",D530/Séries!S529-1)</f>
        <v/>
      </c>
      <c r="I530" s="22" t="str">
        <f>IF(OR($A530="",E530="",E530&lt;=0,Séries!T529=""),"",E530/Séries!T529-1)</f>
        <v/>
      </c>
      <c r="J530" s="27"/>
      <c r="K530" s="1" t="str">
        <f>IF(COUNTA(A530:E530)=0,"",IF(A530="","Preencha a data",IF(NOT(ISNUMBER(A530)),"Data inválida",IF(OR(A530&lt;36526,A530&gt;73050,A530&lt;&gt;INT(A530)),"Data inválida",IF(A530&lt;=Séries!U529,"Data repetida / fora de ordem",IF(COUNTA(B530:E530)&lt;&gt;COUNT(B530:E530),"Use preços numéricos",IF(OR(AND(ISNUMBER(B530),B530&lt;=0),AND(ISNUMBER(C530),C530&lt;=0),AND(ISNUMBER(D530),D530&lt;=0),AND(ISNUMBER(E530),E530&lt;=0)),"Use preços positivos","")))))))</f>
        <v/>
      </c>
    </row>
    <row r="531" spans="1:11" ht="22.95" customHeight="1">
      <c r="A531" s="28"/>
      <c r="B531" s="29"/>
      <c r="C531" s="29"/>
      <c r="D531" s="29"/>
      <c r="E531" s="30"/>
      <c r="F531" s="22" t="str">
        <f>IF(OR($A531="",B531="",B531&lt;=0,Séries!Q530=""),"",B531/Séries!Q530-1)</f>
        <v/>
      </c>
      <c r="G531" s="22" t="str">
        <f>IF(OR($A531="",C531="",C531&lt;=0,Séries!R530=""),"",C531/Séries!R530-1)</f>
        <v/>
      </c>
      <c r="H531" s="22" t="str">
        <f>IF(OR($A531="",D531="",D531&lt;=0,Séries!S530=""),"",D531/Séries!S530-1)</f>
        <v/>
      </c>
      <c r="I531" s="22" t="str">
        <f>IF(OR($A531="",E531="",E531&lt;=0,Séries!T530=""),"",E531/Séries!T530-1)</f>
        <v/>
      </c>
      <c r="J531" s="27"/>
      <c r="K531" s="1" t="str">
        <f>IF(COUNTA(A531:E531)=0,"",IF(A531="","Preencha a data",IF(NOT(ISNUMBER(A531)),"Data inválida",IF(OR(A531&lt;36526,A531&gt;73050,A531&lt;&gt;INT(A531)),"Data inválida",IF(A531&lt;=Séries!U530,"Data repetida / fora de ordem",IF(COUNTA(B531:E531)&lt;&gt;COUNT(B531:E531),"Use preços numéricos",IF(OR(AND(ISNUMBER(B531),B531&lt;=0),AND(ISNUMBER(C531),C531&lt;=0),AND(ISNUMBER(D531),D531&lt;=0),AND(ISNUMBER(E531),E531&lt;=0)),"Use preços positivos","")))))))</f>
        <v/>
      </c>
    </row>
    <row r="532" spans="1:11" ht="22.95" customHeight="1">
      <c r="A532" s="28"/>
      <c r="B532" s="29"/>
      <c r="C532" s="29"/>
      <c r="D532" s="29"/>
      <c r="E532" s="30"/>
      <c r="F532" s="22" t="str">
        <f>IF(OR($A532="",B532="",B532&lt;=0,Séries!Q531=""),"",B532/Séries!Q531-1)</f>
        <v/>
      </c>
      <c r="G532" s="22" t="str">
        <f>IF(OR($A532="",C532="",C532&lt;=0,Séries!R531=""),"",C532/Séries!R531-1)</f>
        <v/>
      </c>
      <c r="H532" s="22" t="str">
        <f>IF(OR($A532="",D532="",D532&lt;=0,Séries!S531=""),"",D532/Séries!S531-1)</f>
        <v/>
      </c>
      <c r="I532" s="22" t="str">
        <f>IF(OR($A532="",E532="",E532&lt;=0,Séries!T531=""),"",E532/Séries!T531-1)</f>
        <v/>
      </c>
      <c r="J532" s="27"/>
      <c r="K532" s="1" t="str">
        <f>IF(COUNTA(A532:E532)=0,"",IF(A532="","Preencha a data",IF(NOT(ISNUMBER(A532)),"Data inválida",IF(OR(A532&lt;36526,A532&gt;73050,A532&lt;&gt;INT(A532)),"Data inválida",IF(A532&lt;=Séries!U531,"Data repetida / fora de ordem",IF(COUNTA(B532:E532)&lt;&gt;COUNT(B532:E532),"Use preços numéricos",IF(OR(AND(ISNUMBER(B532),B532&lt;=0),AND(ISNUMBER(C532),C532&lt;=0),AND(ISNUMBER(D532),D532&lt;=0),AND(ISNUMBER(E532),E532&lt;=0)),"Use preços positivos","")))))))</f>
        <v/>
      </c>
    </row>
    <row r="533" spans="1:11" ht="22.95" customHeight="1">
      <c r="A533" s="28"/>
      <c r="B533" s="29"/>
      <c r="C533" s="29"/>
      <c r="D533" s="29"/>
      <c r="E533" s="30"/>
      <c r="F533" s="22" t="str">
        <f>IF(OR($A533="",B533="",B533&lt;=0,Séries!Q532=""),"",B533/Séries!Q532-1)</f>
        <v/>
      </c>
      <c r="G533" s="22" t="str">
        <f>IF(OR($A533="",C533="",C533&lt;=0,Séries!R532=""),"",C533/Séries!R532-1)</f>
        <v/>
      </c>
      <c r="H533" s="22" t="str">
        <f>IF(OR($A533="",D533="",D533&lt;=0,Séries!S532=""),"",D533/Séries!S532-1)</f>
        <v/>
      </c>
      <c r="I533" s="22" t="str">
        <f>IF(OR($A533="",E533="",E533&lt;=0,Séries!T532=""),"",E533/Séries!T532-1)</f>
        <v/>
      </c>
      <c r="J533" s="27"/>
      <c r="K533" s="1" t="str">
        <f>IF(COUNTA(A533:E533)=0,"",IF(A533="","Preencha a data",IF(NOT(ISNUMBER(A533)),"Data inválida",IF(OR(A533&lt;36526,A533&gt;73050,A533&lt;&gt;INT(A533)),"Data inválida",IF(A533&lt;=Séries!U532,"Data repetida / fora de ordem",IF(COUNTA(B533:E533)&lt;&gt;COUNT(B533:E533),"Use preços numéricos",IF(OR(AND(ISNUMBER(B533),B533&lt;=0),AND(ISNUMBER(C533),C533&lt;=0),AND(ISNUMBER(D533),D533&lt;=0),AND(ISNUMBER(E533),E533&lt;=0)),"Use preços positivos","")))))))</f>
        <v/>
      </c>
    </row>
    <row r="534" spans="1:11" ht="22.95" customHeight="1">
      <c r="A534" s="28"/>
      <c r="B534" s="29"/>
      <c r="C534" s="29"/>
      <c r="D534" s="29"/>
      <c r="E534" s="30"/>
      <c r="F534" s="22" t="str">
        <f>IF(OR($A534="",B534="",B534&lt;=0,Séries!Q533=""),"",B534/Séries!Q533-1)</f>
        <v/>
      </c>
      <c r="G534" s="22" t="str">
        <f>IF(OR($A534="",C534="",C534&lt;=0,Séries!R533=""),"",C534/Séries!R533-1)</f>
        <v/>
      </c>
      <c r="H534" s="22" t="str">
        <f>IF(OR($A534="",D534="",D534&lt;=0,Séries!S533=""),"",D534/Séries!S533-1)</f>
        <v/>
      </c>
      <c r="I534" s="22" t="str">
        <f>IF(OR($A534="",E534="",E534&lt;=0,Séries!T533=""),"",E534/Séries!T533-1)</f>
        <v/>
      </c>
      <c r="J534" s="27"/>
      <c r="K534" s="1" t="str">
        <f>IF(COUNTA(A534:E534)=0,"",IF(A534="","Preencha a data",IF(NOT(ISNUMBER(A534)),"Data inválida",IF(OR(A534&lt;36526,A534&gt;73050,A534&lt;&gt;INT(A534)),"Data inválida",IF(A534&lt;=Séries!U533,"Data repetida / fora de ordem",IF(COUNTA(B534:E534)&lt;&gt;COUNT(B534:E534),"Use preços numéricos",IF(OR(AND(ISNUMBER(B534),B534&lt;=0),AND(ISNUMBER(C534),C534&lt;=0),AND(ISNUMBER(D534),D534&lt;=0),AND(ISNUMBER(E534),E534&lt;=0)),"Use preços positivos","")))))))</f>
        <v/>
      </c>
    </row>
    <row r="535" spans="1:11" ht="22.95" customHeight="1">
      <c r="A535" s="28"/>
      <c r="B535" s="29"/>
      <c r="C535" s="29"/>
      <c r="D535" s="29"/>
      <c r="E535" s="30"/>
      <c r="F535" s="22" t="str">
        <f>IF(OR($A535="",B535="",B535&lt;=0,Séries!Q534=""),"",B535/Séries!Q534-1)</f>
        <v/>
      </c>
      <c r="G535" s="22" t="str">
        <f>IF(OR($A535="",C535="",C535&lt;=0,Séries!R534=""),"",C535/Séries!R534-1)</f>
        <v/>
      </c>
      <c r="H535" s="22" t="str">
        <f>IF(OR($A535="",D535="",D535&lt;=0,Séries!S534=""),"",D535/Séries!S534-1)</f>
        <v/>
      </c>
      <c r="I535" s="22" t="str">
        <f>IF(OR($A535="",E535="",E535&lt;=0,Séries!T534=""),"",E535/Séries!T534-1)</f>
        <v/>
      </c>
      <c r="J535" s="27"/>
      <c r="K535" s="1" t="str">
        <f>IF(COUNTA(A535:E535)=0,"",IF(A535="","Preencha a data",IF(NOT(ISNUMBER(A535)),"Data inválida",IF(OR(A535&lt;36526,A535&gt;73050,A535&lt;&gt;INT(A535)),"Data inválida",IF(A535&lt;=Séries!U534,"Data repetida / fora de ordem",IF(COUNTA(B535:E535)&lt;&gt;COUNT(B535:E535),"Use preços numéricos",IF(OR(AND(ISNUMBER(B535),B535&lt;=0),AND(ISNUMBER(C535),C535&lt;=0),AND(ISNUMBER(D535),D535&lt;=0),AND(ISNUMBER(E535),E535&lt;=0)),"Use preços positivos","")))))))</f>
        <v/>
      </c>
    </row>
    <row r="536" spans="1:11" ht="22.95" customHeight="1">
      <c r="A536" s="28"/>
      <c r="B536" s="29"/>
      <c r="C536" s="29"/>
      <c r="D536" s="29"/>
      <c r="E536" s="30"/>
      <c r="F536" s="22" t="str">
        <f>IF(OR($A536="",B536="",B536&lt;=0,Séries!Q535=""),"",B536/Séries!Q535-1)</f>
        <v/>
      </c>
      <c r="G536" s="22" t="str">
        <f>IF(OR($A536="",C536="",C536&lt;=0,Séries!R535=""),"",C536/Séries!R535-1)</f>
        <v/>
      </c>
      <c r="H536" s="22" t="str">
        <f>IF(OR($A536="",D536="",D536&lt;=0,Séries!S535=""),"",D536/Séries!S535-1)</f>
        <v/>
      </c>
      <c r="I536" s="22" t="str">
        <f>IF(OR($A536="",E536="",E536&lt;=0,Séries!T535=""),"",E536/Séries!T535-1)</f>
        <v/>
      </c>
      <c r="J536" s="27"/>
      <c r="K536" s="1" t="str">
        <f>IF(COUNTA(A536:E536)=0,"",IF(A536="","Preencha a data",IF(NOT(ISNUMBER(A536)),"Data inválida",IF(OR(A536&lt;36526,A536&gt;73050,A536&lt;&gt;INT(A536)),"Data inválida",IF(A536&lt;=Séries!U535,"Data repetida / fora de ordem",IF(COUNTA(B536:E536)&lt;&gt;COUNT(B536:E536),"Use preços numéricos",IF(OR(AND(ISNUMBER(B536),B536&lt;=0),AND(ISNUMBER(C536),C536&lt;=0),AND(ISNUMBER(D536),D536&lt;=0),AND(ISNUMBER(E536),E536&lt;=0)),"Use preços positivos","")))))))</f>
        <v/>
      </c>
    </row>
    <row r="537" spans="1:11" ht="22.95" customHeight="1">
      <c r="A537" s="28"/>
      <c r="B537" s="29"/>
      <c r="C537" s="29"/>
      <c r="D537" s="29"/>
      <c r="E537" s="30"/>
      <c r="F537" s="22" t="str">
        <f>IF(OR($A537="",B537="",B537&lt;=0,Séries!Q536=""),"",B537/Séries!Q536-1)</f>
        <v/>
      </c>
      <c r="G537" s="22" t="str">
        <f>IF(OR($A537="",C537="",C537&lt;=0,Séries!R536=""),"",C537/Séries!R536-1)</f>
        <v/>
      </c>
      <c r="H537" s="22" t="str">
        <f>IF(OR($A537="",D537="",D537&lt;=0,Séries!S536=""),"",D537/Séries!S536-1)</f>
        <v/>
      </c>
      <c r="I537" s="22" t="str">
        <f>IF(OR($A537="",E537="",E537&lt;=0,Séries!T536=""),"",E537/Séries!T536-1)</f>
        <v/>
      </c>
      <c r="J537" s="27"/>
      <c r="K537" s="1" t="str">
        <f>IF(COUNTA(A537:E537)=0,"",IF(A537="","Preencha a data",IF(NOT(ISNUMBER(A537)),"Data inválida",IF(OR(A537&lt;36526,A537&gt;73050,A537&lt;&gt;INT(A537)),"Data inválida",IF(A537&lt;=Séries!U536,"Data repetida / fora de ordem",IF(COUNTA(B537:E537)&lt;&gt;COUNT(B537:E537),"Use preços numéricos",IF(OR(AND(ISNUMBER(B537),B537&lt;=0),AND(ISNUMBER(C537),C537&lt;=0),AND(ISNUMBER(D537),D537&lt;=0),AND(ISNUMBER(E537),E537&lt;=0)),"Use preços positivos","")))))))</f>
        <v/>
      </c>
    </row>
    <row r="538" spans="1:11" ht="22.95" customHeight="1">
      <c r="A538" s="28"/>
      <c r="B538" s="29"/>
      <c r="C538" s="29"/>
      <c r="D538" s="29"/>
      <c r="E538" s="30"/>
      <c r="F538" s="22" t="str">
        <f>IF(OR($A538="",B538="",B538&lt;=0,Séries!Q537=""),"",B538/Séries!Q537-1)</f>
        <v/>
      </c>
      <c r="G538" s="22" t="str">
        <f>IF(OR($A538="",C538="",C538&lt;=0,Séries!R537=""),"",C538/Séries!R537-1)</f>
        <v/>
      </c>
      <c r="H538" s="22" t="str">
        <f>IF(OR($A538="",D538="",D538&lt;=0,Séries!S537=""),"",D538/Séries!S537-1)</f>
        <v/>
      </c>
      <c r="I538" s="22" t="str">
        <f>IF(OR($A538="",E538="",E538&lt;=0,Séries!T537=""),"",E538/Séries!T537-1)</f>
        <v/>
      </c>
      <c r="J538" s="27"/>
      <c r="K538" s="1" t="str">
        <f>IF(COUNTA(A538:E538)=0,"",IF(A538="","Preencha a data",IF(NOT(ISNUMBER(A538)),"Data inválida",IF(OR(A538&lt;36526,A538&gt;73050,A538&lt;&gt;INT(A538)),"Data inválida",IF(A538&lt;=Séries!U537,"Data repetida / fora de ordem",IF(COUNTA(B538:E538)&lt;&gt;COUNT(B538:E538),"Use preços numéricos",IF(OR(AND(ISNUMBER(B538),B538&lt;=0),AND(ISNUMBER(C538),C538&lt;=0),AND(ISNUMBER(D538),D538&lt;=0),AND(ISNUMBER(E538),E538&lt;=0)),"Use preços positivos","")))))))</f>
        <v/>
      </c>
    </row>
    <row r="539" spans="1:11" ht="22.95" customHeight="1">
      <c r="A539" s="28"/>
      <c r="B539" s="29"/>
      <c r="C539" s="29"/>
      <c r="D539" s="29"/>
      <c r="E539" s="30"/>
      <c r="F539" s="22" t="str">
        <f>IF(OR($A539="",B539="",B539&lt;=0,Séries!Q538=""),"",B539/Séries!Q538-1)</f>
        <v/>
      </c>
      <c r="G539" s="22" t="str">
        <f>IF(OR($A539="",C539="",C539&lt;=0,Séries!R538=""),"",C539/Séries!R538-1)</f>
        <v/>
      </c>
      <c r="H539" s="22" t="str">
        <f>IF(OR($A539="",D539="",D539&lt;=0,Séries!S538=""),"",D539/Séries!S538-1)</f>
        <v/>
      </c>
      <c r="I539" s="22" t="str">
        <f>IF(OR($A539="",E539="",E539&lt;=0,Séries!T538=""),"",E539/Séries!T538-1)</f>
        <v/>
      </c>
      <c r="J539" s="27"/>
      <c r="K539" s="1" t="str">
        <f>IF(COUNTA(A539:E539)=0,"",IF(A539="","Preencha a data",IF(NOT(ISNUMBER(A539)),"Data inválida",IF(OR(A539&lt;36526,A539&gt;73050,A539&lt;&gt;INT(A539)),"Data inválida",IF(A539&lt;=Séries!U538,"Data repetida / fora de ordem",IF(COUNTA(B539:E539)&lt;&gt;COUNT(B539:E539),"Use preços numéricos",IF(OR(AND(ISNUMBER(B539),B539&lt;=0),AND(ISNUMBER(C539),C539&lt;=0),AND(ISNUMBER(D539),D539&lt;=0),AND(ISNUMBER(E539),E539&lt;=0)),"Use preços positivos","")))))))</f>
        <v/>
      </c>
    </row>
    <row r="540" spans="1:11" ht="22.95" customHeight="1">
      <c r="A540" s="28"/>
      <c r="B540" s="29"/>
      <c r="C540" s="29"/>
      <c r="D540" s="29"/>
      <c r="E540" s="30"/>
      <c r="F540" s="22" t="str">
        <f>IF(OR($A540="",B540="",B540&lt;=0,Séries!Q539=""),"",B540/Séries!Q539-1)</f>
        <v/>
      </c>
      <c r="G540" s="22" t="str">
        <f>IF(OR($A540="",C540="",C540&lt;=0,Séries!R539=""),"",C540/Séries!R539-1)</f>
        <v/>
      </c>
      <c r="H540" s="22" t="str">
        <f>IF(OR($A540="",D540="",D540&lt;=0,Séries!S539=""),"",D540/Séries!S539-1)</f>
        <v/>
      </c>
      <c r="I540" s="22" t="str">
        <f>IF(OR($A540="",E540="",E540&lt;=0,Séries!T539=""),"",E540/Séries!T539-1)</f>
        <v/>
      </c>
      <c r="J540" s="27"/>
      <c r="K540" s="1" t="str">
        <f>IF(COUNTA(A540:E540)=0,"",IF(A540="","Preencha a data",IF(NOT(ISNUMBER(A540)),"Data inválida",IF(OR(A540&lt;36526,A540&gt;73050,A540&lt;&gt;INT(A540)),"Data inválida",IF(A540&lt;=Séries!U539,"Data repetida / fora de ordem",IF(COUNTA(B540:E540)&lt;&gt;COUNT(B540:E540),"Use preços numéricos",IF(OR(AND(ISNUMBER(B540),B540&lt;=0),AND(ISNUMBER(C540),C540&lt;=0),AND(ISNUMBER(D540),D540&lt;=0),AND(ISNUMBER(E540),E540&lt;=0)),"Use preços positivos","")))))))</f>
        <v/>
      </c>
    </row>
    <row r="541" spans="1:11" ht="22.95" customHeight="1">
      <c r="A541" s="28"/>
      <c r="B541" s="29"/>
      <c r="C541" s="29"/>
      <c r="D541" s="29"/>
      <c r="E541" s="30"/>
      <c r="F541" s="22" t="str">
        <f>IF(OR($A541="",B541="",B541&lt;=0,Séries!Q540=""),"",B541/Séries!Q540-1)</f>
        <v/>
      </c>
      <c r="G541" s="22" t="str">
        <f>IF(OR($A541="",C541="",C541&lt;=0,Séries!R540=""),"",C541/Séries!R540-1)</f>
        <v/>
      </c>
      <c r="H541" s="22" t="str">
        <f>IF(OR($A541="",D541="",D541&lt;=0,Séries!S540=""),"",D541/Séries!S540-1)</f>
        <v/>
      </c>
      <c r="I541" s="22" t="str">
        <f>IF(OR($A541="",E541="",E541&lt;=0,Séries!T540=""),"",E541/Séries!T540-1)</f>
        <v/>
      </c>
      <c r="J541" s="27"/>
      <c r="K541" s="1" t="str">
        <f>IF(COUNTA(A541:E541)=0,"",IF(A541="","Preencha a data",IF(NOT(ISNUMBER(A541)),"Data inválida",IF(OR(A541&lt;36526,A541&gt;73050,A541&lt;&gt;INT(A541)),"Data inválida",IF(A541&lt;=Séries!U540,"Data repetida / fora de ordem",IF(COUNTA(B541:E541)&lt;&gt;COUNT(B541:E541),"Use preços numéricos",IF(OR(AND(ISNUMBER(B541),B541&lt;=0),AND(ISNUMBER(C541),C541&lt;=0),AND(ISNUMBER(D541),D541&lt;=0),AND(ISNUMBER(E541),E541&lt;=0)),"Use preços positivos","")))))))</f>
        <v/>
      </c>
    </row>
    <row r="542" spans="1:11" ht="22.95" customHeight="1">
      <c r="A542" s="28"/>
      <c r="B542" s="29"/>
      <c r="C542" s="29"/>
      <c r="D542" s="29"/>
      <c r="E542" s="30"/>
      <c r="F542" s="22" t="str">
        <f>IF(OR($A542="",B542="",B542&lt;=0,Séries!Q541=""),"",B542/Séries!Q541-1)</f>
        <v/>
      </c>
      <c r="G542" s="22" t="str">
        <f>IF(OR($A542="",C542="",C542&lt;=0,Séries!R541=""),"",C542/Séries!R541-1)</f>
        <v/>
      </c>
      <c r="H542" s="22" t="str">
        <f>IF(OR($A542="",D542="",D542&lt;=0,Séries!S541=""),"",D542/Séries!S541-1)</f>
        <v/>
      </c>
      <c r="I542" s="22" t="str">
        <f>IF(OR($A542="",E542="",E542&lt;=0,Séries!T541=""),"",E542/Séries!T541-1)</f>
        <v/>
      </c>
      <c r="J542" s="27"/>
      <c r="K542" s="1" t="str">
        <f>IF(COUNTA(A542:E542)=0,"",IF(A542="","Preencha a data",IF(NOT(ISNUMBER(A542)),"Data inválida",IF(OR(A542&lt;36526,A542&gt;73050,A542&lt;&gt;INT(A542)),"Data inválida",IF(A542&lt;=Séries!U541,"Data repetida / fora de ordem",IF(COUNTA(B542:E542)&lt;&gt;COUNT(B542:E542),"Use preços numéricos",IF(OR(AND(ISNUMBER(B542),B542&lt;=0),AND(ISNUMBER(C542),C542&lt;=0),AND(ISNUMBER(D542),D542&lt;=0),AND(ISNUMBER(E542),E542&lt;=0)),"Use preços positivos","")))))))</f>
        <v/>
      </c>
    </row>
    <row r="543" spans="1:11" ht="22.95" customHeight="1">
      <c r="A543" s="28"/>
      <c r="B543" s="29"/>
      <c r="C543" s="29"/>
      <c r="D543" s="29"/>
      <c r="E543" s="30"/>
      <c r="F543" s="22" t="str">
        <f>IF(OR($A543="",B543="",B543&lt;=0,Séries!Q542=""),"",B543/Séries!Q542-1)</f>
        <v/>
      </c>
      <c r="G543" s="22" t="str">
        <f>IF(OR($A543="",C543="",C543&lt;=0,Séries!R542=""),"",C543/Séries!R542-1)</f>
        <v/>
      </c>
      <c r="H543" s="22" t="str">
        <f>IF(OR($A543="",D543="",D543&lt;=0,Séries!S542=""),"",D543/Séries!S542-1)</f>
        <v/>
      </c>
      <c r="I543" s="22" t="str">
        <f>IF(OR($A543="",E543="",E543&lt;=0,Séries!T542=""),"",E543/Séries!T542-1)</f>
        <v/>
      </c>
      <c r="J543" s="27"/>
      <c r="K543" s="1" t="str">
        <f>IF(COUNTA(A543:E543)=0,"",IF(A543="","Preencha a data",IF(NOT(ISNUMBER(A543)),"Data inválida",IF(OR(A543&lt;36526,A543&gt;73050,A543&lt;&gt;INT(A543)),"Data inválida",IF(A543&lt;=Séries!U542,"Data repetida / fora de ordem",IF(COUNTA(B543:E543)&lt;&gt;COUNT(B543:E543),"Use preços numéricos",IF(OR(AND(ISNUMBER(B543),B543&lt;=0),AND(ISNUMBER(C543),C543&lt;=0),AND(ISNUMBER(D543),D543&lt;=0),AND(ISNUMBER(E543),E543&lt;=0)),"Use preços positivos","")))))))</f>
        <v/>
      </c>
    </row>
    <row r="544" spans="1:11" ht="22.95" customHeight="1">
      <c r="A544" s="28"/>
      <c r="B544" s="29"/>
      <c r="C544" s="29"/>
      <c r="D544" s="29"/>
      <c r="E544" s="30"/>
      <c r="F544" s="22" t="str">
        <f>IF(OR($A544="",B544="",B544&lt;=0,Séries!Q543=""),"",B544/Séries!Q543-1)</f>
        <v/>
      </c>
      <c r="G544" s="22" t="str">
        <f>IF(OR($A544="",C544="",C544&lt;=0,Séries!R543=""),"",C544/Séries!R543-1)</f>
        <v/>
      </c>
      <c r="H544" s="22" t="str">
        <f>IF(OR($A544="",D544="",D544&lt;=0,Séries!S543=""),"",D544/Séries!S543-1)</f>
        <v/>
      </c>
      <c r="I544" s="22" t="str">
        <f>IF(OR($A544="",E544="",E544&lt;=0,Séries!T543=""),"",E544/Séries!T543-1)</f>
        <v/>
      </c>
      <c r="J544" s="27"/>
      <c r="K544" s="1" t="str">
        <f>IF(COUNTA(A544:E544)=0,"",IF(A544="","Preencha a data",IF(NOT(ISNUMBER(A544)),"Data inválida",IF(OR(A544&lt;36526,A544&gt;73050,A544&lt;&gt;INT(A544)),"Data inválida",IF(A544&lt;=Séries!U543,"Data repetida / fora de ordem",IF(COUNTA(B544:E544)&lt;&gt;COUNT(B544:E544),"Use preços numéricos",IF(OR(AND(ISNUMBER(B544),B544&lt;=0),AND(ISNUMBER(C544),C544&lt;=0),AND(ISNUMBER(D544),D544&lt;=0),AND(ISNUMBER(E544),E544&lt;=0)),"Use preços positivos","")))))))</f>
        <v/>
      </c>
    </row>
    <row r="545" spans="1:11" ht="22.95" customHeight="1">
      <c r="A545" s="28"/>
      <c r="B545" s="29"/>
      <c r="C545" s="29"/>
      <c r="D545" s="29"/>
      <c r="E545" s="30"/>
      <c r="F545" s="22" t="str">
        <f>IF(OR($A545="",B545="",B545&lt;=0,Séries!Q544=""),"",B545/Séries!Q544-1)</f>
        <v/>
      </c>
      <c r="G545" s="22" t="str">
        <f>IF(OR($A545="",C545="",C545&lt;=0,Séries!R544=""),"",C545/Séries!R544-1)</f>
        <v/>
      </c>
      <c r="H545" s="22" t="str">
        <f>IF(OR($A545="",D545="",D545&lt;=0,Séries!S544=""),"",D545/Séries!S544-1)</f>
        <v/>
      </c>
      <c r="I545" s="22" t="str">
        <f>IF(OR($A545="",E545="",E545&lt;=0,Séries!T544=""),"",E545/Séries!T544-1)</f>
        <v/>
      </c>
      <c r="J545" s="27"/>
      <c r="K545" s="1" t="str">
        <f>IF(COUNTA(A545:E545)=0,"",IF(A545="","Preencha a data",IF(NOT(ISNUMBER(A545)),"Data inválida",IF(OR(A545&lt;36526,A545&gt;73050,A545&lt;&gt;INT(A545)),"Data inválida",IF(A545&lt;=Séries!U544,"Data repetida / fora de ordem",IF(COUNTA(B545:E545)&lt;&gt;COUNT(B545:E545),"Use preços numéricos",IF(OR(AND(ISNUMBER(B545),B545&lt;=0),AND(ISNUMBER(C545),C545&lt;=0),AND(ISNUMBER(D545),D545&lt;=0),AND(ISNUMBER(E545),E545&lt;=0)),"Use preços positivos","")))))))</f>
        <v/>
      </c>
    </row>
    <row r="546" spans="1:11" ht="22.95" customHeight="1">
      <c r="A546" s="28"/>
      <c r="B546" s="29"/>
      <c r="C546" s="29"/>
      <c r="D546" s="29"/>
      <c r="E546" s="30"/>
      <c r="F546" s="22" t="str">
        <f>IF(OR($A546="",B546="",B546&lt;=0,Séries!Q545=""),"",B546/Séries!Q545-1)</f>
        <v/>
      </c>
      <c r="G546" s="22" t="str">
        <f>IF(OR($A546="",C546="",C546&lt;=0,Séries!R545=""),"",C546/Séries!R545-1)</f>
        <v/>
      </c>
      <c r="H546" s="22" t="str">
        <f>IF(OR($A546="",D546="",D546&lt;=0,Séries!S545=""),"",D546/Séries!S545-1)</f>
        <v/>
      </c>
      <c r="I546" s="22" t="str">
        <f>IF(OR($A546="",E546="",E546&lt;=0,Séries!T545=""),"",E546/Séries!T545-1)</f>
        <v/>
      </c>
      <c r="J546" s="27"/>
      <c r="K546" s="1" t="str">
        <f>IF(COUNTA(A546:E546)=0,"",IF(A546="","Preencha a data",IF(NOT(ISNUMBER(A546)),"Data inválida",IF(OR(A546&lt;36526,A546&gt;73050,A546&lt;&gt;INT(A546)),"Data inválida",IF(A546&lt;=Séries!U545,"Data repetida / fora de ordem",IF(COUNTA(B546:E546)&lt;&gt;COUNT(B546:E546),"Use preços numéricos",IF(OR(AND(ISNUMBER(B546),B546&lt;=0),AND(ISNUMBER(C546),C546&lt;=0),AND(ISNUMBER(D546),D546&lt;=0),AND(ISNUMBER(E546),E546&lt;=0)),"Use preços positivos","")))))))</f>
        <v/>
      </c>
    </row>
    <row r="547" spans="1:11" ht="22.95" customHeight="1">
      <c r="A547" s="28"/>
      <c r="B547" s="29"/>
      <c r="C547" s="29"/>
      <c r="D547" s="29"/>
      <c r="E547" s="30"/>
      <c r="F547" s="22" t="str">
        <f>IF(OR($A547="",B547="",B547&lt;=0,Séries!Q546=""),"",B547/Séries!Q546-1)</f>
        <v/>
      </c>
      <c r="G547" s="22" t="str">
        <f>IF(OR($A547="",C547="",C547&lt;=0,Séries!R546=""),"",C547/Séries!R546-1)</f>
        <v/>
      </c>
      <c r="H547" s="22" t="str">
        <f>IF(OR($A547="",D547="",D547&lt;=0,Séries!S546=""),"",D547/Séries!S546-1)</f>
        <v/>
      </c>
      <c r="I547" s="22" t="str">
        <f>IF(OR($A547="",E547="",E547&lt;=0,Séries!T546=""),"",E547/Séries!T546-1)</f>
        <v/>
      </c>
      <c r="J547" s="27"/>
      <c r="K547" s="1" t="str">
        <f>IF(COUNTA(A547:E547)=0,"",IF(A547="","Preencha a data",IF(NOT(ISNUMBER(A547)),"Data inválida",IF(OR(A547&lt;36526,A547&gt;73050,A547&lt;&gt;INT(A547)),"Data inválida",IF(A547&lt;=Séries!U546,"Data repetida / fora de ordem",IF(COUNTA(B547:E547)&lt;&gt;COUNT(B547:E547),"Use preços numéricos",IF(OR(AND(ISNUMBER(B547),B547&lt;=0),AND(ISNUMBER(C547),C547&lt;=0),AND(ISNUMBER(D547),D547&lt;=0),AND(ISNUMBER(E547),E547&lt;=0)),"Use preços positivos","")))))))</f>
        <v/>
      </c>
    </row>
    <row r="548" spans="1:11" ht="22.95" customHeight="1">
      <c r="A548" s="28"/>
      <c r="B548" s="29"/>
      <c r="C548" s="29"/>
      <c r="D548" s="29"/>
      <c r="E548" s="30"/>
      <c r="F548" s="22" t="str">
        <f>IF(OR($A548="",B548="",B548&lt;=0,Séries!Q547=""),"",B548/Séries!Q547-1)</f>
        <v/>
      </c>
      <c r="G548" s="22" t="str">
        <f>IF(OR($A548="",C548="",C548&lt;=0,Séries!R547=""),"",C548/Séries!R547-1)</f>
        <v/>
      </c>
      <c r="H548" s="22" t="str">
        <f>IF(OR($A548="",D548="",D548&lt;=0,Séries!S547=""),"",D548/Séries!S547-1)</f>
        <v/>
      </c>
      <c r="I548" s="22" t="str">
        <f>IF(OR($A548="",E548="",E548&lt;=0,Séries!T547=""),"",E548/Séries!T547-1)</f>
        <v/>
      </c>
      <c r="J548" s="27"/>
      <c r="K548" s="1" t="str">
        <f>IF(COUNTA(A548:E548)=0,"",IF(A548="","Preencha a data",IF(NOT(ISNUMBER(A548)),"Data inválida",IF(OR(A548&lt;36526,A548&gt;73050,A548&lt;&gt;INT(A548)),"Data inválida",IF(A548&lt;=Séries!U547,"Data repetida / fora de ordem",IF(COUNTA(B548:E548)&lt;&gt;COUNT(B548:E548),"Use preços numéricos",IF(OR(AND(ISNUMBER(B548),B548&lt;=0),AND(ISNUMBER(C548),C548&lt;=0),AND(ISNUMBER(D548),D548&lt;=0),AND(ISNUMBER(E548),E548&lt;=0)),"Use preços positivos","")))))))</f>
        <v/>
      </c>
    </row>
    <row r="549" spans="1:11" ht="22.95" customHeight="1">
      <c r="A549" s="28"/>
      <c r="B549" s="29"/>
      <c r="C549" s="29"/>
      <c r="D549" s="29"/>
      <c r="E549" s="30"/>
      <c r="F549" s="22" t="str">
        <f>IF(OR($A549="",B549="",B549&lt;=0,Séries!Q548=""),"",B549/Séries!Q548-1)</f>
        <v/>
      </c>
      <c r="G549" s="22" t="str">
        <f>IF(OR($A549="",C549="",C549&lt;=0,Séries!R548=""),"",C549/Séries!R548-1)</f>
        <v/>
      </c>
      <c r="H549" s="22" t="str">
        <f>IF(OR($A549="",D549="",D549&lt;=0,Séries!S548=""),"",D549/Séries!S548-1)</f>
        <v/>
      </c>
      <c r="I549" s="22" t="str">
        <f>IF(OR($A549="",E549="",E549&lt;=0,Séries!T548=""),"",E549/Séries!T548-1)</f>
        <v/>
      </c>
      <c r="J549" s="27"/>
      <c r="K549" s="1" t="str">
        <f>IF(COUNTA(A549:E549)=0,"",IF(A549="","Preencha a data",IF(NOT(ISNUMBER(A549)),"Data inválida",IF(OR(A549&lt;36526,A549&gt;73050,A549&lt;&gt;INT(A549)),"Data inválida",IF(A549&lt;=Séries!U548,"Data repetida / fora de ordem",IF(COUNTA(B549:E549)&lt;&gt;COUNT(B549:E549),"Use preços numéricos",IF(OR(AND(ISNUMBER(B549),B549&lt;=0),AND(ISNUMBER(C549),C549&lt;=0),AND(ISNUMBER(D549),D549&lt;=0),AND(ISNUMBER(E549),E549&lt;=0)),"Use preços positivos","")))))))</f>
        <v/>
      </c>
    </row>
    <row r="550" spans="1:11" ht="22.95" customHeight="1">
      <c r="A550" s="28"/>
      <c r="B550" s="29"/>
      <c r="C550" s="29"/>
      <c r="D550" s="29"/>
      <c r="E550" s="30"/>
      <c r="F550" s="22" t="str">
        <f>IF(OR($A550="",B550="",B550&lt;=0,Séries!Q549=""),"",B550/Séries!Q549-1)</f>
        <v/>
      </c>
      <c r="G550" s="22" t="str">
        <f>IF(OR($A550="",C550="",C550&lt;=0,Séries!R549=""),"",C550/Séries!R549-1)</f>
        <v/>
      </c>
      <c r="H550" s="22" t="str">
        <f>IF(OR($A550="",D550="",D550&lt;=0,Séries!S549=""),"",D550/Séries!S549-1)</f>
        <v/>
      </c>
      <c r="I550" s="22" t="str">
        <f>IF(OR($A550="",E550="",E550&lt;=0,Séries!T549=""),"",E550/Séries!T549-1)</f>
        <v/>
      </c>
      <c r="J550" s="27"/>
      <c r="K550" s="1" t="str">
        <f>IF(COUNTA(A550:E550)=0,"",IF(A550="","Preencha a data",IF(NOT(ISNUMBER(A550)),"Data inválida",IF(OR(A550&lt;36526,A550&gt;73050,A550&lt;&gt;INT(A550)),"Data inválida",IF(A550&lt;=Séries!U549,"Data repetida / fora de ordem",IF(COUNTA(B550:E550)&lt;&gt;COUNT(B550:E550),"Use preços numéricos",IF(OR(AND(ISNUMBER(B550),B550&lt;=0),AND(ISNUMBER(C550),C550&lt;=0),AND(ISNUMBER(D550),D550&lt;=0),AND(ISNUMBER(E550),E550&lt;=0)),"Use preços positivos","")))))))</f>
        <v/>
      </c>
    </row>
    <row r="551" spans="1:11" ht="22.95" customHeight="1">
      <c r="A551" s="28"/>
      <c r="B551" s="29"/>
      <c r="C551" s="29"/>
      <c r="D551" s="29"/>
      <c r="E551" s="30"/>
      <c r="F551" s="22" t="str">
        <f>IF(OR($A551="",B551="",B551&lt;=0,Séries!Q550=""),"",B551/Séries!Q550-1)</f>
        <v/>
      </c>
      <c r="G551" s="22" t="str">
        <f>IF(OR($A551="",C551="",C551&lt;=0,Séries!R550=""),"",C551/Séries!R550-1)</f>
        <v/>
      </c>
      <c r="H551" s="22" t="str">
        <f>IF(OR($A551="",D551="",D551&lt;=0,Séries!S550=""),"",D551/Séries!S550-1)</f>
        <v/>
      </c>
      <c r="I551" s="22" t="str">
        <f>IF(OR($A551="",E551="",E551&lt;=0,Séries!T550=""),"",E551/Séries!T550-1)</f>
        <v/>
      </c>
      <c r="J551" s="27"/>
      <c r="K551" s="1" t="str">
        <f>IF(COUNTA(A551:E551)=0,"",IF(A551="","Preencha a data",IF(NOT(ISNUMBER(A551)),"Data inválida",IF(OR(A551&lt;36526,A551&gt;73050,A551&lt;&gt;INT(A551)),"Data inválida",IF(A551&lt;=Séries!U550,"Data repetida / fora de ordem",IF(COUNTA(B551:E551)&lt;&gt;COUNT(B551:E551),"Use preços numéricos",IF(OR(AND(ISNUMBER(B551),B551&lt;=0),AND(ISNUMBER(C551),C551&lt;=0),AND(ISNUMBER(D551),D551&lt;=0),AND(ISNUMBER(E551),E551&lt;=0)),"Use preços positivos","")))))))</f>
        <v/>
      </c>
    </row>
    <row r="552" spans="1:11" ht="22.95" customHeight="1">
      <c r="A552" s="28"/>
      <c r="B552" s="29"/>
      <c r="C552" s="29"/>
      <c r="D552" s="29"/>
      <c r="E552" s="30"/>
      <c r="F552" s="22" t="str">
        <f>IF(OR($A552="",B552="",B552&lt;=0,Séries!Q551=""),"",B552/Séries!Q551-1)</f>
        <v/>
      </c>
      <c r="G552" s="22" t="str">
        <f>IF(OR($A552="",C552="",C552&lt;=0,Séries!R551=""),"",C552/Séries!R551-1)</f>
        <v/>
      </c>
      <c r="H552" s="22" t="str">
        <f>IF(OR($A552="",D552="",D552&lt;=0,Séries!S551=""),"",D552/Séries!S551-1)</f>
        <v/>
      </c>
      <c r="I552" s="22" t="str">
        <f>IF(OR($A552="",E552="",E552&lt;=0,Séries!T551=""),"",E552/Séries!T551-1)</f>
        <v/>
      </c>
      <c r="J552" s="27"/>
      <c r="K552" s="1" t="str">
        <f>IF(COUNTA(A552:E552)=0,"",IF(A552="","Preencha a data",IF(NOT(ISNUMBER(A552)),"Data inválida",IF(OR(A552&lt;36526,A552&gt;73050,A552&lt;&gt;INT(A552)),"Data inválida",IF(A552&lt;=Séries!U551,"Data repetida / fora de ordem",IF(COUNTA(B552:E552)&lt;&gt;COUNT(B552:E552),"Use preços numéricos",IF(OR(AND(ISNUMBER(B552),B552&lt;=0),AND(ISNUMBER(C552),C552&lt;=0),AND(ISNUMBER(D552),D552&lt;=0),AND(ISNUMBER(E552),E552&lt;=0)),"Use preços positivos","")))))))</f>
        <v/>
      </c>
    </row>
    <row r="553" spans="1:11" ht="22.95" customHeight="1">
      <c r="A553" s="28"/>
      <c r="B553" s="29"/>
      <c r="C553" s="29"/>
      <c r="D553" s="29"/>
      <c r="E553" s="30"/>
      <c r="F553" s="22" t="str">
        <f>IF(OR($A553="",B553="",B553&lt;=0,Séries!Q552=""),"",B553/Séries!Q552-1)</f>
        <v/>
      </c>
      <c r="G553" s="22" t="str">
        <f>IF(OR($A553="",C553="",C553&lt;=0,Séries!R552=""),"",C553/Séries!R552-1)</f>
        <v/>
      </c>
      <c r="H553" s="22" t="str">
        <f>IF(OR($A553="",D553="",D553&lt;=0,Séries!S552=""),"",D553/Séries!S552-1)</f>
        <v/>
      </c>
      <c r="I553" s="22" t="str">
        <f>IF(OR($A553="",E553="",E553&lt;=0,Séries!T552=""),"",E553/Séries!T552-1)</f>
        <v/>
      </c>
      <c r="J553" s="27"/>
      <c r="K553" s="1" t="str">
        <f>IF(COUNTA(A553:E553)=0,"",IF(A553="","Preencha a data",IF(NOT(ISNUMBER(A553)),"Data inválida",IF(OR(A553&lt;36526,A553&gt;73050,A553&lt;&gt;INT(A553)),"Data inválida",IF(A553&lt;=Séries!U552,"Data repetida / fora de ordem",IF(COUNTA(B553:E553)&lt;&gt;COUNT(B553:E553),"Use preços numéricos",IF(OR(AND(ISNUMBER(B553),B553&lt;=0),AND(ISNUMBER(C553),C553&lt;=0),AND(ISNUMBER(D553),D553&lt;=0),AND(ISNUMBER(E553),E553&lt;=0)),"Use preços positivos","")))))))</f>
        <v/>
      </c>
    </row>
    <row r="554" spans="1:11" ht="22.95" customHeight="1">
      <c r="A554" s="28"/>
      <c r="B554" s="29"/>
      <c r="C554" s="29"/>
      <c r="D554" s="29"/>
      <c r="E554" s="30"/>
      <c r="F554" s="22" t="str">
        <f>IF(OR($A554="",B554="",B554&lt;=0,Séries!Q553=""),"",B554/Séries!Q553-1)</f>
        <v/>
      </c>
      <c r="G554" s="22" t="str">
        <f>IF(OR($A554="",C554="",C554&lt;=0,Séries!R553=""),"",C554/Séries!R553-1)</f>
        <v/>
      </c>
      <c r="H554" s="22" t="str">
        <f>IF(OR($A554="",D554="",D554&lt;=0,Séries!S553=""),"",D554/Séries!S553-1)</f>
        <v/>
      </c>
      <c r="I554" s="22" t="str">
        <f>IF(OR($A554="",E554="",E554&lt;=0,Séries!T553=""),"",E554/Séries!T553-1)</f>
        <v/>
      </c>
      <c r="J554" s="27"/>
      <c r="K554" s="1" t="str">
        <f>IF(COUNTA(A554:E554)=0,"",IF(A554="","Preencha a data",IF(NOT(ISNUMBER(A554)),"Data inválida",IF(OR(A554&lt;36526,A554&gt;73050,A554&lt;&gt;INT(A554)),"Data inválida",IF(A554&lt;=Séries!U553,"Data repetida / fora de ordem",IF(COUNTA(B554:E554)&lt;&gt;COUNT(B554:E554),"Use preços numéricos",IF(OR(AND(ISNUMBER(B554),B554&lt;=0),AND(ISNUMBER(C554),C554&lt;=0),AND(ISNUMBER(D554),D554&lt;=0),AND(ISNUMBER(E554),E554&lt;=0)),"Use preços positivos","")))))))</f>
        <v/>
      </c>
    </row>
    <row r="555" spans="1:11" ht="22.95" customHeight="1">
      <c r="A555" s="28"/>
      <c r="B555" s="29"/>
      <c r="C555" s="29"/>
      <c r="D555" s="29"/>
      <c r="E555" s="30"/>
      <c r="F555" s="22" t="str">
        <f>IF(OR($A555="",B555="",B555&lt;=0,Séries!Q554=""),"",B555/Séries!Q554-1)</f>
        <v/>
      </c>
      <c r="G555" s="22" t="str">
        <f>IF(OR($A555="",C555="",C555&lt;=0,Séries!R554=""),"",C555/Séries!R554-1)</f>
        <v/>
      </c>
      <c r="H555" s="22" t="str">
        <f>IF(OR($A555="",D555="",D555&lt;=0,Séries!S554=""),"",D555/Séries!S554-1)</f>
        <v/>
      </c>
      <c r="I555" s="22" t="str">
        <f>IF(OR($A555="",E555="",E555&lt;=0,Séries!T554=""),"",E555/Séries!T554-1)</f>
        <v/>
      </c>
      <c r="J555" s="27"/>
      <c r="K555" s="1" t="str">
        <f>IF(COUNTA(A555:E555)=0,"",IF(A555="","Preencha a data",IF(NOT(ISNUMBER(A555)),"Data inválida",IF(OR(A555&lt;36526,A555&gt;73050,A555&lt;&gt;INT(A555)),"Data inválida",IF(A555&lt;=Séries!U554,"Data repetida / fora de ordem",IF(COUNTA(B555:E555)&lt;&gt;COUNT(B555:E555),"Use preços numéricos",IF(OR(AND(ISNUMBER(B555),B555&lt;=0),AND(ISNUMBER(C555),C555&lt;=0),AND(ISNUMBER(D555),D555&lt;=0),AND(ISNUMBER(E555),E555&lt;=0)),"Use preços positivos","")))))))</f>
        <v/>
      </c>
    </row>
    <row r="556" spans="1:11" ht="22.95" customHeight="1">
      <c r="A556" s="28"/>
      <c r="B556" s="29"/>
      <c r="C556" s="29"/>
      <c r="D556" s="29"/>
      <c r="E556" s="30"/>
      <c r="F556" s="22" t="str">
        <f>IF(OR($A556="",B556="",B556&lt;=0,Séries!Q555=""),"",B556/Séries!Q555-1)</f>
        <v/>
      </c>
      <c r="G556" s="22" t="str">
        <f>IF(OR($A556="",C556="",C556&lt;=0,Séries!R555=""),"",C556/Séries!R555-1)</f>
        <v/>
      </c>
      <c r="H556" s="22" t="str">
        <f>IF(OR($A556="",D556="",D556&lt;=0,Séries!S555=""),"",D556/Séries!S555-1)</f>
        <v/>
      </c>
      <c r="I556" s="22" t="str">
        <f>IF(OR($A556="",E556="",E556&lt;=0,Séries!T555=""),"",E556/Séries!T555-1)</f>
        <v/>
      </c>
      <c r="J556" s="27"/>
      <c r="K556" s="1" t="str">
        <f>IF(COUNTA(A556:E556)=0,"",IF(A556="","Preencha a data",IF(NOT(ISNUMBER(A556)),"Data inválida",IF(OR(A556&lt;36526,A556&gt;73050,A556&lt;&gt;INT(A556)),"Data inválida",IF(A556&lt;=Séries!U555,"Data repetida / fora de ordem",IF(COUNTA(B556:E556)&lt;&gt;COUNT(B556:E556),"Use preços numéricos",IF(OR(AND(ISNUMBER(B556),B556&lt;=0),AND(ISNUMBER(C556),C556&lt;=0),AND(ISNUMBER(D556),D556&lt;=0),AND(ISNUMBER(E556),E556&lt;=0)),"Use preços positivos","")))))))</f>
        <v/>
      </c>
    </row>
    <row r="557" spans="1:11" ht="22.95" customHeight="1">
      <c r="A557" s="28"/>
      <c r="B557" s="29"/>
      <c r="C557" s="29"/>
      <c r="D557" s="29"/>
      <c r="E557" s="30"/>
      <c r="F557" s="22" t="str">
        <f>IF(OR($A557="",B557="",B557&lt;=0,Séries!Q556=""),"",B557/Séries!Q556-1)</f>
        <v/>
      </c>
      <c r="G557" s="22" t="str">
        <f>IF(OR($A557="",C557="",C557&lt;=0,Séries!R556=""),"",C557/Séries!R556-1)</f>
        <v/>
      </c>
      <c r="H557" s="22" t="str">
        <f>IF(OR($A557="",D557="",D557&lt;=0,Séries!S556=""),"",D557/Séries!S556-1)</f>
        <v/>
      </c>
      <c r="I557" s="22" t="str">
        <f>IF(OR($A557="",E557="",E557&lt;=0,Séries!T556=""),"",E557/Séries!T556-1)</f>
        <v/>
      </c>
      <c r="J557" s="27"/>
      <c r="K557" s="1" t="str">
        <f>IF(COUNTA(A557:E557)=0,"",IF(A557="","Preencha a data",IF(NOT(ISNUMBER(A557)),"Data inválida",IF(OR(A557&lt;36526,A557&gt;73050,A557&lt;&gt;INT(A557)),"Data inválida",IF(A557&lt;=Séries!U556,"Data repetida / fora de ordem",IF(COUNTA(B557:E557)&lt;&gt;COUNT(B557:E557),"Use preços numéricos",IF(OR(AND(ISNUMBER(B557),B557&lt;=0),AND(ISNUMBER(C557),C557&lt;=0),AND(ISNUMBER(D557),D557&lt;=0),AND(ISNUMBER(E557),E557&lt;=0)),"Use preços positivos","")))))))</f>
        <v/>
      </c>
    </row>
    <row r="558" spans="1:11" ht="22.95" customHeight="1">
      <c r="A558" s="28"/>
      <c r="B558" s="29"/>
      <c r="C558" s="29"/>
      <c r="D558" s="29"/>
      <c r="E558" s="30"/>
      <c r="F558" s="22" t="str">
        <f>IF(OR($A558="",B558="",B558&lt;=0,Séries!Q557=""),"",B558/Séries!Q557-1)</f>
        <v/>
      </c>
      <c r="G558" s="22" t="str">
        <f>IF(OR($A558="",C558="",C558&lt;=0,Séries!R557=""),"",C558/Séries!R557-1)</f>
        <v/>
      </c>
      <c r="H558" s="22" t="str">
        <f>IF(OR($A558="",D558="",D558&lt;=0,Séries!S557=""),"",D558/Séries!S557-1)</f>
        <v/>
      </c>
      <c r="I558" s="22" t="str">
        <f>IF(OR($A558="",E558="",E558&lt;=0,Séries!T557=""),"",E558/Séries!T557-1)</f>
        <v/>
      </c>
      <c r="J558" s="27"/>
      <c r="K558" s="1" t="str">
        <f>IF(COUNTA(A558:E558)=0,"",IF(A558="","Preencha a data",IF(NOT(ISNUMBER(A558)),"Data inválida",IF(OR(A558&lt;36526,A558&gt;73050,A558&lt;&gt;INT(A558)),"Data inválida",IF(A558&lt;=Séries!U557,"Data repetida / fora de ordem",IF(COUNTA(B558:E558)&lt;&gt;COUNT(B558:E558),"Use preços numéricos",IF(OR(AND(ISNUMBER(B558),B558&lt;=0),AND(ISNUMBER(C558),C558&lt;=0),AND(ISNUMBER(D558),D558&lt;=0),AND(ISNUMBER(E558),E558&lt;=0)),"Use preços positivos","")))))))</f>
        <v/>
      </c>
    </row>
    <row r="559" spans="1:11" ht="22.95" customHeight="1">
      <c r="A559" s="28"/>
      <c r="B559" s="29"/>
      <c r="C559" s="29"/>
      <c r="D559" s="29"/>
      <c r="E559" s="30"/>
      <c r="F559" s="22" t="str">
        <f>IF(OR($A559="",B559="",B559&lt;=0,Séries!Q558=""),"",B559/Séries!Q558-1)</f>
        <v/>
      </c>
      <c r="G559" s="22" t="str">
        <f>IF(OR($A559="",C559="",C559&lt;=0,Séries!R558=""),"",C559/Séries!R558-1)</f>
        <v/>
      </c>
      <c r="H559" s="22" t="str">
        <f>IF(OR($A559="",D559="",D559&lt;=0,Séries!S558=""),"",D559/Séries!S558-1)</f>
        <v/>
      </c>
      <c r="I559" s="22" t="str">
        <f>IF(OR($A559="",E559="",E559&lt;=0,Séries!T558=""),"",E559/Séries!T558-1)</f>
        <v/>
      </c>
      <c r="J559" s="27"/>
      <c r="K559" s="1" t="str">
        <f>IF(COUNTA(A559:E559)=0,"",IF(A559="","Preencha a data",IF(NOT(ISNUMBER(A559)),"Data inválida",IF(OR(A559&lt;36526,A559&gt;73050,A559&lt;&gt;INT(A559)),"Data inválida",IF(A559&lt;=Séries!U558,"Data repetida / fora de ordem",IF(COUNTA(B559:E559)&lt;&gt;COUNT(B559:E559),"Use preços numéricos",IF(OR(AND(ISNUMBER(B559),B559&lt;=0),AND(ISNUMBER(C559),C559&lt;=0),AND(ISNUMBER(D559),D559&lt;=0),AND(ISNUMBER(E559),E559&lt;=0)),"Use preços positivos","")))))))</f>
        <v/>
      </c>
    </row>
    <row r="560" spans="1:11" ht="22.95" customHeight="1">
      <c r="A560" s="28"/>
      <c r="B560" s="29"/>
      <c r="C560" s="29"/>
      <c r="D560" s="29"/>
      <c r="E560" s="30"/>
      <c r="F560" s="22" t="str">
        <f>IF(OR($A560="",B560="",B560&lt;=0,Séries!Q559=""),"",B560/Séries!Q559-1)</f>
        <v/>
      </c>
      <c r="G560" s="22" t="str">
        <f>IF(OR($A560="",C560="",C560&lt;=0,Séries!R559=""),"",C560/Séries!R559-1)</f>
        <v/>
      </c>
      <c r="H560" s="22" t="str">
        <f>IF(OR($A560="",D560="",D560&lt;=0,Séries!S559=""),"",D560/Séries!S559-1)</f>
        <v/>
      </c>
      <c r="I560" s="22" t="str">
        <f>IF(OR($A560="",E560="",E560&lt;=0,Séries!T559=""),"",E560/Séries!T559-1)</f>
        <v/>
      </c>
      <c r="J560" s="27"/>
      <c r="K560" s="1" t="str">
        <f>IF(COUNTA(A560:E560)=0,"",IF(A560="","Preencha a data",IF(NOT(ISNUMBER(A560)),"Data inválida",IF(OR(A560&lt;36526,A560&gt;73050,A560&lt;&gt;INT(A560)),"Data inválida",IF(A560&lt;=Séries!U559,"Data repetida / fora de ordem",IF(COUNTA(B560:E560)&lt;&gt;COUNT(B560:E560),"Use preços numéricos",IF(OR(AND(ISNUMBER(B560),B560&lt;=0),AND(ISNUMBER(C560),C560&lt;=0),AND(ISNUMBER(D560),D560&lt;=0),AND(ISNUMBER(E560),E560&lt;=0)),"Use preços positivos","")))))))</f>
        <v/>
      </c>
    </row>
    <row r="561" spans="1:11" ht="22.95" customHeight="1">
      <c r="A561" s="28"/>
      <c r="B561" s="29"/>
      <c r="C561" s="29"/>
      <c r="D561" s="29"/>
      <c r="E561" s="30"/>
      <c r="F561" s="22" t="str">
        <f>IF(OR($A561="",B561="",B561&lt;=0,Séries!Q560=""),"",B561/Séries!Q560-1)</f>
        <v/>
      </c>
      <c r="G561" s="22" t="str">
        <f>IF(OR($A561="",C561="",C561&lt;=0,Séries!R560=""),"",C561/Séries!R560-1)</f>
        <v/>
      </c>
      <c r="H561" s="22" t="str">
        <f>IF(OR($A561="",D561="",D561&lt;=0,Séries!S560=""),"",D561/Séries!S560-1)</f>
        <v/>
      </c>
      <c r="I561" s="22" t="str">
        <f>IF(OR($A561="",E561="",E561&lt;=0,Séries!T560=""),"",E561/Séries!T560-1)</f>
        <v/>
      </c>
      <c r="J561" s="27"/>
      <c r="K561" s="1" t="str">
        <f>IF(COUNTA(A561:E561)=0,"",IF(A561="","Preencha a data",IF(NOT(ISNUMBER(A561)),"Data inválida",IF(OR(A561&lt;36526,A561&gt;73050,A561&lt;&gt;INT(A561)),"Data inválida",IF(A561&lt;=Séries!U560,"Data repetida / fora de ordem",IF(COUNTA(B561:E561)&lt;&gt;COUNT(B561:E561),"Use preços numéricos",IF(OR(AND(ISNUMBER(B561),B561&lt;=0),AND(ISNUMBER(C561),C561&lt;=0),AND(ISNUMBER(D561),D561&lt;=0),AND(ISNUMBER(E561),E561&lt;=0)),"Use preços positivos","")))))))</f>
        <v/>
      </c>
    </row>
    <row r="562" spans="1:11" ht="22.95" customHeight="1">
      <c r="A562" s="28"/>
      <c r="B562" s="29"/>
      <c r="C562" s="29"/>
      <c r="D562" s="29"/>
      <c r="E562" s="30"/>
      <c r="F562" s="22" t="str">
        <f>IF(OR($A562="",B562="",B562&lt;=0,Séries!Q561=""),"",B562/Séries!Q561-1)</f>
        <v/>
      </c>
      <c r="G562" s="22" t="str">
        <f>IF(OR($A562="",C562="",C562&lt;=0,Séries!R561=""),"",C562/Séries!R561-1)</f>
        <v/>
      </c>
      <c r="H562" s="22" t="str">
        <f>IF(OR($A562="",D562="",D562&lt;=0,Séries!S561=""),"",D562/Séries!S561-1)</f>
        <v/>
      </c>
      <c r="I562" s="22" t="str">
        <f>IF(OR($A562="",E562="",E562&lt;=0,Séries!T561=""),"",E562/Séries!T561-1)</f>
        <v/>
      </c>
      <c r="J562" s="27"/>
      <c r="K562" s="1" t="str">
        <f>IF(COUNTA(A562:E562)=0,"",IF(A562="","Preencha a data",IF(NOT(ISNUMBER(A562)),"Data inválida",IF(OR(A562&lt;36526,A562&gt;73050,A562&lt;&gt;INT(A562)),"Data inválida",IF(A562&lt;=Séries!U561,"Data repetida / fora de ordem",IF(COUNTA(B562:E562)&lt;&gt;COUNT(B562:E562),"Use preços numéricos",IF(OR(AND(ISNUMBER(B562),B562&lt;=0),AND(ISNUMBER(C562),C562&lt;=0),AND(ISNUMBER(D562),D562&lt;=0),AND(ISNUMBER(E562),E562&lt;=0)),"Use preços positivos","")))))))</f>
        <v/>
      </c>
    </row>
    <row r="563" spans="1:11" ht="22.95" customHeight="1">
      <c r="A563" s="28"/>
      <c r="B563" s="29"/>
      <c r="C563" s="29"/>
      <c r="D563" s="29"/>
      <c r="E563" s="30"/>
      <c r="F563" s="22" t="str">
        <f>IF(OR($A563="",B563="",B563&lt;=0,Séries!Q562=""),"",B563/Séries!Q562-1)</f>
        <v/>
      </c>
      <c r="G563" s="22" t="str">
        <f>IF(OR($A563="",C563="",C563&lt;=0,Séries!R562=""),"",C563/Séries!R562-1)</f>
        <v/>
      </c>
      <c r="H563" s="22" t="str">
        <f>IF(OR($A563="",D563="",D563&lt;=0,Séries!S562=""),"",D563/Séries!S562-1)</f>
        <v/>
      </c>
      <c r="I563" s="22" t="str">
        <f>IF(OR($A563="",E563="",E563&lt;=0,Séries!T562=""),"",E563/Séries!T562-1)</f>
        <v/>
      </c>
      <c r="J563" s="27"/>
      <c r="K563" s="1" t="str">
        <f>IF(COUNTA(A563:E563)=0,"",IF(A563="","Preencha a data",IF(NOT(ISNUMBER(A563)),"Data inválida",IF(OR(A563&lt;36526,A563&gt;73050,A563&lt;&gt;INT(A563)),"Data inválida",IF(A563&lt;=Séries!U562,"Data repetida / fora de ordem",IF(COUNTA(B563:E563)&lt;&gt;COUNT(B563:E563),"Use preços numéricos",IF(OR(AND(ISNUMBER(B563),B563&lt;=0),AND(ISNUMBER(C563),C563&lt;=0),AND(ISNUMBER(D563),D563&lt;=0),AND(ISNUMBER(E563),E563&lt;=0)),"Use preços positivos","")))))))</f>
        <v/>
      </c>
    </row>
    <row r="564" spans="1:11" ht="22.95" customHeight="1">
      <c r="A564" s="28"/>
      <c r="B564" s="29"/>
      <c r="C564" s="29"/>
      <c r="D564" s="29"/>
      <c r="E564" s="30"/>
      <c r="F564" s="22" t="str">
        <f>IF(OR($A564="",B564="",B564&lt;=0,Séries!Q563=""),"",B564/Séries!Q563-1)</f>
        <v/>
      </c>
      <c r="G564" s="22" t="str">
        <f>IF(OR($A564="",C564="",C564&lt;=0,Séries!R563=""),"",C564/Séries!R563-1)</f>
        <v/>
      </c>
      <c r="H564" s="22" t="str">
        <f>IF(OR($A564="",D564="",D564&lt;=0,Séries!S563=""),"",D564/Séries!S563-1)</f>
        <v/>
      </c>
      <c r="I564" s="22" t="str">
        <f>IF(OR($A564="",E564="",E564&lt;=0,Séries!T563=""),"",E564/Séries!T563-1)</f>
        <v/>
      </c>
      <c r="J564" s="27"/>
      <c r="K564" s="1" t="str">
        <f>IF(COUNTA(A564:E564)=0,"",IF(A564="","Preencha a data",IF(NOT(ISNUMBER(A564)),"Data inválida",IF(OR(A564&lt;36526,A564&gt;73050,A564&lt;&gt;INT(A564)),"Data inválida",IF(A564&lt;=Séries!U563,"Data repetida / fora de ordem",IF(COUNTA(B564:E564)&lt;&gt;COUNT(B564:E564),"Use preços numéricos",IF(OR(AND(ISNUMBER(B564),B564&lt;=0),AND(ISNUMBER(C564),C564&lt;=0),AND(ISNUMBER(D564),D564&lt;=0),AND(ISNUMBER(E564),E564&lt;=0)),"Use preços positivos","")))))))</f>
        <v/>
      </c>
    </row>
    <row r="565" spans="1:11" ht="22.95" customHeight="1">
      <c r="A565" s="28"/>
      <c r="B565" s="29"/>
      <c r="C565" s="29"/>
      <c r="D565" s="29"/>
      <c r="E565" s="30"/>
      <c r="F565" s="22" t="str">
        <f>IF(OR($A565="",B565="",B565&lt;=0,Séries!Q564=""),"",B565/Séries!Q564-1)</f>
        <v/>
      </c>
      <c r="G565" s="22" t="str">
        <f>IF(OR($A565="",C565="",C565&lt;=0,Séries!R564=""),"",C565/Séries!R564-1)</f>
        <v/>
      </c>
      <c r="H565" s="22" t="str">
        <f>IF(OR($A565="",D565="",D565&lt;=0,Séries!S564=""),"",D565/Séries!S564-1)</f>
        <v/>
      </c>
      <c r="I565" s="22" t="str">
        <f>IF(OR($A565="",E565="",E565&lt;=0,Séries!T564=""),"",E565/Séries!T564-1)</f>
        <v/>
      </c>
      <c r="J565" s="27"/>
      <c r="K565" s="1" t="str">
        <f>IF(COUNTA(A565:E565)=0,"",IF(A565="","Preencha a data",IF(NOT(ISNUMBER(A565)),"Data inválida",IF(OR(A565&lt;36526,A565&gt;73050,A565&lt;&gt;INT(A565)),"Data inválida",IF(A565&lt;=Séries!U564,"Data repetida / fora de ordem",IF(COUNTA(B565:E565)&lt;&gt;COUNT(B565:E565),"Use preços numéricos",IF(OR(AND(ISNUMBER(B565),B565&lt;=0),AND(ISNUMBER(C565),C565&lt;=0),AND(ISNUMBER(D565),D565&lt;=0),AND(ISNUMBER(E565),E565&lt;=0)),"Use preços positivos","")))))))</f>
        <v/>
      </c>
    </row>
    <row r="566" spans="1:11" ht="22.95" customHeight="1">
      <c r="A566" s="28"/>
      <c r="B566" s="29"/>
      <c r="C566" s="29"/>
      <c r="D566" s="29"/>
      <c r="E566" s="30"/>
      <c r="F566" s="22" t="str">
        <f>IF(OR($A566="",B566="",B566&lt;=0,Séries!Q565=""),"",B566/Séries!Q565-1)</f>
        <v/>
      </c>
      <c r="G566" s="22" t="str">
        <f>IF(OR($A566="",C566="",C566&lt;=0,Séries!R565=""),"",C566/Séries!R565-1)</f>
        <v/>
      </c>
      <c r="H566" s="22" t="str">
        <f>IF(OR($A566="",D566="",D566&lt;=0,Séries!S565=""),"",D566/Séries!S565-1)</f>
        <v/>
      </c>
      <c r="I566" s="22" t="str">
        <f>IF(OR($A566="",E566="",E566&lt;=0,Séries!T565=""),"",E566/Séries!T565-1)</f>
        <v/>
      </c>
      <c r="J566" s="27"/>
      <c r="K566" s="1" t="str">
        <f>IF(COUNTA(A566:E566)=0,"",IF(A566="","Preencha a data",IF(NOT(ISNUMBER(A566)),"Data inválida",IF(OR(A566&lt;36526,A566&gt;73050,A566&lt;&gt;INT(A566)),"Data inválida",IF(A566&lt;=Séries!U565,"Data repetida / fora de ordem",IF(COUNTA(B566:E566)&lt;&gt;COUNT(B566:E566),"Use preços numéricos",IF(OR(AND(ISNUMBER(B566),B566&lt;=0),AND(ISNUMBER(C566),C566&lt;=0),AND(ISNUMBER(D566),D566&lt;=0),AND(ISNUMBER(E566),E566&lt;=0)),"Use preços positivos","")))))))</f>
        <v/>
      </c>
    </row>
    <row r="567" spans="1:11" ht="22.95" customHeight="1">
      <c r="A567" s="28"/>
      <c r="B567" s="29"/>
      <c r="C567" s="29"/>
      <c r="D567" s="29"/>
      <c r="E567" s="30"/>
      <c r="F567" s="22" t="str">
        <f>IF(OR($A567="",B567="",B567&lt;=0,Séries!Q566=""),"",B567/Séries!Q566-1)</f>
        <v/>
      </c>
      <c r="G567" s="22" t="str">
        <f>IF(OR($A567="",C567="",C567&lt;=0,Séries!R566=""),"",C567/Séries!R566-1)</f>
        <v/>
      </c>
      <c r="H567" s="22" t="str">
        <f>IF(OR($A567="",D567="",D567&lt;=0,Séries!S566=""),"",D567/Séries!S566-1)</f>
        <v/>
      </c>
      <c r="I567" s="22" t="str">
        <f>IF(OR($A567="",E567="",E567&lt;=0,Séries!T566=""),"",E567/Séries!T566-1)</f>
        <v/>
      </c>
      <c r="J567" s="27"/>
      <c r="K567" s="1" t="str">
        <f>IF(COUNTA(A567:E567)=0,"",IF(A567="","Preencha a data",IF(NOT(ISNUMBER(A567)),"Data inválida",IF(OR(A567&lt;36526,A567&gt;73050,A567&lt;&gt;INT(A567)),"Data inválida",IF(A567&lt;=Séries!U566,"Data repetida / fora de ordem",IF(COUNTA(B567:E567)&lt;&gt;COUNT(B567:E567),"Use preços numéricos",IF(OR(AND(ISNUMBER(B567),B567&lt;=0),AND(ISNUMBER(C567),C567&lt;=0),AND(ISNUMBER(D567),D567&lt;=0),AND(ISNUMBER(E567),E567&lt;=0)),"Use preços positivos","")))))))</f>
        <v/>
      </c>
    </row>
    <row r="568" spans="1:11" ht="22.95" customHeight="1">
      <c r="A568" s="28"/>
      <c r="B568" s="29"/>
      <c r="C568" s="29"/>
      <c r="D568" s="29"/>
      <c r="E568" s="30"/>
      <c r="F568" s="22" t="str">
        <f>IF(OR($A568="",B568="",B568&lt;=0,Séries!Q567=""),"",B568/Séries!Q567-1)</f>
        <v/>
      </c>
      <c r="G568" s="22" t="str">
        <f>IF(OR($A568="",C568="",C568&lt;=0,Séries!R567=""),"",C568/Séries!R567-1)</f>
        <v/>
      </c>
      <c r="H568" s="22" t="str">
        <f>IF(OR($A568="",D568="",D568&lt;=0,Séries!S567=""),"",D568/Séries!S567-1)</f>
        <v/>
      </c>
      <c r="I568" s="22" t="str">
        <f>IF(OR($A568="",E568="",E568&lt;=0,Séries!T567=""),"",E568/Séries!T567-1)</f>
        <v/>
      </c>
      <c r="J568" s="27"/>
      <c r="K568" s="1" t="str">
        <f>IF(COUNTA(A568:E568)=0,"",IF(A568="","Preencha a data",IF(NOT(ISNUMBER(A568)),"Data inválida",IF(OR(A568&lt;36526,A568&gt;73050,A568&lt;&gt;INT(A568)),"Data inválida",IF(A568&lt;=Séries!U567,"Data repetida / fora de ordem",IF(COUNTA(B568:E568)&lt;&gt;COUNT(B568:E568),"Use preços numéricos",IF(OR(AND(ISNUMBER(B568),B568&lt;=0),AND(ISNUMBER(C568),C568&lt;=0),AND(ISNUMBER(D568),D568&lt;=0),AND(ISNUMBER(E568),E568&lt;=0)),"Use preços positivos","")))))))</f>
        <v/>
      </c>
    </row>
    <row r="569" spans="1:11" ht="22.95" customHeight="1">
      <c r="A569" s="28"/>
      <c r="B569" s="29"/>
      <c r="C569" s="29"/>
      <c r="D569" s="29"/>
      <c r="E569" s="30"/>
      <c r="F569" s="22" t="str">
        <f>IF(OR($A569="",B569="",B569&lt;=0,Séries!Q568=""),"",B569/Séries!Q568-1)</f>
        <v/>
      </c>
      <c r="G569" s="22" t="str">
        <f>IF(OR($A569="",C569="",C569&lt;=0,Séries!R568=""),"",C569/Séries!R568-1)</f>
        <v/>
      </c>
      <c r="H569" s="22" t="str">
        <f>IF(OR($A569="",D569="",D569&lt;=0,Séries!S568=""),"",D569/Séries!S568-1)</f>
        <v/>
      </c>
      <c r="I569" s="22" t="str">
        <f>IF(OR($A569="",E569="",E569&lt;=0,Séries!T568=""),"",E569/Séries!T568-1)</f>
        <v/>
      </c>
      <c r="J569" s="27"/>
      <c r="K569" s="1" t="str">
        <f>IF(COUNTA(A569:E569)=0,"",IF(A569="","Preencha a data",IF(NOT(ISNUMBER(A569)),"Data inválida",IF(OR(A569&lt;36526,A569&gt;73050,A569&lt;&gt;INT(A569)),"Data inválida",IF(A569&lt;=Séries!U568,"Data repetida / fora de ordem",IF(COUNTA(B569:E569)&lt;&gt;COUNT(B569:E569),"Use preços numéricos",IF(OR(AND(ISNUMBER(B569),B569&lt;=0),AND(ISNUMBER(C569),C569&lt;=0),AND(ISNUMBER(D569),D569&lt;=0),AND(ISNUMBER(E569),E569&lt;=0)),"Use preços positivos","")))))))</f>
        <v/>
      </c>
    </row>
    <row r="570" spans="1:11" ht="22.95" customHeight="1">
      <c r="A570" s="28"/>
      <c r="B570" s="29"/>
      <c r="C570" s="29"/>
      <c r="D570" s="29"/>
      <c r="E570" s="30"/>
      <c r="F570" s="22" t="str">
        <f>IF(OR($A570="",B570="",B570&lt;=0,Séries!Q569=""),"",B570/Séries!Q569-1)</f>
        <v/>
      </c>
      <c r="G570" s="22" t="str">
        <f>IF(OR($A570="",C570="",C570&lt;=0,Séries!R569=""),"",C570/Séries!R569-1)</f>
        <v/>
      </c>
      <c r="H570" s="22" t="str">
        <f>IF(OR($A570="",D570="",D570&lt;=0,Séries!S569=""),"",D570/Séries!S569-1)</f>
        <v/>
      </c>
      <c r="I570" s="22" t="str">
        <f>IF(OR($A570="",E570="",E570&lt;=0,Séries!T569=""),"",E570/Séries!T569-1)</f>
        <v/>
      </c>
      <c r="J570" s="27"/>
      <c r="K570" s="1" t="str">
        <f>IF(COUNTA(A570:E570)=0,"",IF(A570="","Preencha a data",IF(NOT(ISNUMBER(A570)),"Data inválida",IF(OR(A570&lt;36526,A570&gt;73050,A570&lt;&gt;INT(A570)),"Data inválida",IF(A570&lt;=Séries!U569,"Data repetida / fora de ordem",IF(COUNTA(B570:E570)&lt;&gt;COUNT(B570:E570),"Use preços numéricos",IF(OR(AND(ISNUMBER(B570),B570&lt;=0),AND(ISNUMBER(C570),C570&lt;=0),AND(ISNUMBER(D570),D570&lt;=0),AND(ISNUMBER(E570),E570&lt;=0)),"Use preços positivos","")))))))</f>
        <v/>
      </c>
    </row>
    <row r="571" spans="1:11" ht="22.95" customHeight="1">
      <c r="A571" s="28"/>
      <c r="B571" s="29"/>
      <c r="C571" s="29"/>
      <c r="D571" s="29"/>
      <c r="E571" s="30"/>
      <c r="F571" s="22" t="str">
        <f>IF(OR($A571="",B571="",B571&lt;=0,Séries!Q570=""),"",B571/Séries!Q570-1)</f>
        <v/>
      </c>
      <c r="G571" s="22" t="str">
        <f>IF(OR($A571="",C571="",C571&lt;=0,Séries!R570=""),"",C571/Séries!R570-1)</f>
        <v/>
      </c>
      <c r="H571" s="22" t="str">
        <f>IF(OR($A571="",D571="",D571&lt;=0,Séries!S570=""),"",D571/Séries!S570-1)</f>
        <v/>
      </c>
      <c r="I571" s="22" t="str">
        <f>IF(OR($A571="",E571="",E571&lt;=0,Séries!T570=""),"",E571/Séries!T570-1)</f>
        <v/>
      </c>
      <c r="J571" s="27"/>
      <c r="K571" s="1" t="str">
        <f>IF(COUNTA(A571:E571)=0,"",IF(A571="","Preencha a data",IF(NOT(ISNUMBER(A571)),"Data inválida",IF(OR(A571&lt;36526,A571&gt;73050,A571&lt;&gt;INT(A571)),"Data inválida",IF(A571&lt;=Séries!U570,"Data repetida / fora de ordem",IF(COUNTA(B571:E571)&lt;&gt;COUNT(B571:E571),"Use preços numéricos",IF(OR(AND(ISNUMBER(B571),B571&lt;=0),AND(ISNUMBER(C571),C571&lt;=0),AND(ISNUMBER(D571),D571&lt;=0),AND(ISNUMBER(E571),E571&lt;=0)),"Use preços positivos","")))))))</f>
        <v/>
      </c>
    </row>
    <row r="572" spans="1:11" ht="22.95" customHeight="1">
      <c r="A572" s="28"/>
      <c r="B572" s="29"/>
      <c r="C572" s="29"/>
      <c r="D572" s="29"/>
      <c r="E572" s="30"/>
      <c r="F572" s="22" t="str">
        <f>IF(OR($A572="",B572="",B572&lt;=0,Séries!Q571=""),"",B572/Séries!Q571-1)</f>
        <v/>
      </c>
      <c r="G572" s="22" t="str">
        <f>IF(OR($A572="",C572="",C572&lt;=0,Séries!R571=""),"",C572/Séries!R571-1)</f>
        <v/>
      </c>
      <c r="H572" s="22" t="str">
        <f>IF(OR($A572="",D572="",D572&lt;=0,Séries!S571=""),"",D572/Séries!S571-1)</f>
        <v/>
      </c>
      <c r="I572" s="22" t="str">
        <f>IF(OR($A572="",E572="",E572&lt;=0,Séries!T571=""),"",E572/Séries!T571-1)</f>
        <v/>
      </c>
      <c r="J572" s="27"/>
      <c r="K572" s="1" t="str">
        <f>IF(COUNTA(A572:E572)=0,"",IF(A572="","Preencha a data",IF(NOT(ISNUMBER(A572)),"Data inválida",IF(OR(A572&lt;36526,A572&gt;73050,A572&lt;&gt;INT(A572)),"Data inválida",IF(A572&lt;=Séries!U571,"Data repetida / fora de ordem",IF(COUNTA(B572:E572)&lt;&gt;COUNT(B572:E572),"Use preços numéricos",IF(OR(AND(ISNUMBER(B572),B572&lt;=0),AND(ISNUMBER(C572),C572&lt;=0),AND(ISNUMBER(D572),D572&lt;=0),AND(ISNUMBER(E572),E572&lt;=0)),"Use preços positivos","")))))))</f>
        <v/>
      </c>
    </row>
    <row r="573" spans="1:11" ht="22.95" customHeight="1">
      <c r="A573" s="28"/>
      <c r="B573" s="29"/>
      <c r="C573" s="29"/>
      <c r="D573" s="29"/>
      <c r="E573" s="30"/>
      <c r="F573" s="22" t="str">
        <f>IF(OR($A573="",B573="",B573&lt;=0,Séries!Q572=""),"",B573/Séries!Q572-1)</f>
        <v/>
      </c>
      <c r="G573" s="22" t="str">
        <f>IF(OR($A573="",C573="",C573&lt;=0,Séries!R572=""),"",C573/Séries!R572-1)</f>
        <v/>
      </c>
      <c r="H573" s="22" t="str">
        <f>IF(OR($A573="",D573="",D573&lt;=0,Séries!S572=""),"",D573/Séries!S572-1)</f>
        <v/>
      </c>
      <c r="I573" s="22" t="str">
        <f>IF(OR($A573="",E573="",E573&lt;=0,Séries!T572=""),"",E573/Séries!T572-1)</f>
        <v/>
      </c>
      <c r="J573" s="27"/>
      <c r="K573" s="1" t="str">
        <f>IF(COUNTA(A573:E573)=0,"",IF(A573="","Preencha a data",IF(NOT(ISNUMBER(A573)),"Data inválida",IF(OR(A573&lt;36526,A573&gt;73050,A573&lt;&gt;INT(A573)),"Data inválida",IF(A573&lt;=Séries!U572,"Data repetida / fora de ordem",IF(COUNTA(B573:E573)&lt;&gt;COUNT(B573:E573),"Use preços numéricos",IF(OR(AND(ISNUMBER(B573),B573&lt;=0),AND(ISNUMBER(C573),C573&lt;=0),AND(ISNUMBER(D573),D573&lt;=0),AND(ISNUMBER(E573),E573&lt;=0)),"Use preços positivos","")))))))</f>
        <v/>
      </c>
    </row>
    <row r="574" spans="1:11" ht="22.95" customHeight="1">
      <c r="A574" s="28"/>
      <c r="B574" s="29"/>
      <c r="C574" s="29"/>
      <c r="D574" s="29"/>
      <c r="E574" s="30"/>
      <c r="F574" s="22" t="str">
        <f>IF(OR($A574="",B574="",B574&lt;=0,Séries!Q573=""),"",B574/Séries!Q573-1)</f>
        <v/>
      </c>
      <c r="G574" s="22" t="str">
        <f>IF(OR($A574="",C574="",C574&lt;=0,Séries!R573=""),"",C574/Séries!R573-1)</f>
        <v/>
      </c>
      <c r="H574" s="22" t="str">
        <f>IF(OR($A574="",D574="",D574&lt;=0,Séries!S573=""),"",D574/Séries!S573-1)</f>
        <v/>
      </c>
      <c r="I574" s="22" t="str">
        <f>IF(OR($A574="",E574="",E574&lt;=0,Séries!T573=""),"",E574/Séries!T573-1)</f>
        <v/>
      </c>
      <c r="J574" s="27"/>
      <c r="K574" s="1" t="str">
        <f>IF(COUNTA(A574:E574)=0,"",IF(A574="","Preencha a data",IF(NOT(ISNUMBER(A574)),"Data inválida",IF(OR(A574&lt;36526,A574&gt;73050,A574&lt;&gt;INT(A574)),"Data inválida",IF(A574&lt;=Séries!U573,"Data repetida / fora de ordem",IF(COUNTA(B574:E574)&lt;&gt;COUNT(B574:E574),"Use preços numéricos",IF(OR(AND(ISNUMBER(B574),B574&lt;=0),AND(ISNUMBER(C574),C574&lt;=0),AND(ISNUMBER(D574),D574&lt;=0),AND(ISNUMBER(E574),E574&lt;=0)),"Use preços positivos","")))))))</f>
        <v/>
      </c>
    </row>
    <row r="575" spans="1:11" ht="22.95" customHeight="1">
      <c r="A575" s="28"/>
      <c r="B575" s="29"/>
      <c r="C575" s="29"/>
      <c r="D575" s="29"/>
      <c r="E575" s="30"/>
      <c r="F575" s="22" t="str">
        <f>IF(OR($A575="",B575="",B575&lt;=0,Séries!Q574=""),"",B575/Séries!Q574-1)</f>
        <v/>
      </c>
      <c r="G575" s="22" t="str">
        <f>IF(OR($A575="",C575="",C575&lt;=0,Séries!R574=""),"",C575/Séries!R574-1)</f>
        <v/>
      </c>
      <c r="H575" s="22" t="str">
        <f>IF(OR($A575="",D575="",D575&lt;=0,Séries!S574=""),"",D575/Séries!S574-1)</f>
        <v/>
      </c>
      <c r="I575" s="22" t="str">
        <f>IF(OR($A575="",E575="",E575&lt;=0,Séries!T574=""),"",E575/Séries!T574-1)</f>
        <v/>
      </c>
      <c r="J575" s="27"/>
      <c r="K575" s="1" t="str">
        <f>IF(COUNTA(A575:E575)=0,"",IF(A575="","Preencha a data",IF(NOT(ISNUMBER(A575)),"Data inválida",IF(OR(A575&lt;36526,A575&gt;73050,A575&lt;&gt;INT(A575)),"Data inválida",IF(A575&lt;=Séries!U574,"Data repetida / fora de ordem",IF(COUNTA(B575:E575)&lt;&gt;COUNT(B575:E575),"Use preços numéricos",IF(OR(AND(ISNUMBER(B575),B575&lt;=0),AND(ISNUMBER(C575),C575&lt;=0),AND(ISNUMBER(D575),D575&lt;=0),AND(ISNUMBER(E575),E575&lt;=0)),"Use preços positivos","")))))))</f>
        <v/>
      </c>
    </row>
    <row r="576" spans="1:11" ht="22.95" customHeight="1">
      <c r="A576" s="28"/>
      <c r="B576" s="29"/>
      <c r="C576" s="29"/>
      <c r="D576" s="29"/>
      <c r="E576" s="30"/>
      <c r="F576" s="22" t="str">
        <f>IF(OR($A576="",B576="",B576&lt;=0,Séries!Q575=""),"",B576/Séries!Q575-1)</f>
        <v/>
      </c>
      <c r="G576" s="22" t="str">
        <f>IF(OR($A576="",C576="",C576&lt;=0,Séries!R575=""),"",C576/Séries!R575-1)</f>
        <v/>
      </c>
      <c r="H576" s="22" t="str">
        <f>IF(OR($A576="",D576="",D576&lt;=0,Séries!S575=""),"",D576/Séries!S575-1)</f>
        <v/>
      </c>
      <c r="I576" s="22" t="str">
        <f>IF(OR($A576="",E576="",E576&lt;=0,Séries!T575=""),"",E576/Séries!T575-1)</f>
        <v/>
      </c>
      <c r="J576" s="27"/>
      <c r="K576" s="1" t="str">
        <f>IF(COUNTA(A576:E576)=0,"",IF(A576="","Preencha a data",IF(NOT(ISNUMBER(A576)),"Data inválida",IF(OR(A576&lt;36526,A576&gt;73050,A576&lt;&gt;INT(A576)),"Data inválida",IF(A576&lt;=Séries!U575,"Data repetida / fora de ordem",IF(COUNTA(B576:E576)&lt;&gt;COUNT(B576:E576),"Use preços numéricos",IF(OR(AND(ISNUMBER(B576),B576&lt;=0),AND(ISNUMBER(C576),C576&lt;=0),AND(ISNUMBER(D576),D576&lt;=0),AND(ISNUMBER(E576),E576&lt;=0)),"Use preços positivos","")))))))</f>
        <v/>
      </c>
    </row>
    <row r="577" spans="1:11" ht="22.95" customHeight="1">
      <c r="A577" s="28"/>
      <c r="B577" s="29"/>
      <c r="C577" s="29"/>
      <c r="D577" s="29"/>
      <c r="E577" s="30"/>
      <c r="F577" s="22" t="str">
        <f>IF(OR($A577="",B577="",B577&lt;=0,Séries!Q576=""),"",B577/Séries!Q576-1)</f>
        <v/>
      </c>
      <c r="G577" s="22" t="str">
        <f>IF(OR($A577="",C577="",C577&lt;=0,Séries!R576=""),"",C577/Séries!R576-1)</f>
        <v/>
      </c>
      <c r="H577" s="22" t="str">
        <f>IF(OR($A577="",D577="",D577&lt;=0,Séries!S576=""),"",D577/Séries!S576-1)</f>
        <v/>
      </c>
      <c r="I577" s="22" t="str">
        <f>IF(OR($A577="",E577="",E577&lt;=0,Séries!T576=""),"",E577/Séries!T576-1)</f>
        <v/>
      </c>
      <c r="J577" s="27"/>
      <c r="K577" s="1" t="str">
        <f>IF(COUNTA(A577:E577)=0,"",IF(A577="","Preencha a data",IF(NOT(ISNUMBER(A577)),"Data inválida",IF(OR(A577&lt;36526,A577&gt;73050,A577&lt;&gt;INT(A577)),"Data inválida",IF(A577&lt;=Séries!U576,"Data repetida / fora de ordem",IF(COUNTA(B577:E577)&lt;&gt;COUNT(B577:E577),"Use preços numéricos",IF(OR(AND(ISNUMBER(B577),B577&lt;=0),AND(ISNUMBER(C577),C577&lt;=0),AND(ISNUMBER(D577),D577&lt;=0),AND(ISNUMBER(E577),E577&lt;=0)),"Use preços positivos","")))))))</f>
        <v/>
      </c>
    </row>
    <row r="578" spans="1:11" ht="22.95" customHeight="1">
      <c r="A578" s="28"/>
      <c r="B578" s="29"/>
      <c r="C578" s="29"/>
      <c r="D578" s="29"/>
      <c r="E578" s="30"/>
      <c r="F578" s="22" t="str">
        <f>IF(OR($A578="",B578="",B578&lt;=0,Séries!Q577=""),"",B578/Séries!Q577-1)</f>
        <v/>
      </c>
      <c r="G578" s="22" t="str">
        <f>IF(OR($A578="",C578="",C578&lt;=0,Séries!R577=""),"",C578/Séries!R577-1)</f>
        <v/>
      </c>
      <c r="H578" s="22" t="str">
        <f>IF(OR($A578="",D578="",D578&lt;=0,Séries!S577=""),"",D578/Séries!S577-1)</f>
        <v/>
      </c>
      <c r="I578" s="22" t="str">
        <f>IF(OR($A578="",E578="",E578&lt;=0,Séries!T577=""),"",E578/Séries!T577-1)</f>
        <v/>
      </c>
      <c r="J578" s="27"/>
      <c r="K578" s="1" t="str">
        <f>IF(COUNTA(A578:E578)=0,"",IF(A578="","Preencha a data",IF(NOT(ISNUMBER(A578)),"Data inválida",IF(OR(A578&lt;36526,A578&gt;73050,A578&lt;&gt;INT(A578)),"Data inválida",IF(A578&lt;=Séries!U577,"Data repetida / fora de ordem",IF(COUNTA(B578:E578)&lt;&gt;COUNT(B578:E578),"Use preços numéricos",IF(OR(AND(ISNUMBER(B578),B578&lt;=0),AND(ISNUMBER(C578),C578&lt;=0),AND(ISNUMBER(D578),D578&lt;=0),AND(ISNUMBER(E578),E578&lt;=0)),"Use preços positivos","")))))))</f>
        <v/>
      </c>
    </row>
    <row r="579" spans="1:11" ht="22.95" customHeight="1">
      <c r="A579" s="28"/>
      <c r="B579" s="29"/>
      <c r="C579" s="29"/>
      <c r="D579" s="29"/>
      <c r="E579" s="30"/>
      <c r="F579" s="22" t="str">
        <f>IF(OR($A579="",B579="",B579&lt;=0,Séries!Q578=""),"",B579/Séries!Q578-1)</f>
        <v/>
      </c>
      <c r="G579" s="22" t="str">
        <f>IF(OR($A579="",C579="",C579&lt;=0,Séries!R578=""),"",C579/Séries!R578-1)</f>
        <v/>
      </c>
      <c r="H579" s="22" t="str">
        <f>IF(OR($A579="",D579="",D579&lt;=0,Séries!S578=""),"",D579/Séries!S578-1)</f>
        <v/>
      </c>
      <c r="I579" s="22" t="str">
        <f>IF(OR($A579="",E579="",E579&lt;=0,Séries!T578=""),"",E579/Séries!T578-1)</f>
        <v/>
      </c>
      <c r="J579" s="27"/>
      <c r="K579" s="1" t="str">
        <f>IF(COUNTA(A579:E579)=0,"",IF(A579="","Preencha a data",IF(NOT(ISNUMBER(A579)),"Data inválida",IF(OR(A579&lt;36526,A579&gt;73050,A579&lt;&gt;INT(A579)),"Data inválida",IF(A579&lt;=Séries!U578,"Data repetida / fora de ordem",IF(COUNTA(B579:E579)&lt;&gt;COUNT(B579:E579),"Use preços numéricos",IF(OR(AND(ISNUMBER(B579),B579&lt;=0),AND(ISNUMBER(C579),C579&lt;=0),AND(ISNUMBER(D579),D579&lt;=0),AND(ISNUMBER(E579),E579&lt;=0)),"Use preços positivos","")))))))</f>
        <v/>
      </c>
    </row>
    <row r="580" spans="1:11" ht="22.95" customHeight="1">
      <c r="A580" s="28"/>
      <c r="B580" s="29"/>
      <c r="C580" s="29"/>
      <c r="D580" s="29"/>
      <c r="E580" s="30"/>
      <c r="F580" s="22" t="str">
        <f>IF(OR($A580="",B580="",B580&lt;=0,Séries!Q579=""),"",B580/Séries!Q579-1)</f>
        <v/>
      </c>
      <c r="G580" s="22" t="str">
        <f>IF(OR($A580="",C580="",C580&lt;=0,Séries!R579=""),"",C580/Séries!R579-1)</f>
        <v/>
      </c>
      <c r="H580" s="22" t="str">
        <f>IF(OR($A580="",D580="",D580&lt;=0,Séries!S579=""),"",D580/Séries!S579-1)</f>
        <v/>
      </c>
      <c r="I580" s="22" t="str">
        <f>IF(OR($A580="",E580="",E580&lt;=0,Séries!T579=""),"",E580/Séries!T579-1)</f>
        <v/>
      </c>
      <c r="J580" s="27"/>
      <c r="K580" s="1" t="str">
        <f>IF(COUNTA(A580:E580)=0,"",IF(A580="","Preencha a data",IF(NOT(ISNUMBER(A580)),"Data inválida",IF(OR(A580&lt;36526,A580&gt;73050,A580&lt;&gt;INT(A580)),"Data inválida",IF(A580&lt;=Séries!U579,"Data repetida / fora de ordem",IF(COUNTA(B580:E580)&lt;&gt;COUNT(B580:E580),"Use preços numéricos",IF(OR(AND(ISNUMBER(B580),B580&lt;=0),AND(ISNUMBER(C580),C580&lt;=0),AND(ISNUMBER(D580),D580&lt;=0),AND(ISNUMBER(E580),E580&lt;=0)),"Use preços positivos","")))))))</f>
        <v/>
      </c>
    </row>
    <row r="581" spans="1:11" ht="22.95" customHeight="1">
      <c r="A581" s="28"/>
      <c r="B581" s="29"/>
      <c r="C581" s="29"/>
      <c r="D581" s="29"/>
      <c r="E581" s="30"/>
      <c r="F581" s="22" t="str">
        <f>IF(OR($A581="",B581="",B581&lt;=0,Séries!Q580=""),"",B581/Séries!Q580-1)</f>
        <v/>
      </c>
      <c r="G581" s="22" t="str">
        <f>IF(OR($A581="",C581="",C581&lt;=0,Séries!R580=""),"",C581/Séries!R580-1)</f>
        <v/>
      </c>
      <c r="H581" s="22" t="str">
        <f>IF(OR($A581="",D581="",D581&lt;=0,Séries!S580=""),"",D581/Séries!S580-1)</f>
        <v/>
      </c>
      <c r="I581" s="22" t="str">
        <f>IF(OR($A581="",E581="",E581&lt;=0,Séries!T580=""),"",E581/Séries!T580-1)</f>
        <v/>
      </c>
      <c r="J581" s="27"/>
      <c r="K581" s="1" t="str">
        <f>IF(COUNTA(A581:E581)=0,"",IF(A581="","Preencha a data",IF(NOT(ISNUMBER(A581)),"Data inválida",IF(OR(A581&lt;36526,A581&gt;73050,A581&lt;&gt;INT(A581)),"Data inválida",IF(A581&lt;=Séries!U580,"Data repetida / fora de ordem",IF(COUNTA(B581:E581)&lt;&gt;COUNT(B581:E581),"Use preços numéricos",IF(OR(AND(ISNUMBER(B581),B581&lt;=0),AND(ISNUMBER(C581),C581&lt;=0),AND(ISNUMBER(D581),D581&lt;=0),AND(ISNUMBER(E581),E581&lt;=0)),"Use preços positivos","")))))))</f>
        <v/>
      </c>
    </row>
    <row r="582" spans="1:11" ht="22.95" customHeight="1">
      <c r="A582" s="28"/>
      <c r="B582" s="29"/>
      <c r="C582" s="29"/>
      <c r="D582" s="29"/>
      <c r="E582" s="30"/>
      <c r="F582" s="22" t="str">
        <f>IF(OR($A582="",B582="",B582&lt;=0,Séries!Q581=""),"",B582/Séries!Q581-1)</f>
        <v/>
      </c>
      <c r="G582" s="22" t="str">
        <f>IF(OR($A582="",C582="",C582&lt;=0,Séries!R581=""),"",C582/Séries!R581-1)</f>
        <v/>
      </c>
      <c r="H582" s="22" t="str">
        <f>IF(OR($A582="",D582="",D582&lt;=0,Séries!S581=""),"",D582/Séries!S581-1)</f>
        <v/>
      </c>
      <c r="I582" s="22" t="str">
        <f>IF(OR($A582="",E582="",E582&lt;=0,Séries!T581=""),"",E582/Séries!T581-1)</f>
        <v/>
      </c>
      <c r="J582" s="27"/>
      <c r="K582" s="1" t="str">
        <f>IF(COUNTA(A582:E582)=0,"",IF(A582="","Preencha a data",IF(NOT(ISNUMBER(A582)),"Data inválida",IF(OR(A582&lt;36526,A582&gt;73050,A582&lt;&gt;INT(A582)),"Data inválida",IF(A582&lt;=Séries!U581,"Data repetida / fora de ordem",IF(COUNTA(B582:E582)&lt;&gt;COUNT(B582:E582),"Use preços numéricos",IF(OR(AND(ISNUMBER(B582),B582&lt;=0),AND(ISNUMBER(C582),C582&lt;=0),AND(ISNUMBER(D582),D582&lt;=0),AND(ISNUMBER(E582),E582&lt;=0)),"Use preços positivos","")))))))</f>
        <v/>
      </c>
    </row>
    <row r="583" spans="1:11" ht="22.95" customHeight="1">
      <c r="A583" s="28"/>
      <c r="B583" s="29"/>
      <c r="C583" s="29"/>
      <c r="D583" s="29"/>
      <c r="E583" s="30"/>
      <c r="F583" s="22" t="str">
        <f>IF(OR($A583="",B583="",B583&lt;=0,Séries!Q582=""),"",B583/Séries!Q582-1)</f>
        <v/>
      </c>
      <c r="G583" s="22" t="str">
        <f>IF(OR($A583="",C583="",C583&lt;=0,Séries!R582=""),"",C583/Séries!R582-1)</f>
        <v/>
      </c>
      <c r="H583" s="22" t="str">
        <f>IF(OR($A583="",D583="",D583&lt;=0,Séries!S582=""),"",D583/Séries!S582-1)</f>
        <v/>
      </c>
      <c r="I583" s="22" t="str">
        <f>IF(OR($A583="",E583="",E583&lt;=0,Séries!T582=""),"",E583/Séries!T582-1)</f>
        <v/>
      </c>
      <c r="J583" s="27"/>
      <c r="K583" s="1" t="str">
        <f>IF(COUNTA(A583:E583)=0,"",IF(A583="","Preencha a data",IF(NOT(ISNUMBER(A583)),"Data inválida",IF(OR(A583&lt;36526,A583&gt;73050,A583&lt;&gt;INT(A583)),"Data inválida",IF(A583&lt;=Séries!U582,"Data repetida / fora de ordem",IF(COUNTA(B583:E583)&lt;&gt;COUNT(B583:E583),"Use preços numéricos",IF(OR(AND(ISNUMBER(B583),B583&lt;=0),AND(ISNUMBER(C583),C583&lt;=0),AND(ISNUMBER(D583),D583&lt;=0),AND(ISNUMBER(E583),E583&lt;=0)),"Use preços positivos","")))))))</f>
        <v/>
      </c>
    </row>
    <row r="584" spans="1:11" ht="22.95" customHeight="1">
      <c r="A584" s="28"/>
      <c r="B584" s="29"/>
      <c r="C584" s="29"/>
      <c r="D584" s="29"/>
      <c r="E584" s="30"/>
      <c r="F584" s="22" t="str">
        <f>IF(OR($A584="",B584="",B584&lt;=0,Séries!Q583=""),"",B584/Séries!Q583-1)</f>
        <v/>
      </c>
      <c r="G584" s="22" t="str">
        <f>IF(OR($A584="",C584="",C584&lt;=0,Séries!R583=""),"",C584/Séries!R583-1)</f>
        <v/>
      </c>
      <c r="H584" s="22" t="str">
        <f>IF(OR($A584="",D584="",D584&lt;=0,Séries!S583=""),"",D584/Séries!S583-1)</f>
        <v/>
      </c>
      <c r="I584" s="22" t="str">
        <f>IF(OR($A584="",E584="",E584&lt;=0,Séries!T583=""),"",E584/Séries!T583-1)</f>
        <v/>
      </c>
      <c r="J584" s="27"/>
      <c r="K584" s="1" t="str">
        <f>IF(COUNTA(A584:E584)=0,"",IF(A584="","Preencha a data",IF(NOT(ISNUMBER(A584)),"Data inválida",IF(OR(A584&lt;36526,A584&gt;73050,A584&lt;&gt;INT(A584)),"Data inválida",IF(A584&lt;=Séries!U583,"Data repetida / fora de ordem",IF(COUNTA(B584:E584)&lt;&gt;COUNT(B584:E584),"Use preços numéricos",IF(OR(AND(ISNUMBER(B584),B584&lt;=0),AND(ISNUMBER(C584),C584&lt;=0),AND(ISNUMBER(D584),D584&lt;=0),AND(ISNUMBER(E584),E584&lt;=0)),"Use preços positivos","")))))))</f>
        <v/>
      </c>
    </row>
    <row r="585" spans="1:11" ht="22.95" customHeight="1">
      <c r="A585" s="28"/>
      <c r="B585" s="29"/>
      <c r="C585" s="29"/>
      <c r="D585" s="29"/>
      <c r="E585" s="30"/>
      <c r="F585" s="22" t="str">
        <f>IF(OR($A585="",B585="",B585&lt;=0,Séries!Q584=""),"",B585/Séries!Q584-1)</f>
        <v/>
      </c>
      <c r="G585" s="22" t="str">
        <f>IF(OR($A585="",C585="",C585&lt;=0,Séries!R584=""),"",C585/Séries!R584-1)</f>
        <v/>
      </c>
      <c r="H585" s="22" t="str">
        <f>IF(OR($A585="",D585="",D585&lt;=0,Séries!S584=""),"",D585/Séries!S584-1)</f>
        <v/>
      </c>
      <c r="I585" s="22" t="str">
        <f>IF(OR($A585="",E585="",E585&lt;=0,Séries!T584=""),"",E585/Séries!T584-1)</f>
        <v/>
      </c>
      <c r="J585" s="27"/>
      <c r="K585" s="1" t="str">
        <f>IF(COUNTA(A585:E585)=0,"",IF(A585="","Preencha a data",IF(NOT(ISNUMBER(A585)),"Data inválida",IF(OR(A585&lt;36526,A585&gt;73050,A585&lt;&gt;INT(A585)),"Data inválida",IF(A585&lt;=Séries!U584,"Data repetida / fora de ordem",IF(COUNTA(B585:E585)&lt;&gt;COUNT(B585:E585),"Use preços numéricos",IF(OR(AND(ISNUMBER(B585),B585&lt;=0),AND(ISNUMBER(C585),C585&lt;=0),AND(ISNUMBER(D585),D585&lt;=0),AND(ISNUMBER(E585),E585&lt;=0)),"Use preços positivos","")))))))</f>
        <v/>
      </c>
    </row>
    <row r="586" spans="1:11" ht="22.95" customHeight="1">
      <c r="A586" s="28"/>
      <c r="B586" s="29"/>
      <c r="C586" s="29"/>
      <c r="D586" s="29"/>
      <c r="E586" s="30"/>
      <c r="F586" s="22" t="str">
        <f>IF(OR($A586="",B586="",B586&lt;=0,Séries!Q585=""),"",B586/Séries!Q585-1)</f>
        <v/>
      </c>
      <c r="G586" s="22" t="str">
        <f>IF(OR($A586="",C586="",C586&lt;=0,Séries!R585=""),"",C586/Séries!R585-1)</f>
        <v/>
      </c>
      <c r="H586" s="22" t="str">
        <f>IF(OR($A586="",D586="",D586&lt;=0,Séries!S585=""),"",D586/Séries!S585-1)</f>
        <v/>
      </c>
      <c r="I586" s="22" t="str">
        <f>IF(OR($A586="",E586="",E586&lt;=0,Séries!T585=""),"",E586/Séries!T585-1)</f>
        <v/>
      </c>
      <c r="J586" s="27"/>
      <c r="K586" s="1" t="str">
        <f>IF(COUNTA(A586:E586)=0,"",IF(A586="","Preencha a data",IF(NOT(ISNUMBER(A586)),"Data inválida",IF(OR(A586&lt;36526,A586&gt;73050,A586&lt;&gt;INT(A586)),"Data inválida",IF(A586&lt;=Séries!U585,"Data repetida / fora de ordem",IF(COUNTA(B586:E586)&lt;&gt;COUNT(B586:E586),"Use preços numéricos",IF(OR(AND(ISNUMBER(B586),B586&lt;=0),AND(ISNUMBER(C586),C586&lt;=0),AND(ISNUMBER(D586),D586&lt;=0),AND(ISNUMBER(E586),E586&lt;=0)),"Use preços positivos","")))))))</f>
        <v/>
      </c>
    </row>
    <row r="587" spans="1:11" ht="22.95" customHeight="1">
      <c r="A587" s="28"/>
      <c r="B587" s="29"/>
      <c r="C587" s="29"/>
      <c r="D587" s="29"/>
      <c r="E587" s="30"/>
      <c r="F587" s="22" t="str">
        <f>IF(OR($A587="",B587="",B587&lt;=0,Séries!Q586=""),"",B587/Séries!Q586-1)</f>
        <v/>
      </c>
      <c r="G587" s="22" t="str">
        <f>IF(OR($A587="",C587="",C587&lt;=0,Séries!R586=""),"",C587/Séries!R586-1)</f>
        <v/>
      </c>
      <c r="H587" s="22" t="str">
        <f>IF(OR($A587="",D587="",D587&lt;=0,Séries!S586=""),"",D587/Séries!S586-1)</f>
        <v/>
      </c>
      <c r="I587" s="22" t="str">
        <f>IF(OR($A587="",E587="",E587&lt;=0,Séries!T586=""),"",E587/Séries!T586-1)</f>
        <v/>
      </c>
      <c r="J587" s="27"/>
      <c r="K587" s="1" t="str">
        <f>IF(COUNTA(A587:E587)=0,"",IF(A587="","Preencha a data",IF(NOT(ISNUMBER(A587)),"Data inválida",IF(OR(A587&lt;36526,A587&gt;73050,A587&lt;&gt;INT(A587)),"Data inválida",IF(A587&lt;=Séries!U586,"Data repetida / fora de ordem",IF(COUNTA(B587:E587)&lt;&gt;COUNT(B587:E587),"Use preços numéricos",IF(OR(AND(ISNUMBER(B587),B587&lt;=0),AND(ISNUMBER(C587),C587&lt;=0),AND(ISNUMBER(D587),D587&lt;=0),AND(ISNUMBER(E587),E587&lt;=0)),"Use preços positivos","")))))))</f>
        <v/>
      </c>
    </row>
    <row r="588" spans="1:11" ht="22.95" customHeight="1">
      <c r="A588" s="28"/>
      <c r="B588" s="29"/>
      <c r="C588" s="29"/>
      <c r="D588" s="29"/>
      <c r="E588" s="30"/>
      <c r="F588" s="22" t="str">
        <f>IF(OR($A588="",B588="",B588&lt;=0,Séries!Q587=""),"",B588/Séries!Q587-1)</f>
        <v/>
      </c>
      <c r="G588" s="22" t="str">
        <f>IF(OR($A588="",C588="",C588&lt;=0,Séries!R587=""),"",C588/Séries!R587-1)</f>
        <v/>
      </c>
      <c r="H588" s="22" t="str">
        <f>IF(OR($A588="",D588="",D588&lt;=0,Séries!S587=""),"",D588/Séries!S587-1)</f>
        <v/>
      </c>
      <c r="I588" s="22" t="str">
        <f>IF(OR($A588="",E588="",E588&lt;=0,Séries!T587=""),"",E588/Séries!T587-1)</f>
        <v/>
      </c>
      <c r="J588" s="27"/>
      <c r="K588" s="1" t="str">
        <f>IF(COUNTA(A588:E588)=0,"",IF(A588="","Preencha a data",IF(NOT(ISNUMBER(A588)),"Data inválida",IF(OR(A588&lt;36526,A588&gt;73050,A588&lt;&gt;INT(A588)),"Data inválida",IF(A588&lt;=Séries!U587,"Data repetida / fora de ordem",IF(COUNTA(B588:E588)&lt;&gt;COUNT(B588:E588),"Use preços numéricos",IF(OR(AND(ISNUMBER(B588),B588&lt;=0),AND(ISNUMBER(C588),C588&lt;=0),AND(ISNUMBER(D588),D588&lt;=0),AND(ISNUMBER(E588),E588&lt;=0)),"Use preços positivos","")))))))</f>
        <v/>
      </c>
    </row>
    <row r="589" spans="1:11" ht="22.95" customHeight="1">
      <c r="A589" s="28"/>
      <c r="B589" s="29"/>
      <c r="C589" s="29"/>
      <c r="D589" s="29"/>
      <c r="E589" s="30"/>
      <c r="F589" s="22" t="str">
        <f>IF(OR($A589="",B589="",B589&lt;=0,Séries!Q588=""),"",B589/Séries!Q588-1)</f>
        <v/>
      </c>
      <c r="G589" s="22" t="str">
        <f>IF(OR($A589="",C589="",C589&lt;=0,Séries!R588=""),"",C589/Séries!R588-1)</f>
        <v/>
      </c>
      <c r="H589" s="22" t="str">
        <f>IF(OR($A589="",D589="",D589&lt;=0,Séries!S588=""),"",D589/Séries!S588-1)</f>
        <v/>
      </c>
      <c r="I589" s="22" t="str">
        <f>IF(OR($A589="",E589="",E589&lt;=0,Séries!T588=""),"",E589/Séries!T588-1)</f>
        <v/>
      </c>
      <c r="J589" s="27"/>
      <c r="K589" s="1" t="str">
        <f>IF(COUNTA(A589:E589)=0,"",IF(A589="","Preencha a data",IF(NOT(ISNUMBER(A589)),"Data inválida",IF(OR(A589&lt;36526,A589&gt;73050,A589&lt;&gt;INT(A589)),"Data inválida",IF(A589&lt;=Séries!U588,"Data repetida / fora de ordem",IF(COUNTA(B589:E589)&lt;&gt;COUNT(B589:E589),"Use preços numéricos",IF(OR(AND(ISNUMBER(B589),B589&lt;=0),AND(ISNUMBER(C589),C589&lt;=0),AND(ISNUMBER(D589),D589&lt;=0),AND(ISNUMBER(E589),E589&lt;=0)),"Use preços positivos","")))))))</f>
        <v/>
      </c>
    </row>
    <row r="590" spans="1:11" ht="22.95" customHeight="1">
      <c r="A590" s="28"/>
      <c r="B590" s="29"/>
      <c r="C590" s="29"/>
      <c r="D590" s="29"/>
      <c r="E590" s="30"/>
      <c r="F590" s="22" t="str">
        <f>IF(OR($A590="",B590="",B590&lt;=0,Séries!Q589=""),"",B590/Séries!Q589-1)</f>
        <v/>
      </c>
      <c r="G590" s="22" t="str">
        <f>IF(OR($A590="",C590="",C590&lt;=0,Séries!R589=""),"",C590/Séries!R589-1)</f>
        <v/>
      </c>
      <c r="H590" s="22" t="str">
        <f>IF(OR($A590="",D590="",D590&lt;=0,Séries!S589=""),"",D590/Séries!S589-1)</f>
        <v/>
      </c>
      <c r="I590" s="22" t="str">
        <f>IF(OR($A590="",E590="",E590&lt;=0,Séries!T589=""),"",E590/Séries!T589-1)</f>
        <v/>
      </c>
      <c r="J590" s="27"/>
      <c r="K590" s="1" t="str">
        <f>IF(COUNTA(A590:E590)=0,"",IF(A590="","Preencha a data",IF(NOT(ISNUMBER(A590)),"Data inválida",IF(OR(A590&lt;36526,A590&gt;73050,A590&lt;&gt;INT(A590)),"Data inválida",IF(A590&lt;=Séries!U589,"Data repetida / fora de ordem",IF(COUNTA(B590:E590)&lt;&gt;COUNT(B590:E590),"Use preços numéricos",IF(OR(AND(ISNUMBER(B590),B590&lt;=0),AND(ISNUMBER(C590),C590&lt;=0),AND(ISNUMBER(D590),D590&lt;=0),AND(ISNUMBER(E590),E590&lt;=0)),"Use preços positivos","")))))))</f>
        <v/>
      </c>
    </row>
    <row r="591" spans="1:11" ht="22.95" customHeight="1">
      <c r="A591" s="28"/>
      <c r="B591" s="29"/>
      <c r="C591" s="29"/>
      <c r="D591" s="29"/>
      <c r="E591" s="30"/>
      <c r="F591" s="22" t="str">
        <f>IF(OR($A591="",B591="",B591&lt;=0,Séries!Q590=""),"",B591/Séries!Q590-1)</f>
        <v/>
      </c>
      <c r="G591" s="22" t="str">
        <f>IF(OR($A591="",C591="",C591&lt;=0,Séries!R590=""),"",C591/Séries!R590-1)</f>
        <v/>
      </c>
      <c r="H591" s="22" t="str">
        <f>IF(OR($A591="",D591="",D591&lt;=0,Séries!S590=""),"",D591/Séries!S590-1)</f>
        <v/>
      </c>
      <c r="I591" s="22" t="str">
        <f>IF(OR($A591="",E591="",E591&lt;=0,Séries!T590=""),"",E591/Séries!T590-1)</f>
        <v/>
      </c>
      <c r="J591" s="27"/>
      <c r="K591" s="1" t="str">
        <f>IF(COUNTA(A591:E591)=0,"",IF(A591="","Preencha a data",IF(NOT(ISNUMBER(A591)),"Data inválida",IF(OR(A591&lt;36526,A591&gt;73050,A591&lt;&gt;INT(A591)),"Data inválida",IF(A591&lt;=Séries!U590,"Data repetida / fora de ordem",IF(COUNTA(B591:E591)&lt;&gt;COUNT(B591:E591),"Use preços numéricos",IF(OR(AND(ISNUMBER(B591),B591&lt;=0),AND(ISNUMBER(C591),C591&lt;=0),AND(ISNUMBER(D591),D591&lt;=0),AND(ISNUMBER(E591),E591&lt;=0)),"Use preços positivos","")))))))</f>
        <v/>
      </c>
    </row>
    <row r="592" spans="1:11" ht="22.95" customHeight="1">
      <c r="A592" s="28"/>
      <c r="B592" s="29"/>
      <c r="C592" s="29"/>
      <c r="D592" s="29"/>
      <c r="E592" s="30"/>
      <c r="F592" s="22" t="str">
        <f>IF(OR($A592="",B592="",B592&lt;=0,Séries!Q591=""),"",B592/Séries!Q591-1)</f>
        <v/>
      </c>
      <c r="G592" s="22" t="str">
        <f>IF(OR($A592="",C592="",C592&lt;=0,Séries!R591=""),"",C592/Séries!R591-1)</f>
        <v/>
      </c>
      <c r="H592" s="22" t="str">
        <f>IF(OR($A592="",D592="",D592&lt;=0,Séries!S591=""),"",D592/Séries!S591-1)</f>
        <v/>
      </c>
      <c r="I592" s="22" t="str">
        <f>IF(OR($A592="",E592="",E592&lt;=0,Séries!T591=""),"",E592/Séries!T591-1)</f>
        <v/>
      </c>
      <c r="J592" s="27"/>
      <c r="K592" s="1" t="str">
        <f>IF(COUNTA(A592:E592)=0,"",IF(A592="","Preencha a data",IF(NOT(ISNUMBER(A592)),"Data inválida",IF(OR(A592&lt;36526,A592&gt;73050,A592&lt;&gt;INT(A592)),"Data inválida",IF(A592&lt;=Séries!U591,"Data repetida / fora de ordem",IF(COUNTA(B592:E592)&lt;&gt;COUNT(B592:E592),"Use preços numéricos",IF(OR(AND(ISNUMBER(B592),B592&lt;=0),AND(ISNUMBER(C592),C592&lt;=0),AND(ISNUMBER(D592),D592&lt;=0),AND(ISNUMBER(E592),E592&lt;=0)),"Use preços positivos","")))))))</f>
        <v/>
      </c>
    </row>
    <row r="593" spans="1:11" ht="22.95" customHeight="1">
      <c r="A593" s="28"/>
      <c r="B593" s="29"/>
      <c r="C593" s="29"/>
      <c r="D593" s="29"/>
      <c r="E593" s="30"/>
      <c r="F593" s="22" t="str">
        <f>IF(OR($A593="",B593="",B593&lt;=0,Séries!Q592=""),"",B593/Séries!Q592-1)</f>
        <v/>
      </c>
      <c r="G593" s="22" t="str">
        <f>IF(OR($A593="",C593="",C593&lt;=0,Séries!R592=""),"",C593/Séries!R592-1)</f>
        <v/>
      </c>
      <c r="H593" s="22" t="str">
        <f>IF(OR($A593="",D593="",D593&lt;=0,Séries!S592=""),"",D593/Séries!S592-1)</f>
        <v/>
      </c>
      <c r="I593" s="22" t="str">
        <f>IF(OR($A593="",E593="",E593&lt;=0,Séries!T592=""),"",E593/Séries!T592-1)</f>
        <v/>
      </c>
      <c r="J593" s="27"/>
      <c r="K593" s="1" t="str">
        <f>IF(COUNTA(A593:E593)=0,"",IF(A593="","Preencha a data",IF(NOT(ISNUMBER(A593)),"Data inválida",IF(OR(A593&lt;36526,A593&gt;73050,A593&lt;&gt;INT(A593)),"Data inválida",IF(A593&lt;=Séries!U592,"Data repetida / fora de ordem",IF(COUNTA(B593:E593)&lt;&gt;COUNT(B593:E593),"Use preços numéricos",IF(OR(AND(ISNUMBER(B593),B593&lt;=0),AND(ISNUMBER(C593),C593&lt;=0),AND(ISNUMBER(D593),D593&lt;=0),AND(ISNUMBER(E593),E593&lt;=0)),"Use preços positivos","")))))))</f>
        <v/>
      </c>
    </row>
    <row r="594" spans="1:11" ht="22.95" customHeight="1">
      <c r="A594" s="28"/>
      <c r="B594" s="29"/>
      <c r="C594" s="29"/>
      <c r="D594" s="29"/>
      <c r="E594" s="30"/>
      <c r="F594" s="22" t="str">
        <f>IF(OR($A594="",B594="",B594&lt;=0,Séries!Q593=""),"",B594/Séries!Q593-1)</f>
        <v/>
      </c>
      <c r="G594" s="22" t="str">
        <f>IF(OR($A594="",C594="",C594&lt;=0,Séries!R593=""),"",C594/Séries!R593-1)</f>
        <v/>
      </c>
      <c r="H594" s="22" t="str">
        <f>IF(OR($A594="",D594="",D594&lt;=0,Séries!S593=""),"",D594/Séries!S593-1)</f>
        <v/>
      </c>
      <c r="I594" s="22" t="str">
        <f>IF(OR($A594="",E594="",E594&lt;=0,Séries!T593=""),"",E594/Séries!T593-1)</f>
        <v/>
      </c>
      <c r="J594" s="27"/>
      <c r="K594" s="1" t="str">
        <f>IF(COUNTA(A594:E594)=0,"",IF(A594="","Preencha a data",IF(NOT(ISNUMBER(A594)),"Data inválida",IF(OR(A594&lt;36526,A594&gt;73050,A594&lt;&gt;INT(A594)),"Data inválida",IF(A594&lt;=Séries!U593,"Data repetida / fora de ordem",IF(COUNTA(B594:E594)&lt;&gt;COUNT(B594:E594),"Use preços numéricos",IF(OR(AND(ISNUMBER(B594),B594&lt;=0),AND(ISNUMBER(C594),C594&lt;=0),AND(ISNUMBER(D594),D594&lt;=0),AND(ISNUMBER(E594),E594&lt;=0)),"Use preços positivos","")))))))</f>
        <v/>
      </c>
    </row>
    <row r="595" spans="1:11" ht="22.95" customHeight="1">
      <c r="A595" s="28"/>
      <c r="B595" s="29"/>
      <c r="C595" s="29"/>
      <c r="D595" s="29"/>
      <c r="E595" s="30"/>
      <c r="F595" s="22" t="str">
        <f>IF(OR($A595="",B595="",B595&lt;=0,Séries!Q594=""),"",B595/Séries!Q594-1)</f>
        <v/>
      </c>
      <c r="G595" s="22" t="str">
        <f>IF(OR($A595="",C595="",C595&lt;=0,Séries!R594=""),"",C595/Séries!R594-1)</f>
        <v/>
      </c>
      <c r="H595" s="22" t="str">
        <f>IF(OR($A595="",D595="",D595&lt;=0,Séries!S594=""),"",D595/Séries!S594-1)</f>
        <v/>
      </c>
      <c r="I595" s="22" t="str">
        <f>IF(OR($A595="",E595="",E595&lt;=0,Séries!T594=""),"",E595/Séries!T594-1)</f>
        <v/>
      </c>
      <c r="J595" s="27"/>
      <c r="K595" s="1" t="str">
        <f>IF(COUNTA(A595:E595)=0,"",IF(A595="","Preencha a data",IF(NOT(ISNUMBER(A595)),"Data inválida",IF(OR(A595&lt;36526,A595&gt;73050,A595&lt;&gt;INT(A595)),"Data inválida",IF(A595&lt;=Séries!U594,"Data repetida / fora de ordem",IF(COUNTA(B595:E595)&lt;&gt;COUNT(B595:E595),"Use preços numéricos",IF(OR(AND(ISNUMBER(B595),B595&lt;=0),AND(ISNUMBER(C595),C595&lt;=0),AND(ISNUMBER(D595),D595&lt;=0),AND(ISNUMBER(E595),E595&lt;=0)),"Use preços positivos","")))))))</f>
        <v/>
      </c>
    </row>
    <row r="596" spans="1:11" ht="22.95" customHeight="1">
      <c r="A596" s="28"/>
      <c r="B596" s="29"/>
      <c r="C596" s="29"/>
      <c r="D596" s="29"/>
      <c r="E596" s="30"/>
      <c r="F596" s="22" t="str">
        <f>IF(OR($A596="",B596="",B596&lt;=0,Séries!Q595=""),"",B596/Séries!Q595-1)</f>
        <v/>
      </c>
      <c r="G596" s="22" t="str">
        <f>IF(OR($A596="",C596="",C596&lt;=0,Séries!R595=""),"",C596/Séries!R595-1)</f>
        <v/>
      </c>
      <c r="H596" s="22" t="str">
        <f>IF(OR($A596="",D596="",D596&lt;=0,Séries!S595=""),"",D596/Séries!S595-1)</f>
        <v/>
      </c>
      <c r="I596" s="22" t="str">
        <f>IF(OR($A596="",E596="",E596&lt;=0,Séries!T595=""),"",E596/Séries!T595-1)</f>
        <v/>
      </c>
      <c r="J596" s="27"/>
      <c r="K596" s="1" t="str">
        <f>IF(COUNTA(A596:E596)=0,"",IF(A596="","Preencha a data",IF(NOT(ISNUMBER(A596)),"Data inválida",IF(OR(A596&lt;36526,A596&gt;73050,A596&lt;&gt;INT(A596)),"Data inválida",IF(A596&lt;=Séries!U595,"Data repetida / fora de ordem",IF(COUNTA(B596:E596)&lt;&gt;COUNT(B596:E596),"Use preços numéricos",IF(OR(AND(ISNUMBER(B596),B596&lt;=0),AND(ISNUMBER(C596),C596&lt;=0),AND(ISNUMBER(D596),D596&lt;=0),AND(ISNUMBER(E596),E596&lt;=0)),"Use preços positivos","")))))))</f>
        <v/>
      </c>
    </row>
    <row r="597" spans="1:11" ht="22.95" customHeight="1">
      <c r="A597" s="28"/>
      <c r="B597" s="29"/>
      <c r="C597" s="29"/>
      <c r="D597" s="29"/>
      <c r="E597" s="30"/>
      <c r="F597" s="22" t="str">
        <f>IF(OR($A597="",B597="",B597&lt;=0,Séries!Q596=""),"",B597/Séries!Q596-1)</f>
        <v/>
      </c>
      <c r="G597" s="22" t="str">
        <f>IF(OR($A597="",C597="",C597&lt;=0,Séries!R596=""),"",C597/Séries!R596-1)</f>
        <v/>
      </c>
      <c r="H597" s="22" t="str">
        <f>IF(OR($A597="",D597="",D597&lt;=0,Séries!S596=""),"",D597/Séries!S596-1)</f>
        <v/>
      </c>
      <c r="I597" s="22" t="str">
        <f>IF(OR($A597="",E597="",E597&lt;=0,Séries!T596=""),"",E597/Séries!T596-1)</f>
        <v/>
      </c>
      <c r="J597" s="27"/>
      <c r="K597" s="1" t="str">
        <f>IF(COUNTA(A597:E597)=0,"",IF(A597="","Preencha a data",IF(NOT(ISNUMBER(A597)),"Data inválida",IF(OR(A597&lt;36526,A597&gt;73050,A597&lt;&gt;INT(A597)),"Data inválida",IF(A597&lt;=Séries!U596,"Data repetida / fora de ordem",IF(COUNTA(B597:E597)&lt;&gt;COUNT(B597:E597),"Use preços numéricos",IF(OR(AND(ISNUMBER(B597),B597&lt;=0),AND(ISNUMBER(C597),C597&lt;=0),AND(ISNUMBER(D597),D597&lt;=0),AND(ISNUMBER(E597),E597&lt;=0)),"Use preços positivos","")))))))</f>
        <v/>
      </c>
    </row>
    <row r="598" spans="1:11" ht="22.95" customHeight="1">
      <c r="A598" s="28"/>
      <c r="B598" s="29"/>
      <c r="C598" s="29"/>
      <c r="D598" s="29"/>
      <c r="E598" s="30"/>
      <c r="F598" s="22" t="str">
        <f>IF(OR($A598="",B598="",B598&lt;=0,Séries!Q597=""),"",B598/Séries!Q597-1)</f>
        <v/>
      </c>
      <c r="G598" s="22" t="str">
        <f>IF(OR($A598="",C598="",C598&lt;=0,Séries!R597=""),"",C598/Séries!R597-1)</f>
        <v/>
      </c>
      <c r="H598" s="22" t="str">
        <f>IF(OR($A598="",D598="",D598&lt;=0,Séries!S597=""),"",D598/Séries!S597-1)</f>
        <v/>
      </c>
      <c r="I598" s="22" t="str">
        <f>IF(OR($A598="",E598="",E598&lt;=0,Séries!T597=""),"",E598/Séries!T597-1)</f>
        <v/>
      </c>
      <c r="J598" s="27"/>
      <c r="K598" s="1" t="str">
        <f>IF(COUNTA(A598:E598)=0,"",IF(A598="","Preencha a data",IF(NOT(ISNUMBER(A598)),"Data inválida",IF(OR(A598&lt;36526,A598&gt;73050,A598&lt;&gt;INT(A598)),"Data inválida",IF(A598&lt;=Séries!U597,"Data repetida / fora de ordem",IF(COUNTA(B598:E598)&lt;&gt;COUNT(B598:E598),"Use preços numéricos",IF(OR(AND(ISNUMBER(B598),B598&lt;=0),AND(ISNUMBER(C598),C598&lt;=0),AND(ISNUMBER(D598),D598&lt;=0),AND(ISNUMBER(E598),E598&lt;=0)),"Use preços positivos","")))))))</f>
        <v/>
      </c>
    </row>
    <row r="599" spans="1:11" ht="22.95" customHeight="1">
      <c r="A599" s="28"/>
      <c r="B599" s="29"/>
      <c r="C599" s="29"/>
      <c r="D599" s="29"/>
      <c r="E599" s="30"/>
      <c r="F599" s="22" t="str">
        <f>IF(OR($A599="",B599="",B599&lt;=0,Séries!Q598=""),"",B599/Séries!Q598-1)</f>
        <v/>
      </c>
      <c r="G599" s="22" t="str">
        <f>IF(OR($A599="",C599="",C599&lt;=0,Séries!R598=""),"",C599/Séries!R598-1)</f>
        <v/>
      </c>
      <c r="H599" s="22" t="str">
        <f>IF(OR($A599="",D599="",D599&lt;=0,Séries!S598=""),"",D599/Séries!S598-1)</f>
        <v/>
      </c>
      <c r="I599" s="22" t="str">
        <f>IF(OR($A599="",E599="",E599&lt;=0,Séries!T598=""),"",E599/Séries!T598-1)</f>
        <v/>
      </c>
      <c r="J599" s="27"/>
      <c r="K599" s="1" t="str">
        <f>IF(COUNTA(A599:E599)=0,"",IF(A599="","Preencha a data",IF(NOT(ISNUMBER(A599)),"Data inválida",IF(OR(A599&lt;36526,A599&gt;73050,A599&lt;&gt;INT(A599)),"Data inválida",IF(A599&lt;=Séries!U598,"Data repetida / fora de ordem",IF(COUNTA(B599:E599)&lt;&gt;COUNT(B599:E599),"Use preços numéricos",IF(OR(AND(ISNUMBER(B599),B599&lt;=0),AND(ISNUMBER(C599),C599&lt;=0),AND(ISNUMBER(D599),D599&lt;=0),AND(ISNUMBER(E599),E599&lt;=0)),"Use preços positivos","")))))))</f>
        <v/>
      </c>
    </row>
    <row r="600" spans="1:11" ht="22.95" customHeight="1">
      <c r="A600" s="28"/>
      <c r="B600" s="29"/>
      <c r="C600" s="29"/>
      <c r="D600" s="29"/>
      <c r="E600" s="30"/>
      <c r="F600" s="22" t="str">
        <f>IF(OR($A600="",B600="",B600&lt;=0,Séries!Q599=""),"",B600/Séries!Q599-1)</f>
        <v/>
      </c>
      <c r="G600" s="22" t="str">
        <f>IF(OR($A600="",C600="",C600&lt;=0,Séries!R599=""),"",C600/Séries!R599-1)</f>
        <v/>
      </c>
      <c r="H600" s="22" t="str">
        <f>IF(OR($A600="",D600="",D600&lt;=0,Séries!S599=""),"",D600/Séries!S599-1)</f>
        <v/>
      </c>
      <c r="I600" s="22" t="str">
        <f>IF(OR($A600="",E600="",E600&lt;=0,Séries!T599=""),"",E600/Séries!T599-1)</f>
        <v/>
      </c>
      <c r="J600" s="27"/>
      <c r="K600" s="1" t="str">
        <f>IF(COUNTA(A600:E600)=0,"",IF(A600="","Preencha a data",IF(NOT(ISNUMBER(A600)),"Data inválida",IF(OR(A600&lt;36526,A600&gt;73050,A600&lt;&gt;INT(A600)),"Data inválida",IF(A600&lt;=Séries!U599,"Data repetida / fora de ordem",IF(COUNTA(B600:E600)&lt;&gt;COUNT(B600:E600),"Use preços numéricos",IF(OR(AND(ISNUMBER(B600),B600&lt;=0),AND(ISNUMBER(C600),C600&lt;=0),AND(ISNUMBER(D600),D600&lt;=0),AND(ISNUMBER(E600),E600&lt;=0)),"Use preços positivos","")))))))</f>
        <v/>
      </c>
    </row>
    <row r="601" spans="1:11" ht="22.95" customHeight="1">
      <c r="A601" s="28"/>
      <c r="B601" s="29"/>
      <c r="C601" s="29"/>
      <c r="D601" s="29"/>
      <c r="E601" s="30"/>
      <c r="F601" s="22" t="str">
        <f>IF(OR($A601="",B601="",B601&lt;=0,Séries!Q600=""),"",B601/Séries!Q600-1)</f>
        <v/>
      </c>
      <c r="G601" s="22" t="str">
        <f>IF(OR($A601="",C601="",C601&lt;=0,Séries!R600=""),"",C601/Séries!R600-1)</f>
        <v/>
      </c>
      <c r="H601" s="22" t="str">
        <f>IF(OR($A601="",D601="",D601&lt;=0,Séries!S600=""),"",D601/Séries!S600-1)</f>
        <v/>
      </c>
      <c r="I601" s="22" t="str">
        <f>IF(OR($A601="",E601="",E601&lt;=0,Séries!T600=""),"",E601/Séries!T600-1)</f>
        <v/>
      </c>
      <c r="J601" s="27"/>
      <c r="K601" s="1" t="str">
        <f>IF(COUNTA(A601:E601)=0,"",IF(A601="","Preencha a data",IF(NOT(ISNUMBER(A601)),"Data inválida",IF(OR(A601&lt;36526,A601&gt;73050,A601&lt;&gt;INT(A601)),"Data inválida",IF(A601&lt;=Séries!U600,"Data repetida / fora de ordem",IF(COUNTA(B601:E601)&lt;&gt;COUNT(B601:E601),"Use preços numéricos",IF(OR(AND(ISNUMBER(B601),B601&lt;=0),AND(ISNUMBER(C601),C601&lt;=0),AND(ISNUMBER(D601),D601&lt;=0),AND(ISNUMBER(E601),E601&lt;=0)),"Use preços positivos","")))))))</f>
        <v/>
      </c>
    </row>
    <row r="602" spans="1:11" ht="22.95" customHeight="1">
      <c r="A602" s="28"/>
      <c r="B602" s="29"/>
      <c r="C602" s="29"/>
      <c r="D602" s="29"/>
      <c r="E602" s="30"/>
      <c r="F602" s="22" t="str">
        <f>IF(OR($A602="",B602="",B602&lt;=0,Séries!Q601=""),"",B602/Séries!Q601-1)</f>
        <v/>
      </c>
      <c r="G602" s="22" t="str">
        <f>IF(OR($A602="",C602="",C602&lt;=0,Séries!R601=""),"",C602/Séries!R601-1)</f>
        <v/>
      </c>
      <c r="H602" s="22" t="str">
        <f>IF(OR($A602="",D602="",D602&lt;=0,Séries!S601=""),"",D602/Séries!S601-1)</f>
        <v/>
      </c>
      <c r="I602" s="22" t="str">
        <f>IF(OR($A602="",E602="",E602&lt;=0,Séries!T601=""),"",E602/Séries!T601-1)</f>
        <v/>
      </c>
      <c r="J602" s="27"/>
      <c r="K602" s="1" t="str">
        <f>IF(COUNTA(A602:E602)=0,"",IF(A602="","Preencha a data",IF(NOT(ISNUMBER(A602)),"Data inválida",IF(OR(A602&lt;36526,A602&gt;73050,A602&lt;&gt;INT(A602)),"Data inválida",IF(A602&lt;=Séries!U601,"Data repetida / fora de ordem",IF(COUNTA(B602:E602)&lt;&gt;COUNT(B602:E602),"Use preços numéricos",IF(OR(AND(ISNUMBER(B602),B602&lt;=0),AND(ISNUMBER(C602),C602&lt;=0),AND(ISNUMBER(D602),D602&lt;=0),AND(ISNUMBER(E602),E602&lt;=0)),"Use preços positivos","")))))))</f>
        <v/>
      </c>
    </row>
    <row r="603" spans="1:11" ht="22.95" customHeight="1">
      <c r="A603" s="28"/>
      <c r="B603" s="29"/>
      <c r="C603" s="29"/>
      <c r="D603" s="29"/>
      <c r="E603" s="30"/>
      <c r="F603" s="22" t="str">
        <f>IF(OR($A603="",B603="",B603&lt;=0,Séries!Q602=""),"",B603/Séries!Q602-1)</f>
        <v/>
      </c>
      <c r="G603" s="22" t="str">
        <f>IF(OR($A603="",C603="",C603&lt;=0,Séries!R602=""),"",C603/Séries!R602-1)</f>
        <v/>
      </c>
      <c r="H603" s="22" t="str">
        <f>IF(OR($A603="",D603="",D603&lt;=0,Séries!S602=""),"",D603/Séries!S602-1)</f>
        <v/>
      </c>
      <c r="I603" s="22" t="str">
        <f>IF(OR($A603="",E603="",E603&lt;=0,Séries!T602=""),"",E603/Séries!T602-1)</f>
        <v/>
      </c>
      <c r="J603" s="27"/>
      <c r="K603" s="1" t="str">
        <f>IF(COUNTA(A603:E603)=0,"",IF(A603="","Preencha a data",IF(NOT(ISNUMBER(A603)),"Data inválida",IF(OR(A603&lt;36526,A603&gt;73050,A603&lt;&gt;INT(A603)),"Data inválida",IF(A603&lt;=Séries!U602,"Data repetida / fora de ordem",IF(COUNTA(B603:E603)&lt;&gt;COUNT(B603:E603),"Use preços numéricos",IF(OR(AND(ISNUMBER(B603),B603&lt;=0),AND(ISNUMBER(C603),C603&lt;=0),AND(ISNUMBER(D603),D603&lt;=0),AND(ISNUMBER(E603),E603&lt;=0)),"Use preços positivos","")))))))</f>
        <v/>
      </c>
    </row>
    <row r="604" spans="1:11" ht="22.95" customHeight="1">
      <c r="A604" s="28"/>
      <c r="B604" s="29"/>
      <c r="C604" s="29"/>
      <c r="D604" s="29"/>
      <c r="E604" s="30"/>
      <c r="F604" s="22" t="str">
        <f>IF(OR($A604="",B604="",B604&lt;=0,Séries!Q603=""),"",B604/Séries!Q603-1)</f>
        <v/>
      </c>
      <c r="G604" s="22" t="str">
        <f>IF(OR($A604="",C604="",C604&lt;=0,Séries!R603=""),"",C604/Séries!R603-1)</f>
        <v/>
      </c>
      <c r="H604" s="22" t="str">
        <f>IF(OR($A604="",D604="",D604&lt;=0,Séries!S603=""),"",D604/Séries!S603-1)</f>
        <v/>
      </c>
      <c r="I604" s="22" t="str">
        <f>IF(OR($A604="",E604="",E604&lt;=0,Séries!T603=""),"",E604/Séries!T603-1)</f>
        <v/>
      </c>
      <c r="J604" s="27"/>
      <c r="K604" s="1" t="str">
        <f>IF(COUNTA(A604:E604)=0,"",IF(A604="","Preencha a data",IF(NOT(ISNUMBER(A604)),"Data inválida",IF(OR(A604&lt;36526,A604&gt;73050,A604&lt;&gt;INT(A604)),"Data inválida",IF(A604&lt;=Séries!U603,"Data repetida / fora de ordem",IF(COUNTA(B604:E604)&lt;&gt;COUNT(B604:E604),"Use preços numéricos",IF(OR(AND(ISNUMBER(B604),B604&lt;=0),AND(ISNUMBER(C604),C604&lt;=0),AND(ISNUMBER(D604),D604&lt;=0),AND(ISNUMBER(E604),E604&lt;=0)),"Use preços positivos","")))))))</f>
        <v/>
      </c>
    </row>
    <row r="605" spans="1:11" ht="22.95" customHeight="1">
      <c r="A605" s="28"/>
      <c r="B605" s="29"/>
      <c r="C605" s="29"/>
      <c r="D605" s="29"/>
      <c r="E605" s="30"/>
      <c r="F605" s="22" t="str">
        <f>IF(OR($A605="",B605="",B605&lt;=0,Séries!Q604=""),"",B605/Séries!Q604-1)</f>
        <v/>
      </c>
      <c r="G605" s="22" t="str">
        <f>IF(OR($A605="",C605="",C605&lt;=0,Séries!R604=""),"",C605/Séries!R604-1)</f>
        <v/>
      </c>
      <c r="H605" s="22" t="str">
        <f>IF(OR($A605="",D605="",D605&lt;=0,Séries!S604=""),"",D605/Séries!S604-1)</f>
        <v/>
      </c>
      <c r="I605" s="22" t="str">
        <f>IF(OR($A605="",E605="",E605&lt;=0,Séries!T604=""),"",E605/Séries!T604-1)</f>
        <v/>
      </c>
      <c r="J605" s="27"/>
      <c r="K605" s="1" t="str">
        <f>IF(COUNTA(A605:E605)=0,"",IF(A605="","Preencha a data",IF(NOT(ISNUMBER(A605)),"Data inválida",IF(OR(A605&lt;36526,A605&gt;73050,A605&lt;&gt;INT(A605)),"Data inválida",IF(A605&lt;=Séries!U604,"Data repetida / fora de ordem",IF(COUNTA(B605:E605)&lt;&gt;COUNT(B605:E605),"Use preços numéricos",IF(OR(AND(ISNUMBER(B605),B605&lt;=0),AND(ISNUMBER(C605),C605&lt;=0),AND(ISNUMBER(D605),D605&lt;=0),AND(ISNUMBER(E605),E605&lt;=0)),"Use preços positivos","")))))))</f>
        <v/>
      </c>
    </row>
    <row r="606" spans="1:11" ht="22.95" customHeight="1">
      <c r="A606" s="28"/>
      <c r="B606" s="29"/>
      <c r="C606" s="29"/>
      <c r="D606" s="29"/>
      <c r="E606" s="30"/>
      <c r="F606" s="22" t="str">
        <f>IF(OR($A606="",B606="",B606&lt;=0,Séries!Q605=""),"",B606/Séries!Q605-1)</f>
        <v/>
      </c>
      <c r="G606" s="22" t="str">
        <f>IF(OR($A606="",C606="",C606&lt;=0,Séries!R605=""),"",C606/Séries!R605-1)</f>
        <v/>
      </c>
      <c r="H606" s="22" t="str">
        <f>IF(OR($A606="",D606="",D606&lt;=0,Séries!S605=""),"",D606/Séries!S605-1)</f>
        <v/>
      </c>
      <c r="I606" s="22" t="str">
        <f>IF(OR($A606="",E606="",E606&lt;=0,Séries!T605=""),"",E606/Séries!T605-1)</f>
        <v/>
      </c>
      <c r="J606" s="27"/>
      <c r="K606" s="1" t="str">
        <f>IF(COUNTA(A606:E606)=0,"",IF(A606="","Preencha a data",IF(NOT(ISNUMBER(A606)),"Data inválida",IF(OR(A606&lt;36526,A606&gt;73050,A606&lt;&gt;INT(A606)),"Data inválida",IF(A606&lt;=Séries!U605,"Data repetida / fora de ordem",IF(COUNTA(B606:E606)&lt;&gt;COUNT(B606:E606),"Use preços numéricos",IF(OR(AND(ISNUMBER(B606),B606&lt;=0),AND(ISNUMBER(C606),C606&lt;=0),AND(ISNUMBER(D606),D606&lt;=0),AND(ISNUMBER(E606),E606&lt;=0)),"Use preços positivos","")))))))</f>
        <v/>
      </c>
    </row>
    <row r="607" spans="1:11" ht="22.95" customHeight="1">
      <c r="A607" s="28"/>
      <c r="B607" s="29"/>
      <c r="C607" s="29"/>
      <c r="D607" s="29"/>
      <c r="E607" s="30"/>
      <c r="F607" s="22" t="str">
        <f>IF(OR($A607="",B607="",B607&lt;=0,Séries!Q606=""),"",B607/Séries!Q606-1)</f>
        <v/>
      </c>
      <c r="G607" s="22" t="str">
        <f>IF(OR($A607="",C607="",C607&lt;=0,Séries!R606=""),"",C607/Séries!R606-1)</f>
        <v/>
      </c>
      <c r="H607" s="22" t="str">
        <f>IF(OR($A607="",D607="",D607&lt;=0,Séries!S606=""),"",D607/Séries!S606-1)</f>
        <v/>
      </c>
      <c r="I607" s="22" t="str">
        <f>IF(OR($A607="",E607="",E607&lt;=0,Séries!T606=""),"",E607/Séries!T606-1)</f>
        <v/>
      </c>
      <c r="J607" s="27"/>
      <c r="K607" s="1" t="str">
        <f>IF(COUNTA(A607:E607)=0,"",IF(A607="","Preencha a data",IF(NOT(ISNUMBER(A607)),"Data inválida",IF(OR(A607&lt;36526,A607&gt;73050,A607&lt;&gt;INT(A607)),"Data inválida",IF(A607&lt;=Séries!U606,"Data repetida / fora de ordem",IF(COUNTA(B607:E607)&lt;&gt;COUNT(B607:E607),"Use preços numéricos",IF(OR(AND(ISNUMBER(B607),B607&lt;=0),AND(ISNUMBER(C607),C607&lt;=0),AND(ISNUMBER(D607),D607&lt;=0),AND(ISNUMBER(E607),E607&lt;=0)),"Use preços positivos","")))))))</f>
        <v/>
      </c>
    </row>
    <row r="608" spans="1:11" ht="22.95" customHeight="1">
      <c r="A608" s="28"/>
      <c r="B608" s="29"/>
      <c r="C608" s="29"/>
      <c r="D608" s="29"/>
      <c r="E608" s="30"/>
      <c r="F608" s="22" t="str">
        <f>IF(OR($A608="",B608="",B608&lt;=0,Séries!Q607=""),"",B608/Séries!Q607-1)</f>
        <v/>
      </c>
      <c r="G608" s="22" t="str">
        <f>IF(OR($A608="",C608="",C608&lt;=0,Séries!R607=""),"",C608/Séries!R607-1)</f>
        <v/>
      </c>
      <c r="H608" s="22" t="str">
        <f>IF(OR($A608="",D608="",D608&lt;=0,Séries!S607=""),"",D608/Séries!S607-1)</f>
        <v/>
      </c>
      <c r="I608" s="22" t="str">
        <f>IF(OR($A608="",E608="",E608&lt;=0,Séries!T607=""),"",E608/Séries!T607-1)</f>
        <v/>
      </c>
      <c r="J608" s="27"/>
      <c r="K608" s="1" t="str">
        <f>IF(COUNTA(A608:E608)=0,"",IF(A608="","Preencha a data",IF(NOT(ISNUMBER(A608)),"Data inválida",IF(OR(A608&lt;36526,A608&gt;73050,A608&lt;&gt;INT(A608)),"Data inválida",IF(A608&lt;=Séries!U607,"Data repetida / fora de ordem",IF(COUNTA(B608:E608)&lt;&gt;COUNT(B608:E608),"Use preços numéricos",IF(OR(AND(ISNUMBER(B608),B608&lt;=0),AND(ISNUMBER(C608),C608&lt;=0),AND(ISNUMBER(D608),D608&lt;=0),AND(ISNUMBER(E608),E608&lt;=0)),"Use preços positivos","")))))))</f>
        <v/>
      </c>
    </row>
    <row r="609" spans="1:11" ht="22.95" customHeight="1">
      <c r="A609" s="28"/>
      <c r="B609" s="29"/>
      <c r="C609" s="29"/>
      <c r="D609" s="29"/>
      <c r="E609" s="30"/>
      <c r="F609" s="22" t="str">
        <f>IF(OR($A609="",B609="",B609&lt;=0,Séries!Q608=""),"",B609/Séries!Q608-1)</f>
        <v/>
      </c>
      <c r="G609" s="22" t="str">
        <f>IF(OR($A609="",C609="",C609&lt;=0,Séries!R608=""),"",C609/Séries!R608-1)</f>
        <v/>
      </c>
      <c r="H609" s="22" t="str">
        <f>IF(OR($A609="",D609="",D609&lt;=0,Séries!S608=""),"",D609/Séries!S608-1)</f>
        <v/>
      </c>
      <c r="I609" s="22" t="str">
        <f>IF(OR($A609="",E609="",E609&lt;=0,Séries!T608=""),"",E609/Séries!T608-1)</f>
        <v/>
      </c>
      <c r="J609" s="27"/>
      <c r="K609" s="1" t="str">
        <f>IF(COUNTA(A609:E609)=0,"",IF(A609="","Preencha a data",IF(NOT(ISNUMBER(A609)),"Data inválida",IF(OR(A609&lt;36526,A609&gt;73050,A609&lt;&gt;INT(A609)),"Data inválida",IF(A609&lt;=Séries!U608,"Data repetida / fora de ordem",IF(COUNTA(B609:E609)&lt;&gt;COUNT(B609:E609),"Use preços numéricos",IF(OR(AND(ISNUMBER(B609),B609&lt;=0),AND(ISNUMBER(C609),C609&lt;=0),AND(ISNUMBER(D609),D609&lt;=0),AND(ISNUMBER(E609),E609&lt;=0)),"Use preços positivos","")))))))</f>
        <v/>
      </c>
    </row>
    <row r="610" spans="1:11" ht="22.95" customHeight="1">
      <c r="A610" s="28"/>
      <c r="B610" s="29"/>
      <c r="C610" s="29"/>
      <c r="D610" s="29"/>
      <c r="E610" s="30"/>
      <c r="F610" s="22" t="str">
        <f>IF(OR($A610="",B610="",B610&lt;=0,Séries!Q609=""),"",B610/Séries!Q609-1)</f>
        <v/>
      </c>
      <c r="G610" s="22" t="str">
        <f>IF(OR($A610="",C610="",C610&lt;=0,Séries!R609=""),"",C610/Séries!R609-1)</f>
        <v/>
      </c>
      <c r="H610" s="22" t="str">
        <f>IF(OR($A610="",D610="",D610&lt;=0,Séries!S609=""),"",D610/Séries!S609-1)</f>
        <v/>
      </c>
      <c r="I610" s="22" t="str">
        <f>IF(OR($A610="",E610="",E610&lt;=0,Séries!T609=""),"",E610/Séries!T609-1)</f>
        <v/>
      </c>
      <c r="J610" s="27"/>
      <c r="K610" s="1" t="str">
        <f>IF(COUNTA(A610:E610)=0,"",IF(A610="","Preencha a data",IF(NOT(ISNUMBER(A610)),"Data inválida",IF(OR(A610&lt;36526,A610&gt;73050,A610&lt;&gt;INT(A610)),"Data inválida",IF(A610&lt;=Séries!U609,"Data repetida / fora de ordem",IF(COUNTA(B610:E610)&lt;&gt;COUNT(B610:E610),"Use preços numéricos",IF(OR(AND(ISNUMBER(B610),B610&lt;=0),AND(ISNUMBER(C610),C610&lt;=0),AND(ISNUMBER(D610),D610&lt;=0),AND(ISNUMBER(E610),E610&lt;=0)),"Use preços positivos","")))))))</f>
        <v/>
      </c>
    </row>
    <row r="611" spans="1:11" ht="22.95" customHeight="1">
      <c r="A611" s="28"/>
      <c r="B611" s="29"/>
      <c r="C611" s="29"/>
      <c r="D611" s="29"/>
      <c r="E611" s="30"/>
      <c r="F611" s="22" t="str">
        <f>IF(OR($A611="",B611="",B611&lt;=0,Séries!Q610=""),"",B611/Séries!Q610-1)</f>
        <v/>
      </c>
      <c r="G611" s="22" t="str">
        <f>IF(OR($A611="",C611="",C611&lt;=0,Séries!R610=""),"",C611/Séries!R610-1)</f>
        <v/>
      </c>
      <c r="H611" s="22" t="str">
        <f>IF(OR($A611="",D611="",D611&lt;=0,Séries!S610=""),"",D611/Séries!S610-1)</f>
        <v/>
      </c>
      <c r="I611" s="22" t="str">
        <f>IF(OR($A611="",E611="",E611&lt;=0,Séries!T610=""),"",E611/Séries!T610-1)</f>
        <v/>
      </c>
      <c r="J611" s="27"/>
      <c r="K611" s="1" t="str">
        <f>IF(COUNTA(A611:E611)=0,"",IF(A611="","Preencha a data",IF(NOT(ISNUMBER(A611)),"Data inválida",IF(OR(A611&lt;36526,A611&gt;73050,A611&lt;&gt;INT(A611)),"Data inválida",IF(A611&lt;=Séries!U610,"Data repetida / fora de ordem",IF(COUNTA(B611:E611)&lt;&gt;COUNT(B611:E611),"Use preços numéricos",IF(OR(AND(ISNUMBER(B611),B611&lt;=0),AND(ISNUMBER(C611),C611&lt;=0),AND(ISNUMBER(D611),D611&lt;=0),AND(ISNUMBER(E611),E611&lt;=0)),"Use preços positivos","")))))))</f>
        <v/>
      </c>
    </row>
    <row r="612" spans="1:11" ht="22.95" customHeight="1">
      <c r="A612" s="28"/>
      <c r="B612" s="29"/>
      <c r="C612" s="29"/>
      <c r="D612" s="29"/>
      <c r="E612" s="30"/>
      <c r="F612" s="22" t="str">
        <f>IF(OR($A612="",B612="",B612&lt;=0,Séries!Q611=""),"",B612/Séries!Q611-1)</f>
        <v/>
      </c>
      <c r="G612" s="22" t="str">
        <f>IF(OR($A612="",C612="",C612&lt;=0,Séries!R611=""),"",C612/Séries!R611-1)</f>
        <v/>
      </c>
      <c r="H612" s="22" t="str">
        <f>IF(OR($A612="",D612="",D612&lt;=0,Séries!S611=""),"",D612/Séries!S611-1)</f>
        <v/>
      </c>
      <c r="I612" s="22" t="str">
        <f>IF(OR($A612="",E612="",E612&lt;=0,Séries!T611=""),"",E612/Séries!T611-1)</f>
        <v/>
      </c>
      <c r="J612" s="27"/>
      <c r="K612" s="1" t="str">
        <f>IF(COUNTA(A612:E612)=0,"",IF(A612="","Preencha a data",IF(NOT(ISNUMBER(A612)),"Data inválida",IF(OR(A612&lt;36526,A612&gt;73050,A612&lt;&gt;INT(A612)),"Data inválida",IF(A612&lt;=Séries!U611,"Data repetida / fora de ordem",IF(COUNTA(B612:E612)&lt;&gt;COUNT(B612:E612),"Use preços numéricos",IF(OR(AND(ISNUMBER(B612),B612&lt;=0),AND(ISNUMBER(C612),C612&lt;=0),AND(ISNUMBER(D612),D612&lt;=0),AND(ISNUMBER(E612),E612&lt;=0)),"Use preços positivos","")))))))</f>
        <v/>
      </c>
    </row>
    <row r="613" spans="1:11" ht="22.95" customHeight="1">
      <c r="A613" s="28"/>
      <c r="B613" s="29"/>
      <c r="C613" s="29"/>
      <c r="D613" s="29"/>
      <c r="E613" s="30"/>
      <c r="F613" s="22" t="str">
        <f>IF(OR($A613="",B613="",B613&lt;=0,Séries!Q612=""),"",B613/Séries!Q612-1)</f>
        <v/>
      </c>
      <c r="G613" s="22" t="str">
        <f>IF(OR($A613="",C613="",C613&lt;=0,Séries!R612=""),"",C613/Séries!R612-1)</f>
        <v/>
      </c>
      <c r="H613" s="22" t="str">
        <f>IF(OR($A613="",D613="",D613&lt;=0,Séries!S612=""),"",D613/Séries!S612-1)</f>
        <v/>
      </c>
      <c r="I613" s="22" t="str">
        <f>IF(OR($A613="",E613="",E613&lt;=0,Séries!T612=""),"",E613/Séries!T612-1)</f>
        <v/>
      </c>
      <c r="J613" s="27"/>
      <c r="K613" s="1" t="str">
        <f>IF(COUNTA(A613:E613)=0,"",IF(A613="","Preencha a data",IF(NOT(ISNUMBER(A613)),"Data inválida",IF(OR(A613&lt;36526,A613&gt;73050,A613&lt;&gt;INT(A613)),"Data inválida",IF(A613&lt;=Séries!U612,"Data repetida / fora de ordem",IF(COUNTA(B613:E613)&lt;&gt;COUNT(B613:E613),"Use preços numéricos",IF(OR(AND(ISNUMBER(B613),B613&lt;=0),AND(ISNUMBER(C613),C613&lt;=0),AND(ISNUMBER(D613),D613&lt;=0),AND(ISNUMBER(E613),E613&lt;=0)),"Use preços positivos","")))))))</f>
        <v/>
      </c>
    </row>
    <row r="614" spans="1:11" ht="22.95" customHeight="1">
      <c r="A614" s="28"/>
      <c r="B614" s="29"/>
      <c r="C614" s="29"/>
      <c r="D614" s="29"/>
      <c r="E614" s="30"/>
      <c r="F614" s="22" t="str">
        <f>IF(OR($A614="",B614="",B614&lt;=0,Séries!Q613=""),"",B614/Séries!Q613-1)</f>
        <v/>
      </c>
      <c r="G614" s="22" t="str">
        <f>IF(OR($A614="",C614="",C614&lt;=0,Séries!R613=""),"",C614/Séries!R613-1)</f>
        <v/>
      </c>
      <c r="H614" s="22" t="str">
        <f>IF(OR($A614="",D614="",D614&lt;=0,Séries!S613=""),"",D614/Séries!S613-1)</f>
        <v/>
      </c>
      <c r="I614" s="22" t="str">
        <f>IF(OR($A614="",E614="",E614&lt;=0,Séries!T613=""),"",E614/Séries!T613-1)</f>
        <v/>
      </c>
      <c r="J614" s="27"/>
      <c r="K614" s="1" t="str">
        <f>IF(COUNTA(A614:E614)=0,"",IF(A614="","Preencha a data",IF(NOT(ISNUMBER(A614)),"Data inválida",IF(OR(A614&lt;36526,A614&gt;73050,A614&lt;&gt;INT(A614)),"Data inválida",IF(A614&lt;=Séries!U613,"Data repetida / fora de ordem",IF(COUNTA(B614:E614)&lt;&gt;COUNT(B614:E614),"Use preços numéricos",IF(OR(AND(ISNUMBER(B614),B614&lt;=0),AND(ISNUMBER(C614),C614&lt;=0),AND(ISNUMBER(D614),D614&lt;=0),AND(ISNUMBER(E614),E614&lt;=0)),"Use preços positivos","")))))))</f>
        <v/>
      </c>
    </row>
    <row r="615" spans="1:11" ht="22.95" customHeight="1">
      <c r="A615" s="28"/>
      <c r="B615" s="29"/>
      <c r="C615" s="29"/>
      <c r="D615" s="29"/>
      <c r="E615" s="30"/>
      <c r="F615" s="22" t="str">
        <f>IF(OR($A615="",B615="",B615&lt;=0,Séries!Q614=""),"",B615/Séries!Q614-1)</f>
        <v/>
      </c>
      <c r="G615" s="22" t="str">
        <f>IF(OR($A615="",C615="",C615&lt;=0,Séries!R614=""),"",C615/Séries!R614-1)</f>
        <v/>
      </c>
      <c r="H615" s="22" t="str">
        <f>IF(OR($A615="",D615="",D615&lt;=0,Séries!S614=""),"",D615/Séries!S614-1)</f>
        <v/>
      </c>
      <c r="I615" s="22" t="str">
        <f>IF(OR($A615="",E615="",E615&lt;=0,Séries!T614=""),"",E615/Séries!T614-1)</f>
        <v/>
      </c>
      <c r="J615" s="27"/>
      <c r="K615" s="1" t="str">
        <f>IF(COUNTA(A615:E615)=0,"",IF(A615="","Preencha a data",IF(NOT(ISNUMBER(A615)),"Data inválida",IF(OR(A615&lt;36526,A615&gt;73050,A615&lt;&gt;INT(A615)),"Data inválida",IF(A615&lt;=Séries!U614,"Data repetida / fora de ordem",IF(COUNTA(B615:E615)&lt;&gt;COUNT(B615:E615),"Use preços numéricos",IF(OR(AND(ISNUMBER(B615),B615&lt;=0),AND(ISNUMBER(C615),C615&lt;=0),AND(ISNUMBER(D615),D615&lt;=0),AND(ISNUMBER(E615),E615&lt;=0)),"Use preços positivos","")))))))</f>
        <v/>
      </c>
    </row>
    <row r="616" spans="1:11" ht="22.95" customHeight="1">
      <c r="A616" s="28"/>
      <c r="B616" s="29"/>
      <c r="C616" s="29"/>
      <c r="D616" s="29"/>
      <c r="E616" s="30"/>
      <c r="F616" s="22" t="str">
        <f>IF(OR($A616="",B616="",B616&lt;=0,Séries!Q615=""),"",B616/Séries!Q615-1)</f>
        <v/>
      </c>
      <c r="G616" s="22" t="str">
        <f>IF(OR($A616="",C616="",C616&lt;=0,Séries!R615=""),"",C616/Séries!R615-1)</f>
        <v/>
      </c>
      <c r="H616" s="22" t="str">
        <f>IF(OR($A616="",D616="",D616&lt;=0,Séries!S615=""),"",D616/Séries!S615-1)</f>
        <v/>
      </c>
      <c r="I616" s="22" t="str">
        <f>IF(OR($A616="",E616="",E616&lt;=0,Séries!T615=""),"",E616/Séries!T615-1)</f>
        <v/>
      </c>
      <c r="J616" s="27"/>
      <c r="K616" s="1" t="str">
        <f>IF(COUNTA(A616:E616)=0,"",IF(A616="","Preencha a data",IF(NOT(ISNUMBER(A616)),"Data inválida",IF(OR(A616&lt;36526,A616&gt;73050,A616&lt;&gt;INT(A616)),"Data inválida",IF(A616&lt;=Séries!U615,"Data repetida / fora de ordem",IF(COUNTA(B616:E616)&lt;&gt;COUNT(B616:E616),"Use preços numéricos",IF(OR(AND(ISNUMBER(B616),B616&lt;=0),AND(ISNUMBER(C616),C616&lt;=0),AND(ISNUMBER(D616),D616&lt;=0),AND(ISNUMBER(E616),E616&lt;=0)),"Use preços positivos","")))))))</f>
        <v/>
      </c>
    </row>
    <row r="617" spans="1:11" ht="22.95" customHeight="1">
      <c r="A617" s="28"/>
      <c r="B617" s="29"/>
      <c r="C617" s="29"/>
      <c r="D617" s="29"/>
      <c r="E617" s="30"/>
      <c r="F617" s="22" t="str">
        <f>IF(OR($A617="",B617="",B617&lt;=0,Séries!Q616=""),"",B617/Séries!Q616-1)</f>
        <v/>
      </c>
      <c r="G617" s="22" t="str">
        <f>IF(OR($A617="",C617="",C617&lt;=0,Séries!R616=""),"",C617/Séries!R616-1)</f>
        <v/>
      </c>
      <c r="H617" s="22" t="str">
        <f>IF(OR($A617="",D617="",D617&lt;=0,Séries!S616=""),"",D617/Séries!S616-1)</f>
        <v/>
      </c>
      <c r="I617" s="22" t="str">
        <f>IF(OR($A617="",E617="",E617&lt;=0,Séries!T616=""),"",E617/Séries!T616-1)</f>
        <v/>
      </c>
      <c r="J617" s="27"/>
      <c r="K617" s="1" t="str">
        <f>IF(COUNTA(A617:E617)=0,"",IF(A617="","Preencha a data",IF(NOT(ISNUMBER(A617)),"Data inválida",IF(OR(A617&lt;36526,A617&gt;73050,A617&lt;&gt;INT(A617)),"Data inválida",IF(A617&lt;=Séries!U616,"Data repetida / fora de ordem",IF(COUNTA(B617:E617)&lt;&gt;COUNT(B617:E617),"Use preços numéricos",IF(OR(AND(ISNUMBER(B617),B617&lt;=0),AND(ISNUMBER(C617),C617&lt;=0),AND(ISNUMBER(D617),D617&lt;=0),AND(ISNUMBER(E617),E617&lt;=0)),"Use preços positivos","")))))))</f>
        <v/>
      </c>
    </row>
    <row r="618" spans="1:11" ht="22.95" customHeight="1">
      <c r="A618" s="28"/>
      <c r="B618" s="29"/>
      <c r="C618" s="29"/>
      <c r="D618" s="29"/>
      <c r="E618" s="30"/>
      <c r="F618" s="22" t="str">
        <f>IF(OR($A618="",B618="",B618&lt;=0,Séries!Q617=""),"",B618/Séries!Q617-1)</f>
        <v/>
      </c>
      <c r="G618" s="22" t="str">
        <f>IF(OR($A618="",C618="",C618&lt;=0,Séries!R617=""),"",C618/Séries!R617-1)</f>
        <v/>
      </c>
      <c r="H618" s="22" t="str">
        <f>IF(OR($A618="",D618="",D618&lt;=0,Séries!S617=""),"",D618/Séries!S617-1)</f>
        <v/>
      </c>
      <c r="I618" s="22" t="str">
        <f>IF(OR($A618="",E618="",E618&lt;=0,Séries!T617=""),"",E618/Séries!T617-1)</f>
        <v/>
      </c>
      <c r="J618" s="27"/>
      <c r="K618" s="1" t="str">
        <f>IF(COUNTA(A618:E618)=0,"",IF(A618="","Preencha a data",IF(NOT(ISNUMBER(A618)),"Data inválida",IF(OR(A618&lt;36526,A618&gt;73050,A618&lt;&gt;INT(A618)),"Data inválida",IF(A618&lt;=Séries!U617,"Data repetida / fora de ordem",IF(COUNTA(B618:E618)&lt;&gt;COUNT(B618:E618),"Use preços numéricos",IF(OR(AND(ISNUMBER(B618),B618&lt;=0),AND(ISNUMBER(C618),C618&lt;=0),AND(ISNUMBER(D618),D618&lt;=0),AND(ISNUMBER(E618),E618&lt;=0)),"Use preços positivos","")))))))</f>
        <v/>
      </c>
    </row>
    <row r="619" spans="1:11" ht="22.95" customHeight="1">
      <c r="A619" s="28"/>
      <c r="B619" s="29"/>
      <c r="C619" s="29"/>
      <c r="D619" s="29"/>
      <c r="E619" s="30"/>
      <c r="F619" s="22" t="str">
        <f>IF(OR($A619="",B619="",B619&lt;=0,Séries!Q618=""),"",B619/Séries!Q618-1)</f>
        <v/>
      </c>
      <c r="G619" s="22" t="str">
        <f>IF(OR($A619="",C619="",C619&lt;=0,Séries!R618=""),"",C619/Séries!R618-1)</f>
        <v/>
      </c>
      <c r="H619" s="22" t="str">
        <f>IF(OR($A619="",D619="",D619&lt;=0,Séries!S618=""),"",D619/Séries!S618-1)</f>
        <v/>
      </c>
      <c r="I619" s="22" t="str">
        <f>IF(OR($A619="",E619="",E619&lt;=0,Séries!T618=""),"",E619/Séries!T618-1)</f>
        <v/>
      </c>
      <c r="J619" s="27"/>
      <c r="K619" s="1" t="str">
        <f>IF(COUNTA(A619:E619)=0,"",IF(A619="","Preencha a data",IF(NOT(ISNUMBER(A619)),"Data inválida",IF(OR(A619&lt;36526,A619&gt;73050,A619&lt;&gt;INT(A619)),"Data inválida",IF(A619&lt;=Séries!U618,"Data repetida / fora de ordem",IF(COUNTA(B619:E619)&lt;&gt;COUNT(B619:E619),"Use preços numéricos",IF(OR(AND(ISNUMBER(B619),B619&lt;=0),AND(ISNUMBER(C619),C619&lt;=0),AND(ISNUMBER(D619),D619&lt;=0),AND(ISNUMBER(E619),E619&lt;=0)),"Use preços positivos","")))))))</f>
        <v/>
      </c>
    </row>
    <row r="620" spans="1:11" ht="22.95" customHeight="1">
      <c r="A620" s="28"/>
      <c r="B620" s="29"/>
      <c r="C620" s="29"/>
      <c r="D620" s="29"/>
      <c r="E620" s="30"/>
      <c r="F620" s="22" t="str">
        <f>IF(OR($A620="",B620="",B620&lt;=0,Séries!Q619=""),"",B620/Séries!Q619-1)</f>
        <v/>
      </c>
      <c r="G620" s="22" t="str">
        <f>IF(OR($A620="",C620="",C620&lt;=0,Séries!R619=""),"",C620/Séries!R619-1)</f>
        <v/>
      </c>
      <c r="H620" s="22" t="str">
        <f>IF(OR($A620="",D620="",D620&lt;=0,Séries!S619=""),"",D620/Séries!S619-1)</f>
        <v/>
      </c>
      <c r="I620" s="22" t="str">
        <f>IF(OR($A620="",E620="",E620&lt;=0,Séries!T619=""),"",E620/Séries!T619-1)</f>
        <v/>
      </c>
      <c r="J620" s="27"/>
      <c r="K620" s="1" t="str">
        <f>IF(COUNTA(A620:E620)=0,"",IF(A620="","Preencha a data",IF(NOT(ISNUMBER(A620)),"Data inválida",IF(OR(A620&lt;36526,A620&gt;73050,A620&lt;&gt;INT(A620)),"Data inválida",IF(A620&lt;=Séries!U619,"Data repetida / fora de ordem",IF(COUNTA(B620:E620)&lt;&gt;COUNT(B620:E620),"Use preços numéricos",IF(OR(AND(ISNUMBER(B620),B620&lt;=0),AND(ISNUMBER(C620),C620&lt;=0),AND(ISNUMBER(D620),D620&lt;=0),AND(ISNUMBER(E620),E620&lt;=0)),"Use preços positivos","")))))))</f>
        <v/>
      </c>
    </row>
    <row r="621" spans="1:11" ht="22.95" customHeight="1">
      <c r="A621" s="28"/>
      <c r="B621" s="29"/>
      <c r="C621" s="29"/>
      <c r="D621" s="29"/>
      <c r="E621" s="30"/>
      <c r="F621" s="22" t="str">
        <f>IF(OR($A621="",B621="",B621&lt;=0,Séries!Q620=""),"",B621/Séries!Q620-1)</f>
        <v/>
      </c>
      <c r="G621" s="22" t="str">
        <f>IF(OR($A621="",C621="",C621&lt;=0,Séries!R620=""),"",C621/Séries!R620-1)</f>
        <v/>
      </c>
      <c r="H621" s="22" t="str">
        <f>IF(OR($A621="",D621="",D621&lt;=0,Séries!S620=""),"",D621/Séries!S620-1)</f>
        <v/>
      </c>
      <c r="I621" s="22" t="str">
        <f>IF(OR($A621="",E621="",E621&lt;=0,Séries!T620=""),"",E621/Séries!T620-1)</f>
        <v/>
      </c>
      <c r="J621" s="27"/>
      <c r="K621" s="1" t="str">
        <f>IF(COUNTA(A621:E621)=0,"",IF(A621="","Preencha a data",IF(NOT(ISNUMBER(A621)),"Data inválida",IF(OR(A621&lt;36526,A621&gt;73050,A621&lt;&gt;INT(A621)),"Data inválida",IF(A621&lt;=Séries!U620,"Data repetida / fora de ordem",IF(COUNTA(B621:E621)&lt;&gt;COUNT(B621:E621),"Use preços numéricos",IF(OR(AND(ISNUMBER(B621),B621&lt;=0),AND(ISNUMBER(C621),C621&lt;=0),AND(ISNUMBER(D621),D621&lt;=0),AND(ISNUMBER(E621),E621&lt;=0)),"Use preços positivos","")))))))</f>
        <v/>
      </c>
    </row>
    <row r="622" spans="1:11" ht="22.95" customHeight="1">
      <c r="A622" s="28"/>
      <c r="B622" s="29"/>
      <c r="C622" s="29"/>
      <c r="D622" s="29"/>
      <c r="E622" s="30"/>
      <c r="F622" s="22" t="str">
        <f>IF(OR($A622="",B622="",B622&lt;=0,Séries!Q621=""),"",B622/Séries!Q621-1)</f>
        <v/>
      </c>
      <c r="G622" s="22" t="str">
        <f>IF(OR($A622="",C622="",C622&lt;=0,Séries!R621=""),"",C622/Séries!R621-1)</f>
        <v/>
      </c>
      <c r="H622" s="22" t="str">
        <f>IF(OR($A622="",D622="",D622&lt;=0,Séries!S621=""),"",D622/Séries!S621-1)</f>
        <v/>
      </c>
      <c r="I622" s="22" t="str">
        <f>IF(OR($A622="",E622="",E622&lt;=0,Séries!T621=""),"",E622/Séries!T621-1)</f>
        <v/>
      </c>
      <c r="J622" s="27"/>
      <c r="K622" s="1" t="str">
        <f>IF(COUNTA(A622:E622)=0,"",IF(A622="","Preencha a data",IF(NOT(ISNUMBER(A622)),"Data inválida",IF(OR(A622&lt;36526,A622&gt;73050,A622&lt;&gt;INT(A622)),"Data inválida",IF(A622&lt;=Séries!U621,"Data repetida / fora de ordem",IF(COUNTA(B622:E622)&lt;&gt;COUNT(B622:E622),"Use preços numéricos",IF(OR(AND(ISNUMBER(B622),B622&lt;=0),AND(ISNUMBER(C622),C622&lt;=0),AND(ISNUMBER(D622),D622&lt;=0),AND(ISNUMBER(E622),E622&lt;=0)),"Use preços positivos","")))))))</f>
        <v/>
      </c>
    </row>
    <row r="623" spans="1:11" ht="22.95" customHeight="1">
      <c r="A623" s="28"/>
      <c r="B623" s="29"/>
      <c r="C623" s="29"/>
      <c r="D623" s="29"/>
      <c r="E623" s="30"/>
      <c r="F623" s="22" t="str">
        <f>IF(OR($A623="",B623="",B623&lt;=0,Séries!Q622=""),"",B623/Séries!Q622-1)</f>
        <v/>
      </c>
      <c r="G623" s="22" t="str">
        <f>IF(OR($A623="",C623="",C623&lt;=0,Séries!R622=""),"",C623/Séries!R622-1)</f>
        <v/>
      </c>
      <c r="H623" s="22" t="str">
        <f>IF(OR($A623="",D623="",D623&lt;=0,Séries!S622=""),"",D623/Séries!S622-1)</f>
        <v/>
      </c>
      <c r="I623" s="22" t="str">
        <f>IF(OR($A623="",E623="",E623&lt;=0,Séries!T622=""),"",E623/Séries!T622-1)</f>
        <v/>
      </c>
      <c r="J623" s="27"/>
      <c r="K623" s="1" t="str">
        <f>IF(COUNTA(A623:E623)=0,"",IF(A623="","Preencha a data",IF(NOT(ISNUMBER(A623)),"Data inválida",IF(OR(A623&lt;36526,A623&gt;73050,A623&lt;&gt;INT(A623)),"Data inválida",IF(A623&lt;=Séries!U622,"Data repetida / fora de ordem",IF(COUNTA(B623:E623)&lt;&gt;COUNT(B623:E623),"Use preços numéricos",IF(OR(AND(ISNUMBER(B623),B623&lt;=0),AND(ISNUMBER(C623),C623&lt;=0),AND(ISNUMBER(D623),D623&lt;=0),AND(ISNUMBER(E623),E623&lt;=0)),"Use preços positivos","")))))))</f>
        <v/>
      </c>
    </row>
    <row r="624" spans="1:11" ht="22.95" customHeight="1">
      <c r="A624" s="28"/>
      <c r="B624" s="29"/>
      <c r="C624" s="29"/>
      <c r="D624" s="29"/>
      <c r="E624" s="30"/>
      <c r="F624" s="22" t="str">
        <f>IF(OR($A624="",B624="",B624&lt;=0,Séries!Q623=""),"",B624/Séries!Q623-1)</f>
        <v/>
      </c>
      <c r="G624" s="22" t="str">
        <f>IF(OR($A624="",C624="",C624&lt;=0,Séries!R623=""),"",C624/Séries!R623-1)</f>
        <v/>
      </c>
      <c r="H624" s="22" t="str">
        <f>IF(OR($A624="",D624="",D624&lt;=0,Séries!S623=""),"",D624/Séries!S623-1)</f>
        <v/>
      </c>
      <c r="I624" s="22" t="str">
        <f>IF(OR($A624="",E624="",E624&lt;=0,Séries!T623=""),"",E624/Séries!T623-1)</f>
        <v/>
      </c>
      <c r="J624" s="27"/>
      <c r="K624" s="1" t="str">
        <f>IF(COUNTA(A624:E624)=0,"",IF(A624="","Preencha a data",IF(NOT(ISNUMBER(A624)),"Data inválida",IF(OR(A624&lt;36526,A624&gt;73050,A624&lt;&gt;INT(A624)),"Data inválida",IF(A624&lt;=Séries!U623,"Data repetida / fora de ordem",IF(COUNTA(B624:E624)&lt;&gt;COUNT(B624:E624),"Use preços numéricos",IF(OR(AND(ISNUMBER(B624),B624&lt;=0),AND(ISNUMBER(C624),C624&lt;=0),AND(ISNUMBER(D624),D624&lt;=0),AND(ISNUMBER(E624),E624&lt;=0)),"Use preços positivos","")))))))</f>
        <v/>
      </c>
    </row>
    <row r="625" spans="1:11" ht="22.95" customHeight="1">
      <c r="A625" s="28"/>
      <c r="B625" s="29"/>
      <c r="C625" s="29"/>
      <c r="D625" s="29"/>
      <c r="E625" s="30"/>
      <c r="F625" s="22" t="str">
        <f>IF(OR($A625="",B625="",B625&lt;=0,Séries!Q624=""),"",B625/Séries!Q624-1)</f>
        <v/>
      </c>
      <c r="G625" s="22" t="str">
        <f>IF(OR($A625="",C625="",C625&lt;=0,Séries!R624=""),"",C625/Séries!R624-1)</f>
        <v/>
      </c>
      <c r="H625" s="22" t="str">
        <f>IF(OR($A625="",D625="",D625&lt;=0,Séries!S624=""),"",D625/Séries!S624-1)</f>
        <v/>
      </c>
      <c r="I625" s="22" t="str">
        <f>IF(OR($A625="",E625="",E625&lt;=0,Séries!T624=""),"",E625/Séries!T624-1)</f>
        <v/>
      </c>
      <c r="J625" s="27"/>
      <c r="K625" s="1" t="str">
        <f>IF(COUNTA(A625:E625)=0,"",IF(A625="","Preencha a data",IF(NOT(ISNUMBER(A625)),"Data inválida",IF(OR(A625&lt;36526,A625&gt;73050,A625&lt;&gt;INT(A625)),"Data inválida",IF(A625&lt;=Séries!U624,"Data repetida / fora de ordem",IF(COUNTA(B625:E625)&lt;&gt;COUNT(B625:E625),"Use preços numéricos",IF(OR(AND(ISNUMBER(B625),B625&lt;=0),AND(ISNUMBER(C625),C625&lt;=0),AND(ISNUMBER(D625),D625&lt;=0),AND(ISNUMBER(E625),E625&lt;=0)),"Use preços positivos","")))))))</f>
        <v/>
      </c>
    </row>
    <row r="626" spans="1:11" ht="22.95" customHeight="1">
      <c r="A626" s="28"/>
      <c r="B626" s="29"/>
      <c r="C626" s="29"/>
      <c r="D626" s="29"/>
      <c r="E626" s="30"/>
      <c r="F626" s="22" t="str">
        <f>IF(OR($A626="",B626="",B626&lt;=0,Séries!Q625=""),"",B626/Séries!Q625-1)</f>
        <v/>
      </c>
      <c r="G626" s="22" t="str">
        <f>IF(OR($A626="",C626="",C626&lt;=0,Séries!R625=""),"",C626/Séries!R625-1)</f>
        <v/>
      </c>
      <c r="H626" s="22" t="str">
        <f>IF(OR($A626="",D626="",D626&lt;=0,Séries!S625=""),"",D626/Séries!S625-1)</f>
        <v/>
      </c>
      <c r="I626" s="22" t="str">
        <f>IF(OR($A626="",E626="",E626&lt;=0,Séries!T625=""),"",E626/Séries!T625-1)</f>
        <v/>
      </c>
      <c r="J626" s="27"/>
      <c r="K626" s="1" t="str">
        <f>IF(COUNTA(A626:E626)=0,"",IF(A626="","Preencha a data",IF(NOT(ISNUMBER(A626)),"Data inválida",IF(OR(A626&lt;36526,A626&gt;73050,A626&lt;&gt;INT(A626)),"Data inválida",IF(A626&lt;=Séries!U625,"Data repetida / fora de ordem",IF(COUNTA(B626:E626)&lt;&gt;COUNT(B626:E626),"Use preços numéricos",IF(OR(AND(ISNUMBER(B626),B626&lt;=0),AND(ISNUMBER(C626),C626&lt;=0),AND(ISNUMBER(D626),D626&lt;=0),AND(ISNUMBER(E626),E626&lt;=0)),"Use preços positivos","")))))))</f>
        <v/>
      </c>
    </row>
    <row r="627" spans="1:11" ht="22.95" customHeight="1">
      <c r="A627" s="28"/>
      <c r="B627" s="29"/>
      <c r="C627" s="29"/>
      <c r="D627" s="29"/>
      <c r="E627" s="30"/>
      <c r="F627" s="22" t="str">
        <f>IF(OR($A627="",B627="",B627&lt;=0,Séries!Q626=""),"",B627/Séries!Q626-1)</f>
        <v/>
      </c>
      <c r="G627" s="22" t="str">
        <f>IF(OR($A627="",C627="",C627&lt;=0,Séries!R626=""),"",C627/Séries!R626-1)</f>
        <v/>
      </c>
      <c r="H627" s="22" t="str">
        <f>IF(OR($A627="",D627="",D627&lt;=0,Séries!S626=""),"",D627/Séries!S626-1)</f>
        <v/>
      </c>
      <c r="I627" s="22" t="str">
        <f>IF(OR($A627="",E627="",E627&lt;=0,Séries!T626=""),"",E627/Séries!T626-1)</f>
        <v/>
      </c>
      <c r="J627" s="27"/>
      <c r="K627" s="1" t="str">
        <f>IF(COUNTA(A627:E627)=0,"",IF(A627="","Preencha a data",IF(NOT(ISNUMBER(A627)),"Data inválida",IF(OR(A627&lt;36526,A627&gt;73050,A627&lt;&gt;INT(A627)),"Data inválida",IF(A627&lt;=Séries!U626,"Data repetida / fora de ordem",IF(COUNTA(B627:E627)&lt;&gt;COUNT(B627:E627),"Use preços numéricos",IF(OR(AND(ISNUMBER(B627),B627&lt;=0),AND(ISNUMBER(C627),C627&lt;=0),AND(ISNUMBER(D627),D627&lt;=0),AND(ISNUMBER(E627),E627&lt;=0)),"Use preços positivos","")))))))</f>
        <v/>
      </c>
    </row>
    <row r="628" spans="1:11" ht="22.95" customHeight="1">
      <c r="A628" s="28"/>
      <c r="B628" s="29"/>
      <c r="C628" s="29"/>
      <c r="D628" s="29"/>
      <c r="E628" s="30"/>
      <c r="F628" s="22" t="str">
        <f>IF(OR($A628="",B628="",B628&lt;=0,Séries!Q627=""),"",B628/Séries!Q627-1)</f>
        <v/>
      </c>
      <c r="G628" s="22" t="str">
        <f>IF(OR($A628="",C628="",C628&lt;=0,Séries!R627=""),"",C628/Séries!R627-1)</f>
        <v/>
      </c>
      <c r="H628" s="22" t="str">
        <f>IF(OR($A628="",D628="",D628&lt;=0,Séries!S627=""),"",D628/Séries!S627-1)</f>
        <v/>
      </c>
      <c r="I628" s="22" t="str">
        <f>IF(OR($A628="",E628="",E628&lt;=0,Séries!T627=""),"",E628/Séries!T627-1)</f>
        <v/>
      </c>
      <c r="J628" s="27"/>
      <c r="K628" s="1" t="str">
        <f>IF(COUNTA(A628:E628)=0,"",IF(A628="","Preencha a data",IF(NOT(ISNUMBER(A628)),"Data inválida",IF(OR(A628&lt;36526,A628&gt;73050,A628&lt;&gt;INT(A628)),"Data inválida",IF(A628&lt;=Séries!U627,"Data repetida / fora de ordem",IF(COUNTA(B628:E628)&lt;&gt;COUNT(B628:E628),"Use preços numéricos",IF(OR(AND(ISNUMBER(B628),B628&lt;=0),AND(ISNUMBER(C628),C628&lt;=0),AND(ISNUMBER(D628),D628&lt;=0),AND(ISNUMBER(E628),E628&lt;=0)),"Use preços positivos","")))))))</f>
        <v/>
      </c>
    </row>
    <row r="629" spans="1:11" ht="22.95" customHeight="1">
      <c r="A629" s="28"/>
      <c r="B629" s="29"/>
      <c r="C629" s="29"/>
      <c r="D629" s="29"/>
      <c r="E629" s="30"/>
      <c r="F629" s="22" t="str">
        <f>IF(OR($A629="",B629="",B629&lt;=0,Séries!Q628=""),"",B629/Séries!Q628-1)</f>
        <v/>
      </c>
      <c r="G629" s="22" t="str">
        <f>IF(OR($A629="",C629="",C629&lt;=0,Séries!R628=""),"",C629/Séries!R628-1)</f>
        <v/>
      </c>
      <c r="H629" s="22" t="str">
        <f>IF(OR($A629="",D629="",D629&lt;=0,Séries!S628=""),"",D629/Séries!S628-1)</f>
        <v/>
      </c>
      <c r="I629" s="22" t="str">
        <f>IF(OR($A629="",E629="",E629&lt;=0,Séries!T628=""),"",E629/Séries!T628-1)</f>
        <v/>
      </c>
      <c r="J629" s="27"/>
      <c r="K629" s="1" t="str">
        <f>IF(COUNTA(A629:E629)=0,"",IF(A629="","Preencha a data",IF(NOT(ISNUMBER(A629)),"Data inválida",IF(OR(A629&lt;36526,A629&gt;73050,A629&lt;&gt;INT(A629)),"Data inválida",IF(A629&lt;=Séries!U628,"Data repetida / fora de ordem",IF(COUNTA(B629:E629)&lt;&gt;COUNT(B629:E629),"Use preços numéricos",IF(OR(AND(ISNUMBER(B629),B629&lt;=0),AND(ISNUMBER(C629),C629&lt;=0),AND(ISNUMBER(D629),D629&lt;=0),AND(ISNUMBER(E629),E629&lt;=0)),"Use preços positivos","")))))))</f>
        <v/>
      </c>
    </row>
    <row r="630" spans="1:11" ht="22.95" customHeight="1">
      <c r="A630" s="28"/>
      <c r="B630" s="29"/>
      <c r="C630" s="29"/>
      <c r="D630" s="29"/>
      <c r="E630" s="30"/>
      <c r="F630" s="22" t="str">
        <f>IF(OR($A630="",B630="",B630&lt;=0,Séries!Q629=""),"",B630/Séries!Q629-1)</f>
        <v/>
      </c>
      <c r="G630" s="22" t="str">
        <f>IF(OR($A630="",C630="",C630&lt;=0,Séries!R629=""),"",C630/Séries!R629-1)</f>
        <v/>
      </c>
      <c r="H630" s="22" t="str">
        <f>IF(OR($A630="",D630="",D630&lt;=0,Séries!S629=""),"",D630/Séries!S629-1)</f>
        <v/>
      </c>
      <c r="I630" s="22" t="str">
        <f>IF(OR($A630="",E630="",E630&lt;=0,Séries!T629=""),"",E630/Séries!T629-1)</f>
        <v/>
      </c>
      <c r="J630" s="27"/>
      <c r="K630" s="1" t="str">
        <f>IF(COUNTA(A630:E630)=0,"",IF(A630="","Preencha a data",IF(NOT(ISNUMBER(A630)),"Data inválida",IF(OR(A630&lt;36526,A630&gt;73050,A630&lt;&gt;INT(A630)),"Data inválida",IF(A630&lt;=Séries!U629,"Data repetida / fora de ordem",IF(COUNTA(B630:E630)&lt;&gt;COUNT(B630:E630),"Use preços numéricos",IF(OR(AND(ISNUMBER(B630),B630&lt;=0),AND(ISNUMBER(C630),C630&lt;=0),AND(ISNUMBER(D630),D630&lt;=0),AND(ISNUMBER(E630),E630&lt;=0)),"Use preços positivos","")))))))</f>
        <v/>
      </c>
    </row>
    <row r="631" spans="1:11" ht="22.95" customHeight="1">
      <c r="A631" s="28"/>
      <c r="B631" s="29"/>
      <c r="C631" s="29"/>
      <c r="D631" s="29"/>
      <c r="E631" s="30"/>
      <c r="F631" s="22" t="str">
        <f>IF(OR($A631="",B631="",B631&lt;=0,Séries!Q630=""),"",B631/Séries!Q630-1)</f>
        <v/>
      </c>
      <c r="G631" s="22" t="str">
        <f>IF(OR($A631="",C631="",C631&lt;=0,Séries!R630=""),"",C631/Séries!R630-1)</f>
        <v/>
      </c>
      <c r="H631" s="22" t="str">
        <f>IF(OR($A631="",D631="",D631&lt;=0,Séries!S630=""),"",D631/Séries!S630-1)</f>
        <v/>
      </c>
      <c r="I631" s="22" t="str">
        <f>IF(OR($A631="",E631="",E631&lt;=0,Séries!T630=""),"",E631/Séries!T630-1)</f>
        <v/>
      </c>
      <c r="J631" s="27"/>
      <c r="K631" s="1" t="str">
        <f>IF(COUNTA(A631:E631)=0,"",IF(A631="","Preencha a data",IF(NOT(ISNUMBER(A631)),"Data inválida",IF(OR(A631&lt;36526,A631&gt;73050,A631&lt;&gt;INT(A631)),"Data inválida",IF(A631&lt;=Séries!U630,"Data repetida / fora de ordem",IF(COUNTA(B631:E631)&lt;&gt;COUNT(B631:E631),"Use preços numéricos",IF(OR(AND(ISNUMBER(B631),B631&lt;=0),AND(ISNUMBER(C631),C631&lt;=0),AND(ISNUMBER(D631),D631&lt;=0),AND(ISNUMBER(E631),E631&lt;=0)),"Use preços positivos","")))))))</f>
        <v/>
      </c>
    </row>
    <row r="632" spans="1:11" ht="22.95" customHeight="1">
      <c r="A632" s="28"/>
      <c r="B632" s="29"/>
      <c r="C632" s="29"/>
      <c r="D632" s="29"/>
      <c r="E632" s="30"/>
      <c r="F632" s="22" t="str">
        <f>IF(OR($A632="",B632="",B632&lt;=0,Séries!Q631=""),"",B632/Séries!Q631-1)</f>
        <v/>
      </c>
      <c r="G632" s="22" t="str">
        <f>IF(OR($A632="",C632="",C632&lt;=0,Séries!R631=""),"",C632/Séries!R631-1)</f>
        <v/>
      </c>
      <c r="H632" s="22" t="str">
        <f>IF(OR($A632="",D632="",D632&lt;=0,Séries!S631=""),"",D632/Séries!S631-1)</f>
        <v/>
      </c>
      <c r="I632" s="22" t="str">
        <f>IF(OR($A632="",E632="",E632&lt;=0,Séries!T631=""),"",E632/Séries!T631-1)</f>
        <v/>
      </c>
      <c r="J632" s="27"/>
      <c r="K632" s="1" t="str">
        <f>IF(COUNTA(A632:E632)=0,"",IF(A632="","Preencha a data",IF(NOT(ISNUMBER(A632)),"Data inválida",IF(OR(A632&lt;36526,A632&gt;73050,A632&lt;&gt;INT(A632)),"Data inválida",IF(A632&lt;=Séries!U631,"Data repetida / fora de ordem",IF(COUNTA(B632:E632)&lt;&gt;COUNT(B632:E632),"Use preços numéricos",IF(OR(AND(ISNUMBER(B632),B632&lt;=0),AND(ISNUMBER(C632),C632&lt;=0),AND(ISNUMBER(D632),D632&lt;=0),AND(ISNUMBER(E632),E632&lt;=0)),"Use preços positivos","")))))))</f>
        <v/>
      </c>
    </row>
    <row r="633" spans="1:11" ht="22.95" customHeight="1">
      <c r="A633" s="28"/>
      <c r="B633" s="29"/>
      <c r="C633" s="29"/>
      <c r="D633" s="29"/>
      <c r="E633" s="30"/>
      <c r="F633" s="22" t="str">
        <f>IF(OR($A633="",B633="",B633&lt;=0,Séries!Q632=""),"",B633/Séries!Q632-1)</f>
        <v/>
      </c>
      <c r="G633" s="22" t="str">
        <f>IF(OR($A633="",C633="",C633&lt;=0,Séries!R632=""),"",C633/Séries!R632-1)</f>
        <v/>
      </c>
      <c r="H633" s="22" t="str">
        <f>IF(OR($A633="",D633="",D633&lt;=0,Séries!S632=""),"",D633/Séries!S632-1)</f>
        <v/>
      </c>
      <c r="I633" s="22" t="str">
        <f>IF(OR($A633="",E633="",E633&lt;=0,Séries!T632=""),"",E633/Séries!T632-1)</f>
        <v/>
      </c>
      <c r="J633" s="27"/>
      <c r="K633" s="1" t="str">
        <f>IF(COUNTA(A633:E633)=0,"",IF(A633="","Preencha a data",IF(NOT(ISNUMBER(A633)),"Data inválida",IF(OR(A633&lt;36526,A633&gt;73050,A633&lt;&gt;INT(A633)),"Data inválida",IF(A633&lt;=Séries!U632,"Data repetida / fora de ordem",IF(COUNTA(B633:E633)&lt;&gt;COUNT(B633:E633),"Use preços numéricos",IF(OR(AND(ISNUMBER(B633),B633&lt;=0),AND(ISNUMBER(C633),C633&lt;=0),AND(ISNUMBER(D633),D633&lt;=0),AND(ISNUMBER(E633),E633&lt;=0)),"Use preços positivos","")))))))</f>
        <v/>
      </c>
    </row>
    <row r="634" spans="1:11" ht="22.95" customHeight="1">
      <c r="A634" s="28"/>
      <c r="B634" s="29"/>
      <c r="C634" s="29"/>
      <c r="D634" s="29"/>
      <c r="E634" s="30"/>
      <c r="F634" s="22" t="str">
        <f>IF(OR($A634="",B634="",B634&lt;=0,Séries!Q633=""),"",B634/Séries!Q633-1)</f>
        <v/>
      </c>
      <c r="G634" s="22" t="str">
        <f>IF(OR($A634="",C634="",C634&lt;=0,Séries!R633=""),"",C634/Séries!R633-1)</f>
        <v/>
      </c>
      <c r="H634" s="22" t="str">
        <f>IF(OR($A634="",D634="",D634&lt;=0,Séries!S633=""),"",D634/Séries!S633-1)</f>
        <v/>
      </c>
      <c r="I634" s="22" t="str">
        <f>IF(OR($A634="",E634="",E634&lt;=0,Séries!T633=""),"",E634/Séries!T633-1)</f>
        <v/>
      </c>
      <c r="J634" s="27"/>
      <c r="K634" s="1" t="str">
        <f>IF(COUNTA(A634:E634)=0,"",IF(A634="","Preencha a data",IF(NOT(ISNUMBER(A634)),"Data inválida",IF(OR(A634&lt;36526,A634&gt;73050,A634&lt;&gt;INT(A634)),"Data inválida",IF(A634&lt;=Séries!U633,"Data repetida / fora de ordem",IF(COUNTA(B634:E634)&lt;&gt;COUNT(B634:E634),"Use preços numéricos",IF(OR(AND(ISNUMBER(B634),B634&lt;=0),AND(ISNUMBER(C634),C634&lt;=0),AND(ISNUMBER(D634),D634&lt;=0),AND(ISNUMBER(E634),E634&lt;=0)),"Use preços positivos","")))))))</f>
        <v/>
      </c>
    </row>
    <row r="635" spans="1:11" ht="22.95" customHeight="1">
      <c r="A635" s="28"/>
      <c r="B635" s="29"/>
      <c r="C635" s="29"/>
      <c r="D635" s="29"/>
      <c r="E635" s="30"/>
      <c r="F635" s="22" t="str">
        <f>IF(OR($A635="",B635="",B635&lt;=0,Séries!Q634=""),"",B635/Séries!Q634-1)</f>
        <v/>
      </c>
      <c r="G635" s="22" t="str">
        <f>IF(OR($A635="",C635="",C635&lt;=0,Séries!R634=""),"",C635/Séries!R634-1)</f>
        <v/>
      </c>
      <c r="H635" s="22" t="str">
        <f>IF(OR($A635="",D635="",D635&lt;=0,Séries!S634=""),"",D635/Séries!S634-1)</f>
        <v/>
      </c>
      <c r="I635" s="22" t="str">
        <f>IF(OR($A635="",E635="",E635&lt;=0,Séries!T634=""),"",E635/Séries!T634-1)</f>
        <v/>
      </c>
      <c r="J635" s="27"/>
      <c r="K635" s="1" t="str">
        <f>IF(COUNTA(A635:E635)=0,"",IF(A635="","Preencha a data",IF(NOT(ISNUMBER(A635)),"Data inválida",IF(OR(A635&lt;36526,A635&gt;73050,A635&lt;&gt;INT(A635)),"Data inválida",IF(A635&lt;=Séries!U634,"Data repetida / fora de ordem",IF(COUNTA(B635:E635)&lt;&gt;COUNT(B635:E635),"Use preços numéricos",IF(OR(AND(ISNUMBER(B635),B635&lt;=0),AND(ISNUMBER(C635),C635&lt;=0),AND(ISNUMBER(D635),D635&lt;=0),AND(ISNUMBER(E635),E635&lt;=0)),"Use preços positivos","")))))))</f>
        <v/>
      </c>
    </row>
    <row r="636" spans="1:11" ht="22.95" customHeight="1">
      <c r="A636" s="28"/>
      <c r="B636" s="29"/>
      <c r="C636" s="29"/>
      <c r="D636" s="29"/>
      <c r="E636" s="30"/>
      <c r="F636" s="22" t="str">
        <f>IF(OR($A636="",B636="",B636&lt;=0,Séries!Q635=""),"",B636/Séries!Q635-1)</f>
        <v/>
      </c>
      <c r="G636" s="22" t="str">
        <f>IF(OR($A636="",C636="",C636&lt;=0,Séries!R635=""),"",C636/Séries!R635-1)</f>
        <v/>
      </c>
      <c r="H636" s="22" t="str">
        <f>IF(OR($A636="",D636="",D636&lt;=0,Séries!S635=""),"",D636/Séries!S635-1)</f>
        <v/>
      </c>
      <c r="I636" s="22" t="str">
        <f>IF(OR($A636="",E636="",E636&lt;=0,Séries!T635=""),"",E636/Séries!T635-1)</f>
        <v/>
      </c>
      <c r="J636" s="27"/>
      <c r="K636" s="1" t="str">
        <f>IF(COUNTA(A636:E636)=0,"",IF(A636="","Preencha a data",IF(NOT(ISNUMBER(A636)),"Data inválida",IF(OR(A636&lt;36526,A636&gt;73050,A636&lt;&gt;INT(A636)),"Data inválida",IF(A636&lt;=Séries!U635,"Data repetida / fora de ordem",IF(COUNTA(B636:E636)&lt;&gt;COUNT(B636:E636),"Use preços numéricos",IF(OR(AND(ISNUMBER(B636),B636&lt;=0),AND(ISNUMBER(C636),C636&lt;=0),AND(ISNUMBER(D636),D636&lt;=0),AND(ISNUMBER(E636),E636&lt;=0)),"Use preços positivos","")))))))</f>
        <v/>
      </c>
    </row>
    <row r="637" spans="1:11" ht="22.95" customHeight="1">
      <c r="A637" s="28"/>
      <c r="B637" s="29"/>
      <c r="C637" s="29"/>
      <c r="D637" s="29"/>
      <c r="E637" s="30"/>
      <c r="F637" s="22" t="str">
        <f>IF(OR($A637="",B637="",B637&lt;=0,Séries!Q636=""),"",B637/Séries!Q636-1)</f>
        <v/>
      </c>
      <c r="G637" s="22" t="str">
        <f>IF(OR($A637="",C637="",C637&lt;=0,Séries!R636=""),"",C637/Séries!R636-1)</f>
        <v/>
      </c>
      <c r="H637" s="22" t="str">
        <f>IF(OR($A637="",D637="",D637&lt;=0,Séries!S636=""),"",D637/Séries!S636-1)</f>
        <v/>
      </c>
      <c r="I637" s="22" t="str">
        <f>IF(OR($A637="",E637="",E637&lt;=0,Séries!T636=""),"",E637/Séries!T636-1)</f>
        <v/>
      </c>
      <c r="J637" s="27"/>
      <c r="K637" s="1" t="str">
        <f>IF(COUNTA(A637:E637)=0,"",IF(A637="","Preencha a data",IF(NOT(ISNUMBER(A637)),"Data inválida",IF(OR(A637&lt;36526,A637&gt;73050,A637&lt;&gt;INT(A637)),"Data inválida",IF(A637&lt;=Séries!U636,"Data repetida / fora de ordem",IF(COUNTA(B637:E637)&lt;&gt;COUNT(B637:E637),"Use preços numéricos",IF(OR(AND(ISNUMBER(B637),B637&lt;=0),AND(ISNUMBER(C637),C637&lt;=0),AND(ISNUMBER(D637),D637&lt;=0),AND(ISNUMBER(E637),E637&lt;=0)),"Use preços positivos","")))))))</f>
        <v/>
      </c>
    </row>
    <row r="638" spans="1:11" ht="22.95" customHeight="1">
      <c r="A638" s="28"/>
      <c r="B638" s="29"/>
      <c r="C638" s="29"/>
      <c r="D638" s="29"/>
      <c r="E638" s="30"/>
      <c r="F638" s="22" t="str">
        <f>IF(OR($A638="",B638="",B638&lt;=0,Séries!Q637=""),"",B638/Séries!Q637-1)</f>
        <v/>
      </c>
      <c r="G638" s="22" t="str">
        <f>IF(OR($A638="",C638="",C638&lt;=0,Séries!R637=""),"",C638/Séries!R637-1)</f>
        <v/>
      </c>
      <c r="H638" s="22" t="str">
        <f>IF(OR($A638="",D638="",D638&lt;=0,Séries!S637=""),"",D638/Séries!S637-1)</f>
        <v/>
      </c>
      <c r="I638" s="22" t="str">
        <f>IF(OR($A638="",E638="",E638&lt;=0,Séries!T637=""),"",E638/Séries!T637-1)</f>
        <v/>
      </c>
      <c r="J638" s="27"/>
      <c r="K638" s="1" t="str">
        <f>IF(COUNTA(A638:E638)=0,"",IF(A638="","Preencha a data",IF(NOT(ISNUMBER(A638)),"Data inválida",IF(OR(A638&lt;36526,A638&gt;73050,A638&lt;&gt;INT(A638)),"Data inválida",IF(A638&lt;=Séries!U637,"Data repetida / fora de ordem",IF(COUNTA(B638:E638)&lt;&gt;COUNT(B638:E638),"Use preços numéricos",IF(OR(AND(ISNUMBER(B638),B638&lt;=0),AND(ISNUMBER(C638),C638&lt;=0),AND(ISNUMBER(D638),D638&lt;=0),AND(ISNUMBER(E638),E638&lt;=0)),"Use preços positivos","")))))))</f>
        <v/>
      </c>
    </row>
    <row r="639" spans="1:11" ht="22.95" customHeight="1">
      <c r="A639" s="28"/>
      <c r="B639" s="29"/>
      <c r="C639" s="29"/>
      <c r="D639" s="29"/>
      <c r="E639" s="30"/>
      <c r="F639" s="22" t="str">
        <f>IF(OR($A639="",B639="",B639&lt;=0,Séries!Q638=""),"",B639/Séries!Q638-1)</f>
        <v/>
      </c>
      <c r="G639" s="22" t="str">
        <f>IF(OR($A639="",C639="",C639&lt;=0,Séries!R638=""),"",C639/Séries!R638-1)</f>
        <v/>
      </c>
      <c r="H639" s="22" t="str">
        <f>IF(OR($A639="",D639="",D639&lt;=0,Séries!S638=""),"",D639/Séries!S638-1)</f>
        <v/>
      </c>
      <c r="I639" s="22" t="str">
        <f>IF(OR($A639="",E639="",E639&lt;=0,Séries!T638=""),"",E639/Séries!T638-1)</f>
        <v/>
      </c>
      <c r="J639" s="27"/>
      <c r="K639" s="1" t="str">
        <f>IF(COUNTA(A639:E639)=0,"",IF(A639="","Preencha a data",IF(NOT(ISNUMBER(A639)),"Data inválida",IF(OR(A639&lt;36526,A639&gt;73050,A639&lt;&gt;INT(A639)),"Data inválida",IF(A639&lt;=Séries!U638,"Data repetida / fora de ordem",IF(COUNTA(B639:E639)&lt;&gt;COUNT(B639:E639),"Use preços numéricos",IF(OR(AND(ISNUMBER(B639),B639&lt;=0),AND(ISNUMBER(C639),C639&lt;=0),AND(ISNUMBER(D639),D639&lt;=0),AND(ISNUMBER(E639),E639&lt;=0)),"Use preços positivos","")))))))</f>
        <v/>
      </c>
    </row>
    <row r="640" spans="1:11" ht="22.95" customHeight="1">
      <c r="A640" s="28"/>
      <c r="B640" s="29"/>
      <c r="C640" s="29"/>
      <c r="D640" s="29"/>
      <c r="E640" s="30"/>
      <c r="F640" s="22" t="str">
        <f>IF(OR($A640="",B640="",B640&lt;=0,Séries!Q639=""),"",B640/Séries!Q639-1)</f>
        <v/>
      </c>
      <c r="G640" s="22" t="str">
        <f>IF(OR($A640="",C640="",C640&lt;=0,Séries!R639=""),"",C640/Séries!R639-1)</f>
        <v/>
      </c>
      <c r="H640" s="22" t="str">
        <f>IF(OR($A640="",D640="",D640&lt;=0,Séries!S639=""),"",D640/Séries!S639-1)</f>
        <v/>
      </c>
      <c r="I640" s="22" t="str">
        <f>IF(OR($A640="",E640="",E640&lt;=0,Séries!T639=""),"",E640/Séries!T639-1)</f>
        <v/>
      </c>
      <c r="J640" s="27"/>
      <c r="K640" s="1" t="str">
        <f>IF(COUNTA(A640:E640)=0,"",IF(A640="","Preencha a data",IF(NOT(ISNUMBER(A640)),"Data inválida",IF(OR(A640&lt;36526,A640&gt;73050,A640&lt;&gt;INT(A640)),"Data inválida",IF(A640&lt;=Séries!U639,"Data repetida / fora de ordem",IF(COUNTA(B640:E640)&lt;&gt;COUNT(B640:E640),"Use preços numéricos",IF(OR(AND(ISNUMBER(B640),B640&lt;=0),AND(ISNUMBER(C640),C640&lt;=0),AND(ISNUMBER(D640),D640&lt;=0),AND(ISNUMBER(E640),E640&lt;=0)),"Use preços positivos","")))))))</f>
        <v/>
      </c>
    </row>
    <row r="641" spans="1:11" ht="22.95" customHeight="1">
      <c r="A641" s="28"/>
      <c r="B641" s="29"/>
      <c r="C641" s="29"/>
      <c r="D641" s="29"/>
      <c r="E641" s="30"/>
      <c r="F641" s="22" t="str">
        <f>IF(OR($A641="",B641="",B641&lt;=0,Séries!Q640=""),"",B641/Séries!Q640-1)</f>
        <v/>
      </c>
      <c r="G641" s="22" t="str">
        <f>IF(OR($A641="",C641="",C641&lt;=0,Séries!R640=""),"",C641/Séries!R640-1)</f>
        <v/>
      </c>
      <c r="H641" s="22" t="str">
        <f>IF(OR($A641="",D641="",D641&lt;=0,Séries!S640=""),"",D641/Séries!S640-1)</f>
        <v/>
      </c>
      <c r="I641" s="22" t="str">
        <f>IF(OR($A641="",E641="",E641&lt;=0,Séries!T640=""),"",E641/Séries!T640-1)</f>
        <v/>
      </c>
      <c r="J641" s="27"/>
      <c r="K641" s="1" t="str">
        <f>IF(COUNTA(A641:E641)=0,"",IF(A641="","Preencha a data",IF(NOT(ISNUMBER(A641)),"Data inválida",IF(OR(A641&lt;36526,A641&gt;73050,A641&lt;&gt;INT(A641)),"Data inválida",IF(A641&lt;=Séries!U640,"Data repetida / fora de ordem",IF(COUNTA(B641:E641)&lt;&gt;COUNT(B641:E641),"Use preços numéricos",IF(OR(AND(ISNUMBER(B641),B641&lt;=0),AND(ISNUMBER(C641),C641&lt;=0),AND(ISNUMBER(D641),D641&lt;=0),AND(ISNUMBER(E641),E641&lt;=0)),"Use preços positivos","")))))))</f>
        <v/>
      </c>
    </row>
    <row r="642" spans="1:11" ht="22.95" customHeight="1">
      <c r="A642" s="28"/>
      <c r="B642" s="29"/>
      <c r="C642" s="29"/>
      <c r="D642" s="29"/>
      <c r="E642" s="30"/>
      <c r="F642" s="22" t="str">
        <f>IF(OR($A642="",B642="",B642&lt;=0,Séries!Q641=""),"",B642/Séries!Q641-1)</f>
        <v/>
      </c>
      <c r="G642" s="22" t="str">
        <f>IF(OR($A642="",C642="",C642&lt;=0,Séries!R641=""),"",C642/Séries!R641-1)</f>
        <v/>
      </c>
      <c r="H642" s="22" t="str">
        <f>IF(OR($A642="",D642="",D642&lt;=0,Séries!S641=""),"",D642/Séries!S641-1)</f>
        <v/>
      </c>
      <c r="I642" s="22" t="str">
        <f>IF(OR($A642="",E642="",E642&lt;=0,Séries!T641=""),"",E642/Séries!T641-1)</f>
        <v/>
      </c>
      <c r="J642" s="27"/>
      <c r="K642" s="1" t="str">
        <f>IF(COUNTA(A642:E642)=0,"",IF(A642="","Preencha a data",IF(NOT(ISNUMBER(A642)),"Data inválida",IF(OR(A642&lt;36526,A642&gt;73050,A642&lt;&gt;INT(A642)),"Data inválida",IF(A642&lt;=Séries!U641,"Data repetida / fora de ordem",IF(COUNTA(B642:E642)&lt;&gt;COUNT(B642:E642),"Use preços numéricos",IF(OR(AND(ISNUMBER(B642),B642&lt;=0),AND(ISNUMBER(C642),C642&lt;=0),AND(ISNUMBER(D642),D642&lt;=0),AND(ISNUMBER(E642),E642&lt;=0)),"Use preços positivos","")))))))</f>
        <v/>
      </c>
    </row>
    <row r="643" spans="1:11" ht="22.95" customHeight="1">
      <c r="A643" s="28"/>
      <c r="B643" s="29"/>
      <c r="C643" s="29"/>
      <c r="D643" s="29"/>
      <c r="E643" s="30"/>
      <c r="F643" s="22" t="str">
        <f>IF(OR($A643="",B643="",B643&lt;=0,Séries!Q642=""),"",B643/Séries!Q642-1)</f>
        <v/>
      </c>
      <c r="G643" s="22" t="str">
        <f>IF(OR($A643="",C643="",C643&lt;=0,Séries!R642=""),"",C643/Séries!R642-1)</f>
        <v/>
      </c>
      <c r="H643" s="22" t="str">
        <f>IF(OR($A643="",D643="",D643&lt;=0,Séries!S642=""),"",D643/Séries!S642-1)</f>
        <v/>
      </c>
      <c r="I643" s="22" t="str">
        <f>IF(OR($A643="",E643="",E643&lt;=0,Séries!T642=""),"",E643/Séries!T642-1)</f>
        <v/>
      </c>
      <c r="J643" s="27"/>
      <c r="K643" s="1" t="str">
        <f>IF(COUNTA(A643:E643)=0,"",IF(A643="","Preencha a data",IF(NOT(ISNUMBER(A643)),"Data inválida",IF(OR(A643&lt;36526,A643&gt;73050,A643&lt;&gt;INT(A643)),"Data inválida",IF(A643&lt;=Séries!U642,"Data repetida / fora de ordem",IF(COUNTA(B643:E643)&lt;&gt;COUNT(B643:E643),"Use preços numéricos",IF(OR(AND(ISNUMBER(B643),B643&lt;=0),AND(ISNUMBER(C643),C643&lt;=0),AND(ISNUMBER(D643),D643&lt;=0),AND(ISNUMBER(E643),E643&lt;=0)),"Use preços positivos","")))))))</f>
        <v/>
      </c>
    </row>
    <row r="644" spans="1:11" ht="22.95" customHeight="1">
      <c r="A644" s="28"/>
      <c r="B644" s="29"/>
      <c r="C644" s="29"/>
      <c r="D644" s="29"/>
      <c r="E644" s="30"/>
      <c r="F644" s="22" t="str">
        <f>IF(OR($A644="",B644="",B644&lt;=0,Séries!Q643=""),"",B644/Séries!Q643-1)</f>
        <v/>
      </c>
      <c r="G644" s="22" t="str">
        <f>IF(OR($A644="",C644="",C644&lt;=0,Séries!R643=""),"",C644/Séries!R643-1)</f>
        <v/>
      </c>
      <c r="H644" s="22" t="str">
        <f>IF(OR($A644="",D644="",D644&lt;=0,Séries!S643=""),"",D644/Séries!S643-1)</f>
        <v/>
      </c>
      <c r="I644" s="22" t="str">
        <f>IF(OR($A644="",E644="",E644&lt;=0,Séries!T643=""),"",E644/Séries!T643-1)</f>
        <v/>
      </c>
      <c r="J644" s="27"/>
      <c r="K644" s="1" t="str">
        <f>IF(COUNTA(A644:E644)=0,"",IF(A644="","Preencha a data",IF(NOT(ISNUMBER(A644)),"Data inválida",IF(OR(A644&lt;36526,A644&gt;73050,A644&lt;&gt;INT(A644)),"Data inválida",IF(A644&lt;=Séries!U643,"Data repetida / fora de ordem",IF(COUNTA(B644:E644)&lt;&gt;COUNT(B644:E644),"Use preços numéricos",IF(OR(AND(ISNUMBER(B644),B644&lt;=0),AND(ISNUMBER(C644),C644&lt;=0),AND(ISNUMBER(D644),D644&lt;=0),AND(ISNUMBER(E644),E644&lt;=0)),"Use preços positivos","")))))))</f>
        <v/>
      </c>
    </row>
    <row r="645" spans="1:11" ht="22.95" customHeight="1">
      <c r="A645" s="28"/>
      <c r="B645" s="29"/>
      <c r="C645" s="29"/>
      <c r="D645" s="29"/>
      <c r="E645" s="30"/>
      <c r="F645" s="22" t="str">
        <f>IF(OR($A645="",B645="",B645&lt;=0,Séries!Q644=""),"",B645/Séries!Q644-1)</f>
        <v/>
      </c>
      <c r="G645" s="22" t="str">
        <f>IF(OR($A645="",C645="",C645&lt;=0,Séries!R644=""),"",C645/Séries!R644-1)</f>
        <v/>
      </c>
      <c r="H645" s="22" t="str">
        <f>IF(OR($A645="",D645="",D645&lt;=0,Séries!S644=""),"",D645/Séries!S644-1)</f>
        <v/>
      </c>
      <c r="I645" s="22" t="str">
        <f>IF(OR($A645="",E645="",E645&lt;=0,Séries!T644=""),"",E645/Séries!T644-1)</f>
        <v/>
      </c>
      <c r="J645" s="27"/>
      <c r="K645" s="1" t="str">
        <f>IF(COUNTA(A645:E645)=0,"",IF(A645="","Preencha a data",IF(NOT(ISNUMBER(A645)),"Data inválida",IF(OR(A645&lt;36526,A645&gt;73050,A645&lt;&gt;INT(A645)),"Data inválida",IF(A645&lt;=Séries!U644,"Data repetida / fora de ordem",IF(COUNTA(B645:E645)&lt;&gt;COUNT(B645:E645),"Use preços numéricos",IF(OR(AND(ISNUMBER(B645),B645&lt;=0),AND(ISNUMBER(C645),C645&lt;=0),AND(ISNUMBER(D645),D645&lt;=0),AND(ISNUMBER(E645),E645&lt;=0)),"Use preços positivos","")))))))</f>
        <v/>
      </c>
    </row>
    <row r="646" spans="1:11" ht="22.95" customHeight="1">
      <c r="A646" s="28"/>
      <c r="B646" s="29"/>
      <c r="C646" s="29"/>
      <c r="D646" s="29"/>
      <c r="E646" s="30"/>
      <c r="F646" s="22" t="str">
        <f>IF(OR($A646="",B646="",B646&lt;=0,Séries!Q645=""),"",B646/Séries!Q645-1)</f>
        <v/>
      </c>
      <c r="G646" s="22" t="str">
        <f>IF(OR($A646="",C646="",C646&lt;=0,Séries!R645=""),"",C646/Séries!R645-1)</f>
        <v/>
      </c>
      <c r="H646" s="22" t="str">
        <f>IF(OR($A646="",D646="",D646&lt;=0,Séries!S645=""),"",D646/Séries!S645-1)</f>
        <v/>
      </c>
      <c r="I646" s="22" t="str">
        <f>IF(OR($A646="",E646="",E646&lt;=0,Séries!T645=""),"",E646/Séries!T645-1)</f>
        <v/>
      </c>
      <c r="J646" s="27"/>
      <c r="K646" s="1" t="str">
        <f>IF(COUNTA(A646:E646)=0,"",IF(A646="","Preencha a data",IF(NOT(ISNUMBER(A646)),"Data inválida",IF(OR(A646&lt;36526,A646&gt;73050,A646&lt;&gt;INT(A646)),"Data inválida",IF(A646&lt;=Séries!U645,"Data repetida / fora de ordem",IF(COUNTA(B646:E646)&lt;&gt;COUNT(B646:E646),"Use preços numéricos",IF(OR(AND(ISNUMBER(B646),B646&lt;=0),AND(ISNUMBER(C646),C646&lt;=0),AND(ISNUMBER(D646),D646&lt;=0),AND(ISNUMBER(E646),E646&lt;=0)),"Use preços positivos","")))))))</f>
        <v/>
      </c>
    </row>
    <row r="647" spans="1:11" ht="22.95" customHeight="1">
      <c r="A647" s="28"/>
      <c r="B647" s="29"/>
      <c r="C647" s="29"/>
      <c r="D647" s="29"/>
      <c r="E647" s="30"/>
      <c r="F647" s="22" t="str">
        <f>IF(OR($A647="",B647="",B647&lt;=0,Séries!Q646=""),"",B647/Séries!Q646-1)</f>
        <v/>
      </c>
      <c r="G647" s="22" t="str">
        <f>IF(OR($A647="",C647="",C647&lt;=0,Séries!R646=""),"",C647/Séries!R646-1)</f>
        <v/>
      </c>
      <c r="H647" s="22" t="str">
        <f>IF(OR($A647="",D647="",D647&lt;=0,Séries!S646=""),"",D647/Séries!S646-1)</f>
        <v/>
      </c>
      <c r="I647" s="22" t="str">
        <f>IF(OR($A647="",E647="",E647&lt;=0,Séries!T646=""),"",E647/Séries!T646-1)</f>
        <v/>
      </c>
      <c r="J647" s="27"/>
      <c r="K647" s="1" t="str">
        <f>IF(COUNTA(A647:E647)=0,"",IF(A647="","Preencha a data",IF(NOT(ISNUMBER(A647)),"Data inválida",IF(OR(A647&lt;36526,A647&gt;73050,A647&lt;&gt;INT(A647)),"Data inválida",IF(A647&lt;=Séries!U646,"Data repetida / fora de ordem",IF(COUNTA(B647:E647)&lt;&gt;COUNT(B647:E647),"Use preços numéricos",IF(OR(AND(ISNUMBER(B647),B647&lt;=0),AND(ISNUMBER(C647),C647&lt;=0),AND(ISNUMBER(D647),D647&lt;=0),AND(ISNUMBER(E647),E647&lt;=0)),"Use preços positivos","")))))))</f>
        <v/>
      </c>
    </row>
    <row r="648" spans="1:11" ht="22.95" customHeight="1">
      <c r="A648" s="28"/>
      <c r="B648" s="29"/>
      <c r="C648" s="29"/>
      <c r="D648" s="29"/>
      <c r="E648" s="30"/>
      <c r="F648" s="22" t="str">
        <f>IF(OR($A648="",B648="",B648&lt;=0,Séries!Q647=""),"",B648/Séries!Q647-1)</f>
        <v/>
      </c>
      <c r="G648" s="22" t="str">
        <f>IF(OR($A648="",C648="",C648&lt;=0,Séries!R647=""),"",C648/Séries!R647-1)</f>
        <v/>
      </c>
      <c r="H648" s="22" t="str">
        <f>IF(OR($A648="",D648="",D648&lt;=0,Séries!S647=""),"",D648/Séries!S647-1)</f>
        <v/>
      </c>
      <c r="I648" s="22" t="str">
        <f>IF(OR($A648="",E648="",E648&lt;=0,Séries!T647=""),"",E648/Séries!T647-1)</f>
        <v/>
      </c>
      <c r="J648" s="27"/>
      <c r="K648" s="1" t="str">
        <f>IF(COUNTA(A648:E648)=0,"",IF(A648="","Preencha a data",IF(NOT(ISNUMBER(A648)),"Data inválida",IF(OR(A648&lt;36526,A648&gt;73050,A648&lt;&gt;INT(A648)),"Data inválida",IF(A648&lt;=Séries!U647,"Data repetida / fora de ordem",IF(COUNTA(B648:E648)&lt;&gt;COUNT(B648:E648),"Use preços numéricos",IF(OR(AND(ISNUMBER(B648),B648&lt;=0),AND(ISNUMBER(C648),C648&lt;=0),AND(ISNUMBER(D648),D648&lt;=0),AND(ISNUMBER(E648),E648&lt;=0)),"Use preços positivos","")))))))</f>
        <v/>
      </c>
    </row>
    <row r="649" spans="1:11" ht="22.95" customHeight="1">
      <c r="A649" s="28"/>
      <c r="B649" s="29"/>
      <c r="C649" s="29"/>
      <c r="D649" s="29"/>
      <c r="E649" s="30"/>
      <c r="F649" s="22" t="str">
        <f>IF(OR($A649="",B649="",B649&lt;=0,Séries!Q648=""),"",B649/Séries!Q648-1)</f>
        <v/>
      </c>
      <c r="G649" s="22" t="str">
        <f>IF(OR($A649="",C649="",C649&lt;=0,Séries!R648=""),"",C649/Séries!R648-1)</f>
        <v/>
      </c>
      <c r="H649" s="22" t="str">
        <f>IF(OR($A649="",D649="",D649&lt;=0,Séries!S648=""),"",D649/Séries!S648-1)</f>
        <v/>
      </c>
      <c r="I649" s="22" t="str">
        <f>IF(OR($A649="",E649="",E649&lt;=0,Séries!T648=""),"",E649/Séries!T648-1)</f>
        <v/>
      </c>
      <c r="J649" s="27"/>
      <c r="K649" s="1" t="str">
        <f>IF(COUNTA(A649:E649)=0,"",IF(A649="","Preencha a data",IF(NOT(ISNUMBER(A649)),"Data inválida",IF(OR(A649&lt;36526,A649&gt;73050,A649&lt;&gt;INT(A649)),"Data inválida",IF(A649&lt;=Séries!U648,"Data repetida / fora de ordem",IF(COUNTA(B649:E649)&lt;&gt;COUNT(B649:E649),"Use preços numéricos",IF(OR(AND(ISNUMBER(B649),B649&lt;=0),AND(ISNUMBER(C649),C649&lt;=0),AND(ISNUMBER(D649),D649&lt;=0),AND(ISNUMBER(E649),E649&lt;=0)),"Use preços positivos","")))))))</f>
        <v/>
      </c>
    </row>
    <row r="650" spans="1:11" ht="22.95" customHeight="1">
      <c r="A650" s="28"/>
      <c r="B650" s="29"/>
      <c r="C650" s="29"/>
      <c r="D650" s="29"/>
      <c r="E650" s="30"/>
      <c r="F650" s="22" t="str">
        <f>IF(OR($A650="",B650="",B650&lt;=0,Séries!Q649=""),"",B650/Séries!Q649-1)</f>
        <v/>
      </c>
      <c r="G650" s="22" t="str">
        <f>IF(OR($A650="",C650="",C650&lt;=0,Séries!R649=""),"",C650/Séries!R649-1)</f>
        <v/>
      </c>
      <c r="H650" s="22" t="str">
        <f>IF(OR($A650="",D650="",D650&lt;=0,Séries!S649=""),"",D650/Séries!S649-1)</f>
        <v/>
      </c>
      <c r="I650" s="22" t="str">
        <f>IF(OR($A650="",E650="",E650&lt;=0,Séries!T649=""),"",E650/Séries!T649-1)</f>
        <v/>
      </c>
      <c r="J650" s="27"/>
      <c r="K650" s="1" t="str">
        <f>IF(COUNTA(A650:E650)=0,"",IF(A650="","Preencha a data",IF(NOT(ISNUMBER(A650)),"Data inválida",IF(OR(A650&lt;36526,A650&gt;73050,A650&lt;&gt;INT(A650)),"Data inválida",IF(A650&lt;=Séries!U649,"Data repetida / fora de ordem",IF(COUNTA(B650:E650)&lt;&gt;COUNT(B650:E650),"Use preços numéricos",IF(OR(AND(ISNUMBER(B650),B650&lt;=0),AND(ISNUMBER(C650),C650&lt;=0),AND(ISNUMBER(D650),D650&lt;=0),AND(ISNUMBER(E650),E650&lt;=0)),"Use preços positivos","")))))))</f>
        <v/>
      </c>
    </row>
    <row r="651" spans="1:11" ht="22.95" customHeight="1">
      <c r="A651" s="28"/>
      <c r="B651" s="29"/>
      <c r="C651" s="29"/>
      <c r="D651" s="29"/>
      <c r="E651" s="30"/>
      <c r="F651" s="22" t="str">
        <f>IF(OR($A651="",B651="",B651&lt;=0,Séries!Q650=""),"",B651/Séries!Q650-1)</f>
        <v/>
      </c>
      <c r="G651" s="22" t="str">
        <f>IF(OR($A651="",C651="",C651&lt;=0,Séries!R650=""),"",C651/Séries!R650-1)</f>
        <v/>
      </c>
      <c r="H651" s="22" t="str">
        <f>IF(OR($A651="",D651="",D651&lt;=0,Séries!S650=""),"",D651/Séries!S650-1)</f>
        <v/>
      </c>
      <c r="I651" s="22" t="str">
        <f>IF(OR($A651="",E651="",E651&lt;=0,Séries!T650=""),"",E651/Séries!T650-1)</f>
        <v/>
      </c>
      <c r="J651" s="27"/>
      <c r="K651" s="1" t="str">
        <f>IF(COUNTA(A651:E651)=0,"",IF(A651="","Preencha a data",IF(NOT(ISNUMBER(A651)),"Data inválida",IF(OR(A651&lt;36526,A651&gt;73050,A651&lt;&gt;INT(A651)),"Data inválida",IF(A651&lt;=Séries!U650,"Data repetida / fora de ordem",IF(COUNTA(B651:E651)&lt;&gt;COUNT(B651:E651),"Use preços numéricos",IF(OR(AND(ISNUMBER(B651),B651&lt;=0),AND(ISNUMBER(C651),C651&lt;=0),AND(ISNUMBER(D651),D651&lt;=0),AND(ISNUMBER(E651),E651&lt;=0)),"Use preços positivos","")))))))</f>
        <v/>
      </c>
    </row>
    <row r="652" spans="1:11" ht="22.95" customHeight="1">
      <c r="A652" s="28"/>
      <c r="B652" s="29"/>
      <c r="C652" s="29"/>
      <c r="D652" s="29"/>
      <c r="E652" s="30"/>
      <c r="F652" s="22" t="str">
        <f>IF(OR($A652="",B652="",B652&lt;=0,Séries!Q651=""),"",B652/Séries!Q651-1)</f>
        <v/>
      </c>
      <c r="G652" s="22" t="str">
        <f>IF(OR($A652="",C652="",C652&lt;=0,Séries!R651=""),"",C652/Séries!R651-1)</f>
        <v/>
      </c>
      <c r="H652" s="22" t="str">
        <f>IF(OR($A652="",D652="",D652&lt;=0,Séries!S651=""),"",D652/Séries!S651-1)</f>
        <v/>
      </c>
      <c r="I652" s="22" t="str">
        <f>IF(OR($A652="",E652="",E652&lt;=0,Séries!T651=""),"",E652/Séries!T651-1)</f>
        <v/>
      </c>
      <c r="J652" s="27"/>
      <c r="K652" s="1" t="str">
        <f>IF(COUNTA(A652:E652)=0,"",IF(A652="","Preencha a data",IF(NOT(ISNUMBER(A652)),"Data inválida",IF(OR(A652&lt;36526,A652&gt;73050,A652&lt;&gt;INT(A652)),"Data inválida",IF(A652&lt;=Séries!U651,"Data repetida / fora de ordem",IF(COUNTA(B652:E652)&lt;&gt;COUNT(B652:E652),"Use preços numéricos",IF(OR(AND(ISNUMBER(B652),B652&lt;=0),AND(ISNUMBER(C652),C652&lt;=0),AND(ISNUMBER(D652),D652&lt;=0),AND(ISNUMBER(E652),E652&lt;=0)),"Use preços positivos","")))))))</f>
        <v/>
      </c>
    </row>
    <row r="653" spans="1:11" ht="22.95" customHeight="1">
      <c r="A653" s="28"/>
      <c r="B653" s="29"/>
      <c r="C653" s="29"/>
      <c r="D653" s="29"/>
      <c r="E653" s="30"/>
      <c r="F653" s="22" t="str">
        <f>IF(OR($A653="",B653="",B653&lt;=0,Séries!Q652=""),"",B653/Séries!Q652-1)</f>
        <v/>
      </c>
      <c r="G653" s="22" t="str">
        <f>IF(OR($A653="",C653="",C653&lt;=0,Séries!R652=""),"",C653/Séries!R652-1)</f>
        <v/>
      </c>
      <c r="H653" s="22" t="str">
        <f>IF(OR($A653="",D653="",D653&lt;=0,Séries!S652=""),"",D653/Séries!S652-1)</f>
        <v/>
      </c>
      <c r="I653" s="22" t="str">
        <f>IF(OR($A653="",E653="",E653&lt;=0,Séries!T652=""),"",E653/Séries!T652-1)</f>
        <v/>
      </c>
      <c r="J653" s="27"/>
      <c r="K653" s="1" t="str">
        <f>IF(COUNTA(A653:E653)=0,"",IF(A653="","Preencha a data",IF(NOT(ISNUMBER(A653)),"Data inválida",IF(OR(A653&lt;36526,A653&gt;73050,A653&lt;&gt;INT(A653)),"Data inválida",IF(A653&lt;=Séries!U652,"Data repetida / fora de ordem",IF(COUNTA(B653:E653)&lt;&gt;COUNT(B653:E653),"Use preços numéricos",IF(OR(AND(ISNUMBER(B653),B653&lt;=0),AND(ISNUMBER(C653),C653&lt;=0),AND(ISNUMBER(D653),D653&lt;=0),AND(ISNUMBER(E653),E653&lt;=0)),"Use preços positivos","")))))))</f>
        <v/>
      </c>
    </row>
    <row r="654" spans="1:11" ht="22.95" customHeight="1">
      <c r="A654" s="28"/>
      <c r="B654" s="29"/>
      <c r="C654" s="29"/>
      <c r="D654" s="29"/>
      <c r="E654" s="30"/>
      <c r="F654" s="22" t="str">
        <f>IF(OR($A654="",B654="",B654&lt;=0,Séries!Q653=""),"",B654/Séries!Q653-1)</f>
        <v/>
      </c>
      <c r="G654" s="22" t="str">
        <f>IF(OR($A654="",C654="",C654&lt;=0,Séries!R653=""),"",C654/Séries!R653-1)</f>
        <v/>
      </c>
      <c r="H654" s="22" t="str">
        <f>IF(OR($A654="",D654="",D654&lt;=0,Séries!S653=""),"",D654/Séries!S653-1)</f>
        <v/>
      </c>
      <c r="I654" s="22" t="str">
        <f>IF(OR($A654="",E654="",E654&lt;=0,Séries!T653=""),"",E654/Séries!T653-1)</f>
        <v/>
      </c>
      <c r="J654" s="27"/>
      <c r="K654" s="1" t="str">
        <f>IF(COUNTA(A654:E654)=0,"",IF(A654="","Preencha a data",IF(NOT(ISNUMBER(A654)),"Data inválida",IF(OR(A654&lt;36526,A654&gt;73050,A654&lt;&gt;INT(A654)),"Data inválida",IF(A654&lt;=Séries!U653,"Data repetida / fora de ordem",IF(COUNTA(B654:E654)&lt;&gt;COUNT(B654:E654),"Use preços numéricos",IF(OR(AND(ISNUMBER(B654),B654&lt;=0),AND(ISNUMBER(C654),C654&lt;=0),AND(ISNUMBER(D654),D654&lt;=0),AND(ISNUMBER(E654),E654&lt;=0)),"Use preços positivos","")))))))</f>
        <v/>
      </c>
    </row>
    <row r="655" spans="1:11" ht="22.95" customHeight="1">
      <c r="A655" s="28"/>
      <c r="B655" s="29"/>
      <c r="C655" s="29"/>
      <c r="D655" s="29"/>
      <c r="E655" s="30"/>
      <c r="F655" s="22" t="str">
        <f>IF(OR($A655="",B655="",B655&lt;=0,Séries!Q654=""),"",B655/Séries!Q654-1)</f>
        <v/>
      </c>
      <c r="G655" s="22" t="str">
        <f>IF(OR($A655="",C655="",C655&lt;=0,Séries!R654=""),"",C655/Séries!R654-1)</f>
        <v/>
      </c>
      <c r="H655" s="22" t="str">
        <f>IF(OR($A655="",D655="",D655&lt;=0,Séries!S654=""),"",D655/Séries!S654-1)</f>
        <v/>
      </c>
      <c r="I655" s="22" t="str">
        <f>IF(OR($A655="",E655="",E655&lt;=0,Séries!T654=""),"",E655/Séries!T654-1)</f>
        <v/>
      </c>
      <c r="J655" s="27"/>
      <c r="K655" s="1" t="str">
        <f>IF(COUNTA(A655:E655)=0,"",IF(A655="","Preencha a data",IF(NOT(ISNUMBER(A655)),"Data inválida",IF(OR(A655&lt;36526,A655&gt;73050,A655&lt;&gt;INT(A655)),"Data inválida",IF(A655&lt;=Séries!U654,"Data repetida / fora de ordem",IF(COUNTA(B655:E655)&lt;&gt;COUNT(B655:E655),"Use preços numéricos",IF(OR(AND(ISNUMBER(B655),B655&lt;=0),AND(ISNUMBER(C655),C655&lt;=0),AND(ISNUMBER(D655),D655&lt;=0),AND(ISNUMBER(E655),E655&lt;=0)),"Use preços positivos","")))))))</f>
        <v/>
      </c>
    </row>
    <row r="656" spans="1:11" ht="22.95" customHeight="1">
      <c r="A656" s="28"/>
      <c r="B656" s="29"/>
      <c r="C656" s="29"/>
      <c r="D656" s="29"/>
      <c r="E656" s="30"/>
      <c r="F656" s="22" t="str">
        <f>IF(OR($A656="",B656="",B656&lt;=0,Séries!Q655=""),"",B656/Séries!Q655-1)</f>
        <v/>
      </c>
      <c r="G656" s="22" t="str">
        <f>IF(OR($A656="",C656="",C656&lt;=0,Séries!R655=""),"",C656/Séries!R655-1)</f>
        <v/>
      </c>
      <c r="H656" s="22" t="str">
        <f>IF(OR($A656="",D656="",D656&lt;=0,Séries!S655=""),"",D656/Séries!S655-1)</f>
        <v/>
      </c>
      <c r="I656" s="22" t="str">
        <f>IF(OR($A656="",E656="",E656&lt;=0,Séries!T655=""),"",E656/Séries!T655-1)</f>
        <v/>
      </c>
      <c r="J656" s="27"/>
      <c r="K656" s="1" t="str">
        <f>IF(COUNTA(A656:E656)=0,"",IF(A656="","Preencha a data",IF(NOT(ISNUMBER(A656)),"Data inválida",IF(OR(A656&lt;36526,A656&gt;73050,A656&lt;&gt;INT(A656)),"Data inválida",IF(A656&lt;=Séries!U655,"Data repetida / fora de ordem",IF(COUNTA(B656:E656)&lt;&gt;COUNT(B656:E656),"Use preços numéricos",IF(OR(AND(ISNUMBER(B656),B656&lt;=0),AND(ISNUMBER(C656),C656&lt;=0),AND(ISNUMBER(D656),D656&lt;=0),AND(ISNUMBER(E656),E656&lt;=0)),"Use preços positivos","")))))))</f>
        <v/>
      </c>
    </row>
    <row r="657" spans="1:11" ht="22.95" customHeight="1">
      <c r="A657" s="28"/>
      <c r="B657" s="29"/>
      <c r="C657" s="29"/>
      <c r="D657" s="29"/>
      <c r="E657" s="30"/>
      <c r="F657" s="22" t="str">
        <f>IF(OR($A657="",B657="",B657&lt;=0,Séries!Q656=""),"",B657/Séries!Q656-1)</f>
        <v/>
      </c>
      <c r="G657" s="22" t="str">
        <f>IF(OR($A657="",C657="",C657&lt;=0,Séries!R656=""),"",C657/Séries!R656-1)</f>
        <v/>
      </c>
      <c r="H657" s="22" t="str">
        <f>IF(OR($A657="",D657="",D657&lt;=0,Séries!S656=""),"",D657/Séries!S656-1)</f>
        <v/>
      </c>
      <c r="I657" s="22" t="str">
        <f>IF(OR($A657="",E657="",E657&lt;=0,Séries!T656=""),"",E657/Séries!T656-1)</f>
        <v/>
      </c>
      <c r="J657" s="27"/>
      <c r="K657" s="1" t="str">
        <f>IF(COUNTA(A657:E657)=0,"",IF(A657="","Preencha a data",IF(NOT(ISNUMBER(A657)),"Data inválida",IF(OR(A657&lt;36526,A657&gt;73050,A657&lt;&gt;INT(A657)),"Data inválida",IF(A657&lt;=Séries!U656,"Data repetida / fora de ordem",IF(COUNTA(B657:E657)&lt;&gt;COUNT(B657:E657),"Use preços numéricos",IF(OR(AND(ISNUMBER(B657),B657&lt;=0),AND(ISNUMBER(C657),C657&lt;=0),AND(ISNUMBER(D657),D657&lt;=0),AND(ISNUMBER(E657),E657&lt;=0)),"Use preços positivos","")))))))</f>
        <v/>
      </c>
    </row>
    <row r="658" spans="1:11" ht="22.95" customHeight="1">
      <c r="A658" s="28"/>
      <c r="B658" s="29"/>
      <c r="C658" s="29"/>
      <c r="D658" s="29"/>
      <c r="E658" s="30"/>
      <c r="F658" s="22" t="str">
        <f>IF(OR($A658="",B658="",B658&lt;=0,Séries!Q657=""),"",B658/Séries!Q657-1)</f>
        <v/>
      </c>
      <c r="G658" s="22" t="str">
        <f>IF(OR($A658="",C658="",C658&lt;=0,Séries!R657=""),"",C658/Séries!R657-1)</f>
        <v/>
      </c>
      <c r="H658" s="22" t="str">
        <f>IF(OR($A658="",D658="",D658&lt;=0,Séries!S657=""),"",D658/Séries!S657-1)</f>
        <v/>
      </c>
      <c r="I658" s="22" t="str">
        <f>IF(OR($A658="",E658="",E658&lt;=0,Séries!T657=""),"",E658/Séries!T657-1)</f>
        <v/>
      </c>
      <c r="J658" s="27"/>
      <c r="K658" s="1" t="str">
        <f>IF(COUNTA(A658:E658)=0,"",IF(A658="","Preencha a data",IF(NOT(ISNUMBER(A658)),"Data inválida",IF(OR(A658&lt;36526,A658&gt;73050,A658&lt;&gt;INT(A658)),"Data inválida",IF(A658&lt;=Séries!U657,"Data repetida / fora de ordem",IF(COUNTA(B658:E658)&lt;&gt;COUNT(B658:E658),"Use preços numéricos",IF(OR(AND(ISNUMBER(B658),B658&lt;=0),AND(ISNUMBER(C658),C658&lt;=0),AND(ISNUMBER(D658),D658&lt;=0),AND(ISNUMBER(E658),E658&lt;=0)),"Use preços positivos","")))))))</f>
        <v/>
      </c>
    </row>
    <row r="659" spans="1:11" ht="22.95" customHeight="1">
      <c r="A659" s="28"/>
      <c r="B659" s="29"/>
      <c r="C659" s="29"/>
      <c r="D659" s="29"/>
      <c r="E659" s="30"/>
      <c r="F659" s="22" t="str">
        <f>IF(OR($A659="",B659="",B659&lt;=0,Séries!Q658=""),"",B659/Séries!Q658-1)</f>
        <v/>
      </c>
      <c r="G659" s="22" t="str">
        <f>IF(OR($A659="",C659="",C659&lt;=0,Séries!R658=""),"",C659/Séries!R658-1)</f>
        <v/>
      </c>
      <c r="H659" s="22" t="str">
        <f>IF(OR($A659="",D659="",D659&lt;=0,Séries!S658=""),"",D659/Séries!S658-1)</f>
        <v/>
      </c>
      <c r="I659" s="22" t="str">
        <f>IF(OR($A659="",E659="",E659&lt;=0,Séries!T658=""),"",E659/Séries!T658-1)</f>
        <v/>
      </c>
      <c r="J659" s="27"/>
      <c r="K659" s="1" t="str">
        <f>IF(COUNTA(A659:E659)=0,"",IF(A659="","Preencha a data",IF(NOT(ISNUMBER(A659)),"Data inválida",IF(OR(A659&lt;36526,A659&gt;73050,A659&lt;&gt;INT(A659)),"Data inválida",IF(A659&lt;=Séries!U658,"Data repetida / fora de ordem",IF(COUNTA(B659:E659)&lt;&gt;COUNT(B659:E659),"Use preços numéricos",IF(OR(AND(ISNUMBER(B659),B659&lt;=0),AND(ISNUMBER(C659),C659&lt;=0),AND(ISNUMBER(D659),D659&lt;=0),AND(ISNUMBER(E659),E659&lt;=0)),"Use preços positivos","")))))))</f>
        <v/>
      </c>
    </row>
    <row r="660" spans="1:11" ht="22.95" customHeight="1">
      <c r="A660" s="28"/>
      <c r="B660" s="29"/>
      <c r="C660" s="29"/>
      <c r="D660" s="29"/>
      <c r="E660" s="30"/>
      <c r="F660" s="22" t="str">
        <f>IF(OR($A660="",B660="",B660&lt;=0,Séries!Q659=""),"",B660/Séries!Q659-1)</f>
        <v/>
      </c>
      <c r="G660" s="22" t="str">
        <f>IF(OR($A660="",C660="",C660&lt;=0,Séries!R659=""),"",C660/Séries!R659-1)</f>
        <v/>
      </c>
      <c r="H660" s="22" t="str">
        <f>IF(OR($A660="",D660="",D660&lt;=0,Séries!S659=""),"",D660/Séries!S659-1)</f>
        <v/>
      </c>
      <c r="I660" s="22" t="str">
        <f>IF(OR($A660="",E660="",E660&lt;=0,Séries!T659=""),"",E660/Séries!T659-1)</f>
        <v/>
      </c>
      <c r="J660" s="27"/>
      <c r="K660" s="1" t="str">
        <f>IF(COUNTA(A660:E660)=0,"",IF(A660="","Preencha a data",IF(NOT(ISNUMBER(A660)),"Data inválida",IF(OR(A660&lt;36526,A660&gt;73050,A660&lt;&gt;INT(A660)),"Data inválida",IF(A660&lt;=Séries!U659,"Data repetida / fora de ordem",IF(COUNTA(B660:E660)&lt;&gt;COUNT(B660:E660),"Use preços numéricos",IF(OR(AND(ISNUMBER(B660),B660&lt;=0),AND(ISNUMBER(C660),C660&lt;=0),AND(ISNUMBER(D660),D660&lt;=0),AND(ISNUMBER(E660),E660&lt;=0)),"Use preços positivos","")))))))</f>
        <v/>
      </c>
    </row>
    <row r="661" spans="1:11" ht="22.95" customHeight="1">
      <c r="A661" s="28"/>
      <c r="B661" s="29"/>
      <c r="C661" s="29"/>
      <c r="D661" s="29"/>
      <c r="E661" s="30"/>
      <c r="F661" s="22" t="str">
        <f>IF(OR($A661="",B661="",B661&lt;=0,Séries!Q660=""),"",B661/Séries!Q660-1)</f>
        <v/>
      </c>
      <c r="G661" s="22" t="str">
        <f>IF(OR($A661="",C661="",C661&lt;=0,Séries!R660=""),"",C661/Séries!R660-1)</f>
        <v/>
      </c>
      <c r="H661" s="22" t="str">
        <f>IF(OR($A661="",D661="",D661&lt;=0,Séries!S660=""),"",D661/Séries!S660-1)</f>
        <v/>
      </c>
      <c r="I661" s="22" t="str">
        <f>IF(OR($A661="",E661="",E661&lt;=0,Séries!T660=""),"",E661/Séries!T660-1)</f>
        <v/>
      </c>
      <c r="J661" s="27"/>
      <c r="K661" s="1" t="str">
        <f>IF(COUNTA(A661:E661)=0,"",IF(A661="","Preencha a data",IF(NOT(ISNUMBER(A661)),"Data inválida",IF(OR(A661&lt;36526,A661&gt;73050,A661&lt;&gt;INT(A661)),"Data inválida",IF(A661&lt;=Séries!U660,"Data repetida / fora de ordem",IF(COUNTA(B661:E661)&lt;&gt;COUNT(B661:E661),"Use preços numéricos",IF(OR(AND(ISNUMBER(B661),B661&lt;=0),AND(ISNUMBER(C661),C661&lt;=0),AND(ISNUMBER(D661),D661&lt;=0),AND(ISNUMBER(E661),E661&lt;=0)),"Use preços positivos","")))))))</f>
        <v/>
      </c>
    </row>
    <row r="662" spans="1:11" ht="22.95" customHeight="1">
      <c r="A662" s="28"/>
      <c r="B662" s="29"/>
      <c r="C662" s="29"/>
      <c r="D662" s="29"/>
      <c r="E662" s="30"/>
      <c r="F662" s="22" t="str">
        <f>IF(OR($A662="",B662="",B662&lt;=0,Séries!Q661=""),"",B662/Séries!Q661-1)</f>
        <v/>
      </c>
      <c r="G662" s="22" t="str">
        <f>IF(OR($A662="",C662="",C662&lt;=0,Séries!R661=""),"",C662/Séries!R661-1)</f>
        <v/>
      </c>
      <c r="H662" s="22" t="str">
        <f>IF(OR($A662="",D662="",D662&lt;=0,Séries!S661=""),"",D662/Séries!S661-1)</f>
        <v/>
      </c>
      <c r="I662" s="22" t="str">
        <f>IF(OR($A662="",E662="",E662&lt;=0,Séries!T661=""),"",E662/Séries!T661-1)</f>
        <v/>
      </c>
      <c r="J662" s="27"/>
      <c r="K662" s="1" t="str">
        <f>IF(COUNTA(A662:E662)=0,"",IF(A662="","Preencha a data",IF(NOT(ISNUMBER(A662)),"Data inválida",IF(OR(A662&lt;36526,A662&gt;73050,A662&lt;&gt;INT(A662)),"Data inválida",IF(A662&lt;=Séries!U661,"Data repetida / fora de ordem",IF(COUNTA(B662:E662)&lt;&gt;COUNT(B662:E662),"Use preços numéricos",IF(OR(AND(ISNUMBER(B662),B662&lt;=0),AND(ISNUMBER(C662),C662&lt;=0),AND(ISNUMBER(D662),D662&lt;=0),AND(ISNUMBER(E662),E662&lt;=0)),"Use preços positivos","")))))))</f>
        <v/>
      </c>
    </row>
    <row r="663" spans="1:11" ht="22.95" customHeight="1">
      <c r="A663" s="28"/>
      <c r="B663" s="29"/>
      <c r="C663" s="29"/>
      <c r="D663" s="29"/>
      <c r="E663" s="30"/>
      <c r="F663" s="22" t="str">
        <f>IF(OR($A663="",B663="",B663&lt;=0,Séries!Q662=""),"",B663/Séries!Q662-1)</f>
        <v/>
      </c>
      <c r="G663" s="22" t="str">
        <f>IF(OR($A663="",C663="",C663&lt;=0,Séries!R662=""),"",C663/Séries!R662-1)</f>
        <v/>
      </c>
      <c r="H663" s="22" t="str">
        <f>IF(OR($A663="",D663="",D663&lt;=0,Séries!S662=""),"",D663/Séries!S662-1)</f>
        <v/>
      </c>
      <c r="I663" s="22" t="str">
        <f>IF(OR($A663="",E663="",E663&lt;=0,Séries!T662=""),"",E663/Séries!T662-1)</f>
        <v/>
      </c>
      <c r="J663" s="27"/>
      <c r="K663" s="1" t="str">
        <f>IF(COUNTA(A663:E663)=0,"",IF(A663="","Preencha a data",IF(NOT(ISNUMBER(A663)),"Data inválida",IF(OR(A663&lt;36526,A663&gt;73050,A663&lt;&gt;INT(A663)),"Data inválida",IF(A663&lt;=Séries!U662,"Data repetida / fora de ordem",IF(COUNTA(B663:E663)&lt;&gt;COUNT(B663:E663),"Use preços numéricos",IF(OR(AND(ISNUMBER(B663),B663&lt;=0),AND(ISNUMBER(C663),C663&lt;=0),AND(ISNUMBER(D663),D663&lt;=0),AND(ISNUMBER(E663),E663&lt;=0)),"Use preços positivos","")))))))</f>
        <v/>
      </c>
    </row>
    <row r="664" spans="1:11" ht="22.95" customHeight="1">
      <c r="A664" s="28"/>
      <c r="B664" s="29"/>
      <c r="C664" s="29"/>
      <c r="D664" s="29"/>
      <c r="E664" s="30"/>
      <c r="F664" s="22" t="str">
        <f>IF(OR($A664="",B664="",B664&lt;=0,Séries!Q663=""),"",B664/Séries!Q663-1)</f>
        <v/>
      </c>
      <c r="G664" s="22" t="str">
        <f>IF(OR($A664="",C664="",C664&lt;=0,Séries!R663=""),"",C664/Séries!R663-1)</f>
        <v/>
      </c>
      <c r="H664" s="22" t="str">
        <f>IF(OR($A664="",D664="",D664&lt;=0,Séries!S663=""),"",D664/Séries!S663-1)</f>
        <v/>
      </c>
      <c r="I664" s="22" t="str">
        <f>IF(OR($A664="",E664="",E664&lt;=0,Séries!T663=""),"",E664/Séries!T663-1)</f>
        <v/>
      </c>
      <c r="J664" s="27"/>
      <c r="K664" s="1" t="str">
        <f>IF(COUNTA(A664:E664)=0,"",IF(A664="","Preencha a data",IF(NOT(ISNUMBER(A664)),"Data inválida",IF(OR(A664&lt;36526,A664&gt;73050,A664&lt;&gt;INT(A664)),"Data inválida",IF(A664&lt;=Séries!U663,"Data repetida / fora de ordem",IF(COUNTA(B664:E664)&lt;&gt;COUNT(B664:E664),"Use preços numéricos",IF(OR(AND(ISNUMBER(B664),B664&lt;=0),AND(ISNUMBER(C664),C664&lt;=0),AND(ISNUMBER(D664),D664&lt;=0),AND(ISNUMBER(E664),E664&lt;=0)),"Use preços positivos","")))))))</f>
        <v/>
      </c>
    </row>
    <row r="665" spans="1:11" ht="22.95" customHeight="1">
      <c r="A665" s="28"/>
      <c r="B665" s="29"/>
      <c r="C665" s="29"/>
      <c r="D665" s="29"/>
      <c r="E665" s="30"/>
      <c r="F665" s="22" t="str">
        <f>IF(OR($A665="",B665="",B665&lt;=0,Séries!Q664=""),"",B665/Séries!Q664-1)</f>
        <v/>
      </c>
      <c r="G665" s="22" t="str">
        <f>IF(OR($A665="",C665="",C665&lt;=0,Séries!R664=""),"",C665/Séries!R664-1)</f>
        <v/>
      </c>
      <c r="H665" s="22" t="str">
        <f>IF(OR($A665="",D665="",D665&lt;=0,Séries!S664=""),"",D665/Séries!S664-1)</f>
        <v/>
      </c>
      <c r="I665" s="22" t="str">
        <f>IF(OR($A665="",E665="",E665&lt;=0,Séries!T664=""),"",E665/Séries!T664-1)</f>
        <v/>
      </c>
      <c r="J665" s="27"/>
      <c r="K665" s="1" t="str">
        <f>IF(COUNTA(A665:E665)=0,"",IF(A665="","Preencha a data",IF(NOT(ISNUMBER(A665)),"Data inválida",IF(OR(A665&lt;36526,A665&gt;73050,A665&lt;&gt;INT(A665)),"Data inválida",IF(A665&lt;=Séries!U664,"Data repetida / fora de ordem",IF(COUNTA(B665:E665)&lt;&gt;COUNT(B665:E665),"Use preços numéricos",IF(OR(AND(ISNUMBER(B665),B665&lt;=0),AND(ISNUMBER(C665),C665&lt;=0),AND(ISNUMBER(D665),D665&lt;=0),AND(ISNUMBER(E665),E665&lt;=0)),"Use preços positivos","")))))))</f>
        <v/>
      </c>
    </row>
    <row r="666" spans="1:11" ht="22.95" customHeight="1">
      <c r="A666" s="28"/>
      <c r="B666" s="29"/>
      <c r="C666" s="29"/>
      <c r="D666" s="29"/>
      <c r="E666" s="30"/>
      <c r="F666" s="22" t="str">
        <f>IF(OR($A666="",B666="",B666&lt;=0,Séries!Q665=""),"",B666/Séries!Q665-1)</f>
        <v/>
      </c>
      <c r="G666" s="22" t="str">
        <f>IF(OR($A666="",C666="",C666&lt;=0,Séries!R665=""),"",C666/Séries!R665-1)</f>
        <v/>
      </c>
      <c r="H666" s="22" t="str">
        <f>IF(OR($A666="",D666="",D666&lt;=0,Séries!S665=""),"",D666/Séries!S665-1)</f>
        <v/>
      </c>
      <c r="I666" s="22" t="str">
        <f>IF(OR($A666="",E666="",E666&lt;=0,Séries!T665=""),"",E666/Séries!T665-1)</f>
        <v/>
      </c>
      <c r="J666" s="27"/>
      <c r="K666" s="1" t="str">
        <f>IF(COUNTA(A666:E666)=0,"",IF(A666="","Preencha a data",IF(NOT(ISNUMBER(A666)),"Data inválida",IF(OR(A666&lt;36526,A666&gt;73050,A666&lt;&gt;INT(A666)),"Data inválida",IF(A666&lt;=Séries!U665,"Data repetida / fora de ordem",IF(COUNTA(B666:E666)&lt;&gt;COUNT(B666:E666),"Use preços numéricos",IF(OR(AND(ISNUMBER(B666),B666&lt;=0),AND(ISNUMBER(C666),C666&lt;=0),AND(ISNUMBER(D666),D666&lt;=0),AND(ISNUMBER(E666),E666&lt;=0)),"Use preços positivos","")))))))</f>
        <v/>
      </c>
    </row>
    <row r="667" spans="1:11" ht="22.95" customHeight="1">
      <c r="A667" s="28"/>
      <c r="B667" s="29"/>
      <c r="C667" s="29"/>
      <c r="D667" s="29"/>
      <c r="E667" s="30"/>
      <c r="F667" s="22" t="str">
        <f>IF(OR($A667="",B667="",B667&lt;=0,Séries!Q666=""),"",B667/Séries!Q666-1)</f>
        <v/>
      </c>
      <c r="G667" s="22" t="str">
        <f>IF(OR($A667="",C667="",C667&lt;=0,Séries!R666=""),"",C667/Séries!R666-1)</f>
        <v/>
      </c>
      <c r="H667" s="22" t="str">
        <f>IF(OR($A667="",D667="",D667&lt;=0,Séries!S666=""),"",D667/Séries!S666-1)</f>
        <v/>
      </c>
      <c r="I667" s="22" t="str">
        <f>IF(OR($A667="",E667="",E667&lt;=0,Séries!T666=""),"",E667/Séries!T666-1)</f>
        <v/>
      </c>
      <c r="J667" s="27"/>
      <c r="K667" s="1" t="str">
        <f>IF(COUNTA(A667:E667)=0,"",IF(A667="","Preencha a data",IF(NOT(ISNUMBER(A667)),"Data inválida",IF(OR(A667&lt;36526,A667&gt;73050,A667&lt;&gt;INT(A667)),"Data inválida",IF(A667&lt;=Séries!U666,"Data repetida / fora de ordem",IF(COUNTA(B667:E667)&lt;&gt;COUNT(B667:E667),"Use preços numéricos",IF(OR(AND(ISNUMBER(B667),B667&lt;=0),AND(ISNUMBER(C667),C667&lt;=0),AND(ISNUMBER(D667),D667&lt;=0),AND(ISNUMBER(E667),E667&lt;=0)),"Use preços positivos","")))))))</f>
        <v/>
      </c>
    </row>
    <row r="668" spans="1:11" ht="22.95" customHeight="1">
      <c r="A668" s="28"/>
      <c r="B668" s="29"/>
      <c r="C668" s="29"/>
      <c r="D668" s="29"/>
      <c r="E668" s="30"/>
      <c r="F668" s="22" t="str">
        <f>IF(OR($A668="",B668="",B668&lt;=0,Séries!Q667=""),"",B668/Séries!Q667-1)</f>
        <v/>
      </c>
      <c r="G668" s="22" t="str">
        <f>IF(OR($A668="",C668="",C668&lt;=0,Séries!R667=""),"",C668/Séries!R667-1)</f>
        <v/>
      </c>
      <c r="H668" s="22" t="str">
        <f>IF(OR($A668="",D668="",D668&lt;=0,Séries!S667=""),"",D668/Séries!S667-1)</f>
        <v/>
      </c>
      <c r="I668" s="22" t="str">
        <f>IF(OR($A668="",E668="",E668&lt;=0,Séries!T667=""),"",E668/Séries!T667-1)</f>
        <v/>
      </c>
      <c r="J668" s="27"/>
      <c r="K668" s="1" t="str">
        <f>IF(COUNTA(A668:E668)=0,"",IF(A668="","Preencha a data",IF(NOT(ISNUMBER(A668)),"Data inválida",IF(OR(A668&lt;36526,A668&gt;73050,A668&lt;&gt;INT(A668)),"Data inválida",IF(A668&lt;=Séries!U667,"Data repetida / fora de ordem",IF(COUNTA(B668:E668)&lt;&gt;COUNT(B668:E668),"Use preços numéricos",IF(OR(AND(ISNUMBER(B668),B668&lt;=0),AND(ISNUMBER(C668),C668&lt;=0),AND(ISNUMBER(D668),D668&lt;=0),AND(ISNUMBER(E668),E668&lt;=0)),"Use preços positivos","")))))))</f>
        <v/>
      </c>
    </row>
    <row r="669" spans="1:11" ht="22.95" customHeight="1">
      <c r="A669" s="28"/>
      <c r="B669" s="29"/>
      <c r="C669" s="29"/>
      <c r="D669" s="29"/>
      <c r="E669" s="30"/>
      <c r="F669" s="22" t="str">
        <f>IF(OR($A669="",B669="",B669&lt;=0,Séries!Q668=""),"",B669/Séries!Q668-1)</f>
        <v/>
      </c>
      <c r="G669" s="22" t="str">
        <f>IF(OR($A669="",C669="",C669&lt;=0,Séries!R668=""),"",C669/Séries!R668-1)</f>
        <v/>
      </c>
      <c r="H669" s="22" t="str">
        <f>IF(OR($A669="",D669="",D669&lt;=0,Séries!S668=""),"",D669/Séries!S668-1)</f>
        <v/>
      </c>
      <c r="I669" s="22" t="str">
        <f>IF(OR($A669="",E669="",E669&lt;=0,Séries!T668=""),"",E669/Séries!T668-1)</f>
        <v/>
      </c>
      <c r="J669" s="27"/>
      <c r="K669" s="1" t="str">
        <f>IF(COUNTA(A669:E669)=0,"",IF(A669="","Preencha a data",IF(NOT(ISNUMBER(A669)),"Data inválida",IF(OR(A669&lt;36526,A669&gt;73050,A669&lt;&gt;INT(A669)),"Data inválida",IF(A669&lt;=Séries!U668,"Data repetida / fora de ordem",IF(COUNTA(B669:E669)&lt;&gt;COUNT(B669:E669),"Use preços numéricos",IF(OR(AND(ISNUMBER(B669),B669&lt;=0),AND(ISNUMBER(C669),C669&lt;=0),AND(ISNUMBER(D669),D669&lt;=0),AND(ISNUMBER(E669),E669&lt;=0)),"Use preços positivos","")))))))</f>
        <v/>
      </c>
    </row>
    <row r="670" spans="1:11" ht="22.95" customHeight="1">
      <c r="A670" s="28"/>
      <c r="B670" s="29"/>
      <c r="C670" s="29"/>
      <c r="D670" s="29"/>
      <c r="E670" s="30"/>
      <c r="F670" s="22" t="str">
        <f>IF(OR($A670="",B670="",B670&lt;=0,Séries!Q669=""),"",B670/Séries!Q669-1)</f>
        <v/>
      </c>
      <c r="G670" s="22" t="str">
        <f>IF(OR($A670="",C670="",C670&lt;=0,Séries!R669=""),"",C670/Séries!R669-1)</f>
        <v/>
      </c>
      <c r="H670" s="22" t="str">
        <f>IF(OR($A670="",D670="",D670&lt;=0,Séries!S669=""),"",D670/Séries!S669-1)</f>
        <v/>
      </c>
      <c r="I670" s="22" t="str">
        <f>IF(OR($A670="",E670="",E670&lt;=0,Séries!T669=""),"",E670/Séries!T669-1)</f>
        <v/>
      </c>
      <c r="J670" s="27"/>
      <c r="K670" s="1" t="str">
        <f>IF(COUNTA(A670:E670)=0,"",IF(A670="","Preencha a data",IF(NOT(ISNUMBER(A670)),"Data inválida",IF(OR(A670&lt;36526,A670&gt;73050,A670&lt;&gt;INT(A670)),"Data inválida",IF(A670&lt;=Séries!U669,"Data repetida / fora de ordem",IF(COUNTA(B670:E670)&lt;&gt;COUNT(B670:E670),"Use preços numéricos",IF(OR(AND(ISNUMBER(B670),B670&lt;=0),AND(ISNUMBER(C670),C670&lt;=0),AND(ISNUMBER(D670),D670&lt;=0),AND(ISNUMBER(E670),E670&lt;=0)),"Use preços positivos","")))))))</f>
        <v/>
      </c>
    </row>
    <row r="671" spans="1:11" ht="22.95" customHeight="1">
      <c r="A671" s="28"/>
      <c r="B671" s="29"/>
      <c r="C671" s="29"/>
      <c r="D671" s="29"/>
      <c r="E671" s="30"/>
      <c r="F671" s="22" t="str">
        <f>IF(OR($A671="",B671="",B671&lt;=0,Séries!Q670=""),"",B671/Séries!Q670-1)</f>
        <v/>
      </c>
      <c r="G671" s="22" t="str">
        <f>IF(OR($A671="",C671="",C671&lt;=0,Séries!R670=""),"",C671/Séries!R670-1)</f>
        <v/>
      </c>
      <c r="H671" s="22" t="str">
        <f>IF(OR($A671="",D671="",D671&lt;=0,Séries!S670=""),"",D671/Séries!S670-1)</f>
        <v/>
      </c>
      <c r="I671" s="22" t="str">
        <f>IF(OR($A671="",E671="",E671&lt;=0,Séries!T670=""),"",E671/Séries!T670-1)</f>
        <v/>
      </c>
      <c r="J671" s="27"/>
      <c r="K671" s="1" t="str">
        <f>IF(COUNTA(A671:E671)=0,"",IF(A671="","Preencha a data",IF(NOT(ISNUMBER(A671)),"Data inválida",IF(OR(A671&lt;36526,A671&gt;73050,A671&lt;&gt;INT(A671)),"Data inválida",IF(A671&lt;=Séries!U670,"Data repetida / fora de ordem",IF(COUNTA(B671:E671)&lt;&gt;COUNT(B671:E671),"Use preços numéricos",IF(OR(AND(ISNUMBER(B671),B671&lt;=0),AND(ISNUMBER(C671),C671&lt;=0),AND(ISNUMBER(D671),D671&lt;=0),AND(ISNUMBER(E671),E671&lt;=0)),"Use preços positivos","")))))))</f>
        <v/>
      </c>
    </row>
    <row r="672" spans="1:11" ht="22.95" customHeight="1">
      <c r="A672" s="28"/>
      <c r="B672" s="29"/>
      <c r="C672" s="29"/>
      <c r="D672" s="29"/>
      <c r="E672" s="30"/>
      <c r="F672" s="22" t="str">
        <f>IF(OR($A672="",B672="",B672&lt;=0,Séries!Q671=""),"",B672/Séries!Q671-1)</f>
        <v/>
      </c>
      <c r="G672" s="22" t="str">
        <f>IF(OR($A672="",C672="",C672&lt;=0,Séries!R671=""),"",C672/Séries!R671-1)</f>
        <v/>
      </c>
      <c r="H672" s="22" t="str">
        <f>IF(OR($A672="",D672="",D672&lt;=0,Séries!S671=""),"",D672/Séries!S671-1)</f>
        <v/>
      </c>
      <c r="I672" s="22" t="str">
        <f>IF(OR($A672="",E672="",E672&lt;=0,Séries!T671=""),"",E672/Séries!T671-1)</f>
        <v/>
      </c>
      <c r="J672" s="27"/>
      <c r="K672" s="1" t="str">
        <f>IF(COUNTA(A672:E672)=0,"",IF(A672="","Preencha a data",IF(NOT(ISNUMBER(A672)),"Data inválida",IF(OR(A672&lt;36526,A672&gt;73050,A672&lt;&gt;INT(A672)),"Data inválida",IF(A672&lt;=Séries!U671,"Data repetida / fora de ordem",IF(COUNTA(B672:E672)&lt;&gt;COUNT(B672:E672),"Use preços numéricos",IF(OR(AND(ISNUMBER(B672),B672&lt;=0),AND(ISNUMBER(C672),C672&lt;=0),AND(ISNUMBER(D672),D672&lt;=0),AND(ISNUMBER(E672),E672&lt;=0)),"Use preços positivos","")))))))</f>
        <v/>
      </c>
    </row>
    <row r="673" spans="1:11" ht="22.95" customHeight="1">
      <c r="A673" s="28"/>
      <c r="B673" s="29"/>
      <c r="C673" s="29"/>
      <c r="D673" s="29"/>
      <c r="E673" s="30"/>
      <c r="F673" s="22" t="str">
        <f>IF(OR($A673="",B673="",B673&lt;=0,Séries!Q672=""),"",B673/Séries!Q672-1)</f>
        <v/>
      </c>
      <c r="G673" s="22" t="str">
        <f>IF(OR($A673="",C673="",C673&lt;=0,Séries!R672=""),"",C673/Séries!R672-1)</f>
        <v/>
      </c>
      <c r="H673" s="22" t="str">
        <f>IF(OR($A673="",D673="",D673&lt;=0,Séries!S672=""),"",D673/Séries!S672-1)</f>
        <v/>
      </c>
      <c r="I673" s="22" t="str">
        <f>IF(OR($A673="",E673="",E673&lt;=0,Séries!T672=""),"",E673/Séries!T672-1)</f>
        <v/>
      </c>
      <c r="J673" s="27"/>
      <c r="K673" s="1" t="str">
        <f>IF(COUNTA(A673:E673)=0,"",IF(A673="","Preencha a data",IF(NOT(ISNUMBER(A673)),"Data inválida",IF(OR(A673&lt;36526,A673&gt;73050,A673&lt;&gt;INT(A673)),"Data inválida",IF(A673&lt;=Séries!U672,"Data repetida / fora de ordem",IF(COUNTA(B673:E673)&lt;&gt;COUNT(B673:E673),"Use preços numéricos",IF(OR(AND(ISNUMBER(B673),B673&lt;=0),AND(ISNUMBER(C673),C673&lt;=0),AND(ISNUMBER(D673),D673&lt;=0),AND(ISNUMBER(E673),E673&lt;=0)),"Use preços positivos","")))))))</f>
        <v/>
      </c>
    </row>
    <row r="674" spans="1:11" ht="22.95" customHeight="1">
      <c r="A674" s="28"/>
      <c r="B674" s="29"/>
      <c r="C674" s="29"/>
      <c r="D674" s="29"/>
      <c r="E674" s="30"/>
      <c r="F674" s="22" t="str">
        <f>IF(OR($A674="",B674="",B674&lt;=0,Séries!Q673=""),"",B674/Séries!Q673-1)</f>
        <v/>
      </c>
      <c r="G674" s="22" t="str">
        <f>IF(OR($A674="",C674="",C674&lt;=0,Séries!R673=""),"",C674/Séries!R673-1)</f>
        <v/>
      </c>
      <c r="H674" s="22" t="str">
        <f>IF(OR($A674="",D674="",D674&lt;=0,Séries!S673=""),"",D674/Séries!S673-1)</f>
        <v/>
      </c>
      <c r="I674" s="22" t="str">
        <f>IF(OR($A674="",E674="",E674&lt;=0,Séries!T673=""),"",E674/Séries!T673-1)</f>
        <v/>
      </c>
      <c r="J674" s="27"/>
      <c r="K674" s="1" t="str">
        <f>IF(COUNTA(A674:E674)=0,"",IF(A674="","Preencha a data",IF(NOT(ISNUMBER(A674)),"Data inválida",IF(OR(A674&lt;36526,A674&gt;73050,A674&lt;&gt;INT(A674)),"Data inválida",IF(A674&lt;=Séries!U673,"Data repetida / fora de ordem",IF(COUNTA(B674:E674)&lt;&gt;COUNT(B674:E674),"Use preços numéricos",IF(OR(AND(ISNUMBER(B674),B674&lt;=0),AND(ISNUMBER(C674),C674&lt;=0),AND(ISNUMBER(D674),D674&lt;=0),AND(ISNUMBER(E674),E674&lt;=0)),"Use preços positivos","")))))))</f>
        <v/>
      </c>
    </row>
    <row r="675" spans="1:11" ht="22.95" customHeight="1">
      <c r="A675" s="28"/>
      <c r="B675" s="29"/>
      <c r="C675" s="29"/>
      <c r="D675" s="29"/>
      <c r="E675" s="30"/>
      <c r="F675" s="22" t="str">
        <f>IF(OR($A675="",B675="",B675&lt;=0,Séries!Q674=""),"",B675/Séries!Q674-1)</f>
        <v/>
      </c>
      <c r="G675" s="22" t="str">
        <f>IF(OR($A675="",C675="",C675&lt;=0,Séries!R674=""),"",C675/Séries!R674-1)</f>
        <v/>
      </c>
      <c r="H675" s="22" t="str">
        <f>IF(OR($A675="",D675="",D675&lt;=0,Séries!S674=""),"",D675/Séries!S674-1)</f>
        <v/>
      </c>
      <c r="I675" s="22" t="str">
        <f>IF(OR($A675="",E675="",E675&lt;=0,Séries!T674=""),"",E675/Séries!T674-1)</f>
        <v/>
      </c>
      <c r="J675" s="27"/>
      <c r="K675" s="1" t="str">
        <f>IF(COUNTA(A675:E675)=0,"",IF(A675="","Preencha a data",IF(NOT(ISNUMBER(A675)),"Data inválida",IF(OR(A675&lt;36526,A675&gt;73050,A675&lt;&gt;INT(A675)),"Data inválida",IF(A675&lt;=Séries!U674,"Data repetida / fora de ordem",IF(COUNTA(B675:E675)&lt;&gt;COUNT(B675:E675),"Use preços numéricos",IF(OR(AND(ISNUMBER(B675),B675&lt;=0),AND(ISNUMBER(C675),C675&lt;=0),AND(ISNUMBER(D675),D675&lt;=0),AND(ISNUMBER(E675),E675&lt;=0)),"Use preços positivos","")))))))</f>
        <v/>
      </c>
    </row>
    <row r="676" spans="1:11" ht="22.95" customHeight="1">
      <c r="A676" s="28"/>
      <c r="B676" s="29"/>
      <c r="C676" s="29"/>
      <c r="D676" s="29"/>
      <c r="E676" s="30"/>
      <c r="F676" s="22" t="str">
        <f>IF(OR($A676="",B676="",B676&lt;=0,Séries!Q675=""),"",B676/Séries!Q675-1)</f>
        <v/>
      </c>
      <c r="G676" s="22" t="str">
        <f>IF(OR($A676="",C676="",C676&lt;=0,Séries!R675=""),"",C676/Séries!R675-1)</f>
        <v/>
      </c>
      <c r="H676" s="22" t="str">
        <f>IF(OR($A676="",D676="",D676&lt;=0,Séries!S675=""),"",D676/Séries!S675-1)</f>
        <v/>
      </c>
      <c r="I676" s="22" t="str">
        <f>IF(OR($A676="",E676="",E676&lt;=0,Séries!T675=""),"",E676/Séries!T675-1)</f>
        <v/>
      </c>
      <c r="J676" s="27"/>
      <c r="K676" s="1" t="str">
        <f>IF(COUNTA(A676:E676)=0,"",IF(A676="","Preencha a data",IF(NOT(ISNUMBER(A676)),"Data inválida",IF(OR(A676&lt;36526,A676&gt;73050,A676&lt;&gt;INT(A676)),"Data inválida",IF(A676&lt;=Séries!U675,"Data repetida / fora de ordem",IF(COUNTA(B676:E676)&lt;&gt;COUNT(B676:E676),"Use preços numéricos",IF(OR(AND(ISNUMBER(B676),B676&lt;=0),AND(ISNUMBER(C676),C676&lt;=0),AND(ISNUMBER(D676),D676&lt;=0),AND(ISNUMBER(E676),E676&lt;=0)),"Use preços positivos","")))))))</f>
        <v/>
      </c>
    </row>
    <row r="677" spans="1:11" ht="22.95" customHeight="1">
      <c r="A677" s="28"/>
      <c r="B677" s="29"/>
      <c r="C677" s="29"/>
      <c r="D677" s="29"/>
      <c r="E677" s="30"/>
      <c r="F677" s="22" t="str">
        <f>IF(OR($A677="",B677="",B677&lt;=0,Séries!Q676=""),"",B677/Séries!Q676-1)</f>
        <v/>
      </c>
      <c r="G677" s="22" t="str">
        <f>IF(OR($A677="",C677="",C677&lt;=0,Séries!R676=""),"",C677/Séries!R676-1)</f>
        <v/>
      </c>
      <c r="H677" s="22" t="str">
        <f>IF(OR($A677="",D677="",D677&lt;=0,Séries!S676=""),"",D677/Séries!S676-1)</f>
        <v/>
      </c>
      <c r="I677" s="22" t="str">
        <f>IF(OR($A677="",E677="",E677&lt;=0,Séries!T676=""),"",E677/Séries!T676-1)</f>
        <v/>
      </c>
      <c r="J677" s="27"/>
      <c r="K677" s="1" t="str">
        <f>IF(COUNTA(A677:E677)=0,"",IF(A677="","Preencha a data",IF(NOT(ISNUMBER(A677)),"Data inválida",IF(OR(A677&lt;36526,A677&gt;73050,A677&lt;&gt;INT(A677)),"Data inválida",IF(A677&lt;=Séries!U676,"Data repetida / fora de ordem",IF(COUNTA(B677:E677)&lt;&gt;COUNT(B677:E677),"Use preços numéricos",IF(OR(AND(ISNUMBER(B677),B677&lt;=0),AND(ISNUMBER(C677),C677&lt;=0),AND(ISNUMBER(D677),D677&lt;=0),AND(ISNUMBER(E677),E677&lt;=0)),"Use preços positivos","")))))))</f>
        <v/>
      </c>
    </row>
    <row r="678" spans="1:11" ht="22.95" customHeight="1">
      <c r="A678" s="28"/>
      <c r="B678" s="29"/>
      <c r="C678" s="29"/>
      <c r="D678" s="29"/>
      <c r="E678" s="30"/>
      <c r="F678" s="22" t="str">
        <f>IF(OR($A678="",B678="",B678&lt;=0,Séries!Q677=""),"",B678/Séries!Q677-1)</f>
        <v/>
      </c>
      <c r="G678" s="22" t="str">
        <f>IF(OR($A678="",C678="",C678&lt;=0,Séries!R677=""),"",C678/Séries!R677-1)</f>
        <v/>
      </c>
      <c r="H678" s="22" t="str">
        <f>IF(OR($A678="",D678="",D678&lt;=0,Séries!S677=""),"",D678/Séries!S677-1)</f>
        <v/>
      </c>
      <c r="I678" s="22" t="str">
        <f>IF(OR($A678="",E678="",E678&lt;=0,Séries!T677=""),"",E678/Séries!T677-1)</f>
        <v/>
      </c>
      <c r="J678" s="27"/>
      <c r="K678" s="1" t="str">
        <f>IF(COUNTA(A678:E678)=0,"",IF(A678="","Preencha a data",IF(NOT(ISNUMBER(A678)),"Data inválida",IF(OR(A678&lt;36526,A678&gt;73050,A678&lt;&gt;INT(A678)),"Data inválida",IF(A678&lt;=Séries!U677,"Data repetida / fora de ordem",IF(COUNTA(B678:E678)&lt;&gt;COUNT(B678:E678),"Use preços numéricos",IF(OR(AND(ISNUMBER(B678),B678&lt;=0),AND(ISNUMBER(C678),C678&lt;=0),AND(ISNUMBER(D678),D678&lt;=0),AND(ISNUMBER(E678),E678&lt;=0)),"Use preços positivos","")))))))</f>
        <v/>
      </c>
    </row>
    <row r="679" spans="1:11" ht="22.95" customHeight="1">
      <c r="A679" s="28"/>
      <c r="B679" s="29"/>
      <c r="C679" s="29"/>
      <c r="D679" s="29"/>
      <c r="E679" s="30"/>
      <c r="F679" s="22" t="str">
        <f>IF(OR($A679="",B679="",B679&lt;=0,Séries!Q678=""),"",B679/Séries!Q678-1)</f>
        <v/>
      </c>
      <c r="G679" s="22" t="str">
        <f>IF(OR($A679="",C679="",C679&lt;=0,Séries!R678=""),"",C679/Séries!R678-1)</f>
        <v/>
      </c>
      <c r="H679" s="22" t="str">
        <f>IF(OR($A679="",D679="",D679&lt;=0,Séries!S678=""),"",D679/Séries!S678-1)</f>
        <v/>
      </c>
      <c r="I679" s="22" t="str">
        <f>IF(OR($A679="",E679="",E679&lt;=0,Séries!T678=""),"",E679/Séries!T678-1)</f>
        <v/>
      </c>
      <c r="J679" s="27"/>
      <c r="K679" s="1" t="str">
        <f>IF(COUNTA(A679:E679)=0,"",IF(A679="","Preencha a data",IF(NOT(ISNUMBER(A679)),"Data inválida",IF(OR(A679&lt;36526,A679&gt;73050,A679&lt;&gt;INT(A679)),"Data inválida",IF(A679&lt;=Séries!U678,"Data repetida / fora de ordem",IF(COUNTA(B679:E679)&lt;&gt;COUNT(B679:E679),"Use preços numéricos",IF(OR(AND(ISNUMBER(B679),B679&lt;=0),AND(ISNUMBER(C679),C679&lt;=0),AND(ISNUMBER(D679),D679&lt;=0),AND(ISNUMBER(E679),E679&lt;=0)),"Use preços positivos","")))))))</f>
        <v/>
      </c>
    </row>
    <row r="680" spans="1:11" ht="22.95" customHeight="1">
      <c r="A680" s="28"/>
      <c r="B680" s="29"/>
      <c r="C680" s="29"/>
      <c r="D680" s="29"/>
      <c r="E680" s="30"/>
      <c r="F680" s="22" t="str">
        <f>IF(OR($A680="",B680="",B680&lt;=0,Séries!Q679=""),"",B680/Séries!Q679-1)</f>
        <v/>
      </c>
      <c r="G680" s="22" t="str">
        <f>IF(OR($A680="",C680="",C680&lt;=0,Séries!R679=""),"",C680/Séries!R679-1)</f>
        <v/>
      </c>
      <c r="H680" s="22" t="str">
        <f>IF(OR($A680="",D680="",D680&lt;=0,Séries!S679=""),"",D680/Séries!S679-1)</f>
        <v/>
      </c>
      <c r="I680" s="22" t="str">
        <f>IF(OR($A680="",E680="",E680&lt;=0,Séries!T679=""),"",E680/Séries!T679-1)</f>
        <v/>
      </c>
      <c r="J680" s="27"/>
      <c r="K680" s="1" t="str">
        <f>IF(COUNTA(A680:E680)=0,"",IF(A680="","Preencha a data",IF(NOT(ISNUMBER(A680)),"Data inválida",IF(OR(A680&lt;36526,A680&gt;73050,A680&lt;&gt;INT(A680)),"Data inválida",IF(A680&lt;=Séries!U679,"Data repetida / fora de ordem",IF(COUNTA(B680:E680)&lt;&gt;COUNT(B680:E680),"Use preços numéricos",IF(OR(AND(ISNUMBER(B680),B680&lt;=0),AND(ISNUMBER(C680),C680&lt;=0),AND(ISNUMBER(D680),D680&lt;=0),AND(ISNUMBER(E680),E680&lt;=0)),"Use preços positivos","")))))))</f>
        <v/>
      </c>
    </row>
    <row r="681" spans="1:11" ht="22.95" customHeight="1">
      <c r="A681" s="28"/>
      <c r="B681" s="29"/>
      <c r="C681" s="29"/>
      <c r="D681" s="29"/>
      <c r="E681" s="30"/>
      <c r="F681" s="22" t="str">
        <f>IF(OR($A681="",B681="",B681&lt;=0,Séries!Q680=""),"",B681/Séries!Q680-1)</f>
        <v/>
      </c>
      <c r="G681" s="22" t="str">
        <f>IF(OR($A681="",C681="",C681&lt;=0,Séries!R680=""),"",C681/Séries!R680-1)</f>
        <v/>
      </c>
      <c r="H681" s="22" t="str">
        <f>IF(OR($A681="",D681="",D681&lt;=0,Séries!S680=""),"",D681/Séries!S680-1)</f>
        <v/>
      </c>
      <c r="I681" s="22" t="str">
        <f>IF(OR($A681="",E681="",E681&lt;=0,Séries!T680=""),"",E681/Séries!T680-1)</f>
        <v/>
      </c>
      <c r="J681" s="27"/>
      <c r="K681" s="1" t="str">
        <f>IF(COUNTA(A681:E681)=0,"",IF(A681="","Preencha a data",IF(NOT(ISNUMBER(A681)),"Data inválida",IF(OR(A681&lt;36526,A681&gt;73050,A681&lt;&gt;INT(A681)),"Data inválida",IF(A681&lt;=Séries!U680,"Data repetida / fora de ordem",IF(COUNTA(B681:E681)&lt;&gt;COUNT(B681:E681),"Use preços numéricos",IF(OR(AND(ISNUMBER(B681),B681&lt;=0),AND(ISNUMBER(C681),C681&lt;=0),AND(ISNUMBER(D681),D681&lt;=0),AND(ISNUMBER(E681),E681&lt;=0)),"Use preços positivos","")))))))</f>
        <v/>
      </c>
    </row>
    <row r="682" spans="1:11" ht="22.95" customHeight="1">
      <c r="A682" s="28"/>
      <c r="B682" s="29"/>
      <c r="C682" s="29"/>
      <c r="D682" s="29"/>
      <c r="E682" s="30"/>
      <c r="F682" s="22" t="str">
        <f>IF(OR($A682="",B682="",B682&lt;=0,Séries!Q681=""),"",B682/Séries!Q681-1)</f>
        <v/>
      </c>
      <c r="G682" s="22" t="str">
        <f>IF(OR($A682="",C682="",C682&lt;=0,Séries!R681=""),"",C682/Séries!R681-1)</f>
        <v/>
      </c>
      <c r="H682" s="22" t="str">
        <f>IF(OR($A682="",D682="",D682&lt;=0,Séries!S681=""),"",D682/Séries!S681-1)</f>
        <v/>
      </c>
      <c r="I682" s="22" t="str">
        <f>IF(OR($A682="",E682="",E682&lt;=0,Séries!T681=""),"",E682/Séries!T681-1)</f>
        <v/>
      </c>
      <c r="J682" s="27"/>
      <c r="K682" s="1" t="str">
        <f>IF(COUNTA(A682:E682)=0,"",IF(A682="","Preencha a data",IF(NOT(ISNUMBER(A682)),"Data inválida",IF(OR(A682&lt;36526,A682&gt;73050,A682&lt;&gt;INT(A682)),"Data inválida",IF(A682&lt;=Séries!U681,"Data repetida / fora de ordem",IF(COUNTA(B682:E682)&lt;&gt;COUNT(B682:E682),"Use preços numéricos",IF(OR(AND(ISNUMBER(B682),B682&lt;=0),AND(ISNUMBER(C682),C682&lt;=0),AND(ISNUMBER(D682),D682&lt;=0),AND(ISNUMBER(E682),E682&lt;=0)),"Use preços positivos","")))))))</f>
        <v/>
      </c>
    </row>
    <row r="683" spans="1:11" ht="22.95" customHeight="1">
      <c r="A683" s="28"/>
      <c r="B683" s="29"/>
      <c r="C683" s="29"/>
      <c r="D683" s="29"/>
      <c r="E683" s="30"/>
      <c r="F683" s="22" t="str">
        <f>IF(OR($A683="",B683="",B683&lt;=0,Séries!Q682=""),"",B683/Séries!Q682-1)</f>
        <v/>
      </c>
      <c r="G683" s="22" t="str">
        <f>IF(OR($A683="",C683="",C683&lt;=0,Séries!R682=""),"",C683/Séries!R682-1)</f>
        <v/>
      </c>
      <c r="H683" s="22" t="str">
        <f>IF(OR($A683="",D683="",D683&lt;=0,Séries!S682=""),"",D683/Séries!S682-1)</f>
        <v/>
      </c>
      <c r="I683" s="22" t="str">
        <f>IF(OR($A683="",E683="",E683&lt;=0,Séries!T682=""),"",E683/Séries!T682-1)</f>
        <v/>
      </c>
      <c r="J683" s="27"/>
      <c r="K683" s="1" t="str">
        <f>IF(COUNTA(A683:E683)=0,"",IF(A683="","Preencha a data",IF(NOT(ISNUMBER(A683)),"Data inválida",IF(OR(A683&lt;36526,A683&gt;73050,A683&lt;&gt;INT(A683)),"Data inválida",IF(A683&lt;=Séries!U682,"Data repetida / fora de ordem",IF(COUNTA(B683:E683)&lt;&gt;COUNT(B683:E683),"Use preços numéricos",IF(OR(AND(ISNUMBER(B683),B683&lt;=0),AND(ISNUMBER(C683),C683&lt;=0),AND(ISNUMBER(D683),D683&lt;=0),AND(ISNUMBER(E683),E683&lt;=0)),"Use preços positivos","")))))))</f>
        <v/>
      </c>
    </row>
    <row r="684" spans="1:11" ht="22.95" customHeight="1">
      <c r="A684" s="28"/>
      <c r="B684" s="29"/>
      <c r="C684" s="29"/>
      <c r="D684" s="29"/>
      <c r="E684" s="30"/>
      <c r="F684" s="22" t="str">
        <f>IF(OR($A684="",B684="",B684&lt;=0,Séries!Q683=""),"",B684/Séries!Q683-1)</f>
        <v/>
      </c>
      <c r="G684" s="22" t="str">
        <f>IF(OR($A684="",C684="",C684&lt;=0,Séries!R683=""),"",C684/Séries!R683-1)</f>
        <v/>
      </c>
      <c r="H684" s="22" t="str">
        <f>IF(OR($A684="",D684="",D684&lt;=0,Séries!S683=""),"",D684/Séries!S683-1)</f>
        <v/>
      </c>
      <c r="I684" s="22" t="str">
        <f>IF(OR($A684="",E684="",E684&lt;=0,Séries!T683=""),"",E684/Séries!T683-1)</f>
        <v/>
      </c>
      <c r="J684" s="27"/>
      <c r="K684" s="1" t="str">
        <f>IF(COUNTA(A684:E684)=0,"",IF(A684="","Preencha a data",IF(NOT(ISNUMBER(A684)),"Data inválida",IF(OR(A684&lt;36526,A684&gt;73050,A684&lt;&gt;INT(A684)),"Data inválida",IF(A684&lt;=Séries!U683,"Data repetida / fora de ordem",IF(COUNTA(B684:E684)&lt;&gt;COUNT(B684:E684),"Use preços numéricos",IF(OR(AND(ISNUMBER(B684),B684&lt;=0),AND(ISNUMBER(C684),C684&lt;=0),AND(ISNUMBER(D684),D684&lt;=0),AND(ISNUMBER(E684),E684&lt;=0)),"Use preços positivos","")))))))</f>
        <v/>
      </c>
    </row>
    <row r="685" spans="1:11" ht="22.95" customHeight="1">
      <c r="A685" s="28"/>
      <c r="B685" s="29"/>
      <c r="C685" s="29"/>
      <c r="D685" s="29"/>
      <c r="E685" s="30"/>
      <c r="F685" s="22" t="str">
        <f>IF(OR($A685="",B685="",B685&lt;=0,Séries!Q684=""),"",B685/Séries!Q684-1)</f>
        <v/>
      </c>
      <c r="G685" s="22" t="str">
        <f>IF(OR($A685="",C685="",C685&lt;=0,Séries!R684=""),"",C685/Séries!R684-1)</f>
        <v/>
      </c>
      <c r="H685" s="22" t="str">
        <f>IF(OR($A685="",D685="",D685&lt;=0,Séries!S684=""),"",D685/Séries!S684-1)</f>
        <v/>
      </c>
      <c r="I685" s="22" t="str">
        <f>IF(OR($A685="",E685="",E685&lt;=0,Séries!T684=""),"",E685/Séries!T684-1)</f>
        <v/>
      </c>
      <c r="J685" s="27"/>
      <c r="K685" s="1" t="str">
        <f>IF(COUNTA(A685:E685)=0,"",IF(A685="","Preencha a data",IF(NOT(ISNUMBER(A685)),"Data inválida",IF(OR(A685&lt;36526,A685&gt;73050,A685&lt;&gt;INT(A685)),"Data inválida",IF(A685&lt;=Séries!U684,"Data repetida / fora de ordem",IF(COUNTA(B685:E685)&lt;&gt;COUNT(B685:E685),"Use preços numéricos",IF(OR(AND(ISNUMBER(B685),B685&lt;=0),AND(ISNUMBER(C685),C685&lt;=0),AND(ISNUMBER(D685),D685&lt;=0),AND(ISNUMBER(E685),E685&lt;=0)),"Use preços positivos","")))))))</f>
        <v/>
      </c>
    </row>
    <row r="686" spans="1:11" ht="22.95" customHeight="1">
      <c r="A686" s="28"/>
      <c r="B686" s="29"/>
      <c r="C686" s="29"/>
      <c r="D686" s="29"/>
      <c r="E686" s="30"/>
      <c r="F686" s="22" t="str">
        <f>IF(OR($A686="",B686="",B686&lt;=0,Séries!Q685=""),"",B686/Séries!Q685-1)</f>
        <v/>
      </c>
      <c r="G686" s="22" t="str">
        <f>IF(OR($A686="",C686="",C686&lt;=0,Séries!R685=""),"",C686/Séries!R685-1)</f>
        <v/>
      </c>
      <c r="H686" s="22" t="str">
        <f>IF(OR($A686="",D686="",D686&lt;=0,Séries!S685=""),"",D686/Séries!S685-1)</f>
        <v/>
      </c>
      <c r="I686" s="22" t="str">
        <f>IF(OR($A686="",E686="",E686&lt;=0,Séries!T685=""),"",E686/Séries!T685-1)</f>
        <v/>
      </c>
      <c r="J686" s="27"/>
      <c r="K686" s="1" t="str">
        <f>IF(COUNTA(A686:E686)=0,"",IF(A686="","Preencha a data",IF(NOT(ISNUMBER(A686)),"Data inválida",IF(OR(A686&lt;36526,A686&gt;73050,A686&lt;&gt;INT(A686)),"Data inválida",IF(A686&lt;=Séries!U685,"Data repetida / fora de ordem",IF(COUNTA(B686:E686)&lt;&gt;COUNT(B686:E686),"Use preços numéricos",IF(OR(AND(ISNUMBER(B686),B686&lt;=0),AND(ISNUMBER(C686),C686&lt;=0),AND(ISNUMBER(D686),D686&lt;=0),AND(ISNUMBER(E686),E686&lt;=0)),"Use preços positivos","")))))))</f>
        <v/>
      </c>
    </row>
    <row r="687" spans="1:11" ht="22.95" customHeight="1">
      <c r="A687" s="28"/>
      <c r="B687" s="29"/>
      <c r="C687" s="29"/>
      <c r="D687" s="29"/>
      <c r="E687" s="30"/>
      <c r="F687" s="22" t="str">
        <f>IF(OR($A687="",B687="",B687&lt;=0,Séries!Q686=""),"",B687/Séries!Q686-1)</f>
        <v/>
      </c>
      <c r="G687" s="22" t="str">
        <f>IF(OR($A687="",C687="",C687&lt;=0,Séries!R686=""),"",C687/Séries!R686-1)</f>
        <v/>
      </c>
      <c r="H687" s="22" t="str">
        <f>IF(OR($A687="",D687="",D687&lt;=0,Séries!S686=""),"",D687/Séries!S686-1)</f>
        <v/>
      </c>
      <c r="I687" s="22" t="str">
        <f>IF(OR($A687="",E687="",E687&lt;=0,Séries!T686=""),"",E687/Séries!T686-1)</f>
        <v/>
      </c>
      <c r="J687" s="27"/>
      <c r="K687" s="1" t="str">
        <f>IF(COUNTA(A687:E687)=0,"",IF(A687="","Preencha a data",IF(NOT(ISNUMBER(A687)),"Data inválida",IF(OR(A687&lt;36526,A687&gt;73050,A687&lt;&gt;INT(A687)),"Data inválida",IF(A687&lt;=Séries!U686,"Data repetida / fora de ordem",IF(COUNTA(B687:E687)&lt;&gt;COUNT(B687:E687),"Use preços numéricos",IF(OR(AND(ISNUMBER(B687),B687&lt;=0),AND(ISNUMBER(C687),C687&lt;=0),AND(ISNUMBER(D687),D687&lt;=0),AND(ISNUMBER(E687),E687&lt;=0)),"Use preços positivos","")))))))</f>
        <v/>
      </c>
    </row>
    <row r="688" spans="1:11" ht="22.95" customHeight="1">
      <c r="A688" s="28"/>
      <c r="B688" s="29"/>
      <c r="C688" s="29"/>
      <c r="D688" s="29"/>
      <c r="E688" s="30"/>
      <c r="F688" s="22" t="str">
        <f>IF(OR($A688="",B688="",B688&lt;=0,Séries!Q687=""),"",B688/Séries!Q687-1)</f>
        <v/>
      </c>
      <c r="G688" s="22" t="str">
        <f>IF(OR($A688="",C688="",C688&lt;=0,Séries!R687=""),"",C688/Séries!R687-1)</f>
        <v/>
      </c>
      <c r="H688" s="22" t="str">
        <f>IF(OR($A688="",D688="",D688&lt;=0,Séries!S687=""),"",D688/Séries!S687-1)</f>
        <v/>
      </c>
      <c r="I688" s="22" t="str">
        <f>IF(OR($A688="",E688="",E688&lt;=0,Séries!T687=""),"",E688/Séries!T687-1)</f>
        <v/>
      </c>
      <c r="J688" s="27"/>
      <c r="K688" s="1" t="str">
        <f>IF(COUNTA(A688:E688)=0,"",IF(A688="","Preencha a data",IF(NOT(ISNUMBER(A688)),"Data inválida",IF(OR(A688&lt;36526,A688&gt;73050,A688&lt;&gt;INT(A688)),"Data inválida",IF(A688&lt;=Séries!U687,"Data repetida / fora de ordem",IF(COUNTA(B688:E688)&lt;&gt;COUNT(B688:E688),"Use preços numéricos",IF(OR(AND(ISNUMBER(B688),B688&lt;=0),AND(ISNUMBER(C688),C688&lt;=0),AND(ISNUMBER(D688),D688&lt;=0),AND(ISNUMBER(E688),E688&lt;=0)),"Use preços positivos","")))))))</f>
        <v/>
      </c>
    </row>
    <row r="689" spans="1:11" ht="22.95" customHeight="1">
      <c r="A689" s="28"/>
      <c r="B689" s="29"/>
      <c r="C689" s="29"/>
      <c r="D689" s="29"/>
      <c r="E689" s="30"/>
      <c r="F689" s="22" t="str">
        <f>IF(OR($A689="",B689="",B689&lt;=0,Séries!Q688=""),"",B689/Séries!Q688-1)</f>
        <v/>
      </c>
      <c r="G689" s="22" t="str">
        <f>IF(OR($A689="",C689="",C689&lt;=0,Séries!R688=""),"",C689/Séries!R688-1)</f>
        <v/>
      </c>
      <c r="H689" s="22" t="str">
        <f>IF(OR($A689="",D689="",D689&lt;=0,Séries!S688=""),"",D689/Séries!S688-1)</f>
        <v/>
      </c>
      <c r="I689" s="22" t="str">
        <f>IF(OR($A689="",E689="",E689&lt;=0,Séries!T688=""),"",E689/Séries!T688-1)</f>
        <v/>
      </c>
      <c r="J689" s="27"/>
      <c r="K689" s="1" t="str">
        <f>IF(COUNTA(A689:E689)=0,"",IF(A689="","Preencha a data",IF(NOT(ISNUMBER(A689)),"Data inválida",IF(OR(A689&lt;36526,A689&gt;73050,A689&lt;&gt;INT(A689)),"Data inválida",IF(A689&lt;=Séries!U688,"Data repetida / fora de ordem",IF(COUNTA(B689:E689)&lt;&gt;COUNT(B689:E689),"Use preços numéricos",IF(OR(AND(ISNUMBER(B689),B689&lt;=0),AND(ISNUMBER(C689),C689&lt;=0),AND(ISNUMBER(D689),D689&lt;=0),AND(ISNUMBER(E689),E689&lt;=0)),"Use preços positivos","")))))))</f>
        <v/>
      </c>
    </row>
    <row r="690" spans="1:11" ht="22.95" customHeight="1">
      <c r="A690" s="28"/>
      <c r="B690" s="29"/>
      <c r="C690" s="29"/>
      <c r="D690" s="29"/>
      <c r="E690" s="30"/>
      <c r="F690" s="22" t="str">
        <f>IF(OR($A690="",B690="",B690&lt;=0,Séries!Q689=""),"",B690/Séries!Q689-1)</f>
        <v/>
      </c>
      <c r="G690" s="22" t="str">
        <f>IF(OR($A690="",C690="",C690&lt;=0,Séries!R689=""),"",C690/Séries!R689-1)</f>
        <v/>
      </c>
      <c r="H690" s="22" t="str">
        <f>IF(OR($A690="",D690="",D690&lt;=0,Séries!S689=""),"",D690/Séries!S689-1)</f>
        <v/>
      </c>
      <c r="I690" s="22" t="str">
        <f>IF(OR($A690="",E690="",E690&lt;=0,Séries!T689=""),"",E690/Séries!T689-1)</f>
        <v/>
      </c>
      <c r="J690" s="27"/>
      <c r="K690" s="1" t="str">
        <f>IF(COUNTA(A690:E690)=0,"",IF(A690="","Preencha a data",IF(NOT(ISNUMBER(A690)),"Data inválida",IF(OR(A690&lt;36526,A690&gt;73050,A690&lt;&gt;INT(A690)),"Data inválida",IF(A690&lt;=Séries!U689,"Data repetida / fora de ordem",IF(COUNTA(B690:E690)&lt;&gt;COUNT(B690:E690),"Use preços numéricos",IF(OR(AND(ISNUMBER(B690),B690&lt;=0),AND(ISNUMBER(C690),C690&lt;=0),AND(ISNUMBER(D690),D690&lt;=0),AND(ISNUMBER(E690),E690&lt;=0)),"Use preços positivos","")))))))</f>
        <v/>
      </c>
    </row>
    <row r="691" spans="1:11" ht="22.95" customHeight="1">
      <c r="A691" s="28"/>
      <c r="B691" s="29"/>
      <c r="C691" s="29"/>
      <c r="D691" s="29"/>
      <c r="E691" s="30"/>
      <c r="F691" s="22" t="str">
        <f>IF(OR($A691="",B691="",B691&lt;=0,Séries!Q690=""),"",B691/Séries!Q690-1)</f>
        <v/>
      </c>
      <c r="G691" s="22" t="str">
        <f>IF(OR($A691="",C691="",C691&lt;=0,Séries!R690=""),"",C691/Séries!R690-1)</f>
        <v/>
      </c>
      <c r="H691" s="22" t="str">
        <f>IF(OR($A691="",D691="",D691&lt;=0,Séries!S690=""),"",D691/Séries!S690-1)</f>
        <v/>
      </c>
      <c r="I691" s="22" t="str">
        <f>IF(OR($A691="",E691="",E691&lt;=0,Séries!T690=""),"",E691/Séries!T690-1)</f>
        <v/>
      </c>
      <c r="J691" s="27"/>
      <c r="K691" s="1" t="str">
        <f>IF(COUNTA(A691:E691)=0,"",IF(A691="","Preencha a data",IF(NOT(ISNUMBER(A691)),"Data inválida",IF(OR(A691&lt;36526,A691&gt;73050,A691&lt;&gt;INT(A691)),"Data inválida",IF(A691&lt;=Séries!U690,"Data repetida / fora de ordem",IF(COUNTA(B691:E691)&lt;&gt;COUNT(B691:E691),"Use preços numéricos",IF(OR(AND(ISNUMBER(B691),B691&lt;=0),AND(ISNUMBER(C691),C691&lt;=0),AND(ISNUMBER(D691),D691&lt;=0),AND(ISNUMBER(E691),E691&lt;=0)),"Use preços positivos","")))))))</f>
        <v/>
      </c>
    </row>
    <row r="692" spans="1:11" ht="22.95" customHeight="1">
      <c r="A692" s="28"/>
      <c r="B692" s="29"/>
      <c r="C692" s="29"/>
      <c r="D692" s="29"/>
      <c r="E692" s="30"/>
      <c r="F692" s="22" t="str">
        <f>IF(OR($A692="",B692="",B692&lt;=0,Séries!Q691=""),"",B692/Séries!Q691-1)</f>
        <v/>
      </c>
      <c r="G692" s="22" t="str">
        <f>IF(OR($A692="",C692="",C692&lt;=0,Séries!R691=""),"",C692/Séries!R691-1)</f>
        <v/>
      </c>
      <c r="H692" s="22" t="str">
        <f>IF(OR($A692="",D692="",D692&lt;=0,Séries!S691=""),"",D692/Séries!S691-1)</f>
        <v/>
      </c>
      <c r="I692" s="22" t="str">
        <f>IF(OR($A692="",E692="",E692&lt;=0,Séries!T691=""),"",E692/Séries!T691-1)</f>
        <v/>
      </c>
      <c r="J692" s="27"/>
      <c r="K692" s="1" t="str">
        <f>IF(COUNTA(A692:E692)=0,"",IF(A692="","Preencha a data",IF(NOT(ISNUMBER(A692)),"Data inválida",IF(OR(A692&lt;36526,A692&gt;73050,A692&lt;&gt;INT(A692)),"Data inválida",IF(A692&lt;=Séries!U691,"Data repetida / fora de ordem",IF(COUNTA(B692:E692)&lt;&gt;COUNT(B692:E692),"Use preços numéricos",IF(OR(AND(ISNUMBER(B692),B692&lt;=0),AND(ISNUMBER(C692),C692&lt;=0),AND(ISNUMBER(D692),D692&lt;=0),AND(ISNUMBER(E692),E692&lt;=0)),"Use preços positivos","")))))))</f>
        <v/>
      </c>
    </row>
    <row r="693" spans="1:11" ht="22.95" customHeight="1">
      <c r="A693" s="28"/>
      <c r="B693" s="29"/>
      <c r="C693" s="29"/>
      <c r="D693" s="29"/>
      <c r="E693" s="30"/>
      <c r="F693" s="22" t="str">
        <f>IF(OR($A693="",B693="",B693&lt;=0,Séries!Q692=""),"",B693/Séries!Q692-1)</f>
        <v/>
      </c>
      <c r="G693" s="22" t="str">
        <f>IF(OR($A693="",C693="",C693&lt;=0,Séries!R692=""),"",C693/Séries!R692-1)</f>
        <v/>
      </c>
      <c r="H693" s="22" t="str">
        <f>IF(OR($A693="",D693="",D693&lt;=0,Séries!S692=""),"",D693/Séries!S692-1)</f>
        <v/>
      </c>
      <c r="I693" s="22" t="str">
        <f>IF(OR($A693="",E693="",E693&lt;=0,Séries!T692=""),"",E693/Séries!T692-1)</f>
        <v/>
      </c>
      <c r="J693" s="27"/>
      <c r="K693" s="1" t="str">
        <f>IF(COUNTA(A693:E693)=0,"",IF(A693="","Preencha a data",IF(NOT(ISNUMBER(A693)),"Data inválida",IF(OR(A693&lt;36526,A693&gt;73050,A693&lt;&gt;INT(A693)),"Data inválida",IF(A693&lt;=Séries!U692,"Data repetida / fora de ordem",IF(COUNTA(B693:E693)&lt;&gt;COUNT(B693:E693),"Use preços numéricos",IF(OR(AND(ISNUMBER(B693),B693&lt;=0),AND(ISNUMBER(C693),C693&lt;=0),AND(ISNUMBER(D693),D693&lt;=0),AND(ISNUMBER(E693),E693&lt;=0)),"Use preços positivos","")))))))</f>
        <v/>
      </c>
    </row>
    <row r="694" spans="1:11" ht="22.95" customHeight="1">
      <c r="A694" s="28"/>
      <c r="B694" s="29"/>
      <c r="C694" s="29"/>
      <c r="D694" s="29"/>
      <c r="E694" s="30"/>
      <c r="F694" s="22" t="str">
        <f>IF(OR($A694="",B694="",B694&lt;=0,Séries!Q693=""),"",B694/Séries!Q693-1)</f>
        <v/>
      </c>
      <c r="G694" s="22" t="str">
        <f>IF(OR($A694="",C694="",C694&lt;=0,Séries!R693=""),"",C694/Séries!R693-1)</f>
        <v/>
      </c>
      <c r="H694" s="22" t="str">
        <f>IF(OR($A694="",D694="",D694&lt;=0,Séries!S693=""),"",D694/Séries!S693-1)</f>
        <v/>
      </c>
      <c r="I694" s="22" t="str">
        <f>IF(OR($A694="",E694="",E694&lt;=0,Séries!T693=""),"",E694/Séries!T693-1)</f>
        <v/>
      </c>
      <c r="J694" s="27"/>
      <c r="K694" s="1" t="str">
        <f>IF(COUNTA(A694:E694)=0,"",IF(A694="","Preencha a data",IF(NOT(ISNUMBER(A694)),"Data inválida",IF(OR(A694&lt;36526,A694&gt;73050,A694&lt;&gt;INT(A694)),"Data inválida",IF(A694&lt;=Séries!U693,"Data repetida / fora de ordem",IF(COUNTA(B694:E694)&lt;&gt;COUNT(B694:E694),"Use preços numéricos",IF(OR(AND(ISNUMBER(B694),B694&lt;=0),AND(ISNUMBER(C694),C694&lt;=0),AND(ISNUMBER(D694),D694&lt;=0),AND(ISNUMBER(E694),E694&lt;=0)),"Use preços positivos","")))))))</f>
        <v/>
      </c>
    </row>
    <row r="695" spans="1:11" ht="22.95" customHeight="1">
      <c r="A695" s="28"/>
      <c r="B695" s="29"/>
      <c r="C695" s="29"/>
      <c r="D695" s="29"/>
      <c r="E695" s="30"/>
      <c r="F695" s="22" t="str">
        <f>IF(OR($A695="",B695="",B695&lt;=0,Séries!Q694=""),"",B695/Séries!Q694-1)</f>
        <v/>
      </c>
      <c r="G695" s="22" t="str">
        <f>IF(OR($A695="",C695="",C695&lt;=0,Séries!R694=""),"",C695/Séries!R694-1)</f>
        <v/>
      </c>
      <c r="H695" s="22" t="str">
        <f>IF(OR($A695="",D695="",D695&lt;=0,Séries!S694=""),"",D695/Séries!S694-1)</f>
        <v/>
      </c>
      <c r="I695" s="22" t="str">
        <f>IF(OR($A695="",E695="",E695&lt;=0,Séries!T694=""),"",E695/Séries!T694-1)</f>
        <v/>
      </c>
      <c r="J695" s="27"/>
      <c r="K695" s="1" t="str">
        <f>IF(COUNTA(A695:E695)=0,"",IF(A695="","Preencha a data",IF(NOT(ISNUMBER(A695)),"Data inválida",IF(OR(A695&lt;36526,A695&gt;73050,A695&lt;&gt;INT(A695)),"Data inválida",IF(A695&lt;=Séries!U694,"Data repetida / fora de ordem",IF(COUNTA(B695:E695)&lt;&gt;COUNT(B695:E695),"Use preços numéricos",IF(OR(AND(ISNUMBER(B695),B695&lt;=0),AND(ISNUMBER(C695),C695&lt;=0),AND(ISNUMBER(D695),D695&lt;=0),AND(ISNUMBER(E695),E695&lt;=0)),"Use preços positivos","")))))))</f>
        <v/>
      </c>
    </row>
    <row r="696" spans="1:11" ht="22.95" customHeight="1">
      <c r="A696" s="28"/>
      <c r="B696" s="29"/>
      <c r="C696" s="29"/>
      <c r="D696" s="29"/>
      <c r="E696" s="30"/>
      <c r="F696" s="22" t="str">
        <f>IF(OR($A696="",B696="",B696&lt;=0,Séries!Q695=""),"",B696/Séries!Q695-1)</f>
        <v/>
      </c>
      <c r="G696" s="22" t="str">
        <f>IF(OR($A696="",C696="",C696&lt;=0,Séries!R695=""),"",C696/Séries!R695-1)</f>
        <v/>
      </c>
      <c r="H696" s="22" t="str">
        <f>IF(OR($A696="",D696="",D696&lt;=0,Séries!S695=""),"",D696/Séries!S695-1)</f>
        <v/>
      </c>
      <c r="I696" s="22" t="str">
        <f>IF(OR($A696="",E696="",E696&lt;=0,Séries!T695=""),"",E696/Séries!T695-1)</f>
        <v/>
      </c>
      <c r="J696" s="27"/>
      <c r="K696" s="1" t="str">
        <f>IF(COUNTA(A696:E696)=0,"",IF(A696="","Preencha a data",IF(NOT(ISNUMBER(A696)),"Data inválida",IF(OR(A696&lt;36526,A696&gt;73050,A696&lt;&gt;INT(A696)),"Data inválida",IF(A696&lt;=Séries!U695,"Data repetida / fora de ordem",IF(COUNTA(B696:E696)&lt;&gt;COUNT(B696:E696),"Use preços numéricos",IF(OR(AND(ISNUMBER(B696),B696&lt;=0),AND(ISNUMBER(C696),C696&lt;=0),AND(ISNUMBER(D696),D696&lt;=0),AND(ISNUMBER(E696),E696&lt;=0)),"Use preços positivos","")))))))</f>
        <v/>
      </c>
    </row>
    <row r="697" spans="1:11" ht="22.95" customHeight="1">
      <c r="A697" s="28"/>
      <c r="B697" s="29"/>
      <c r="C697" s="29"/>
      <c r="D697" s="29"/>
      <c r="E697" s="30"/>
      <c r="F697" s="22" t="str">
        <f>IF(OR($A697="",B697="",B697&lt;=0,Séries!Q696=""),"",B697/Séries!Q696-1)</f>
        <v/>
      </c>
      <c r="G697" s="22" t="str">
        <f>IF(OR($A697="",C697="",C697&lt;=0,Séries!R696=""),"",C697/Séries!R696-1)</f>
        <v/>
      </c>
      <c r="H697" s="22" t="str">
        <f>IF(OR($A697="",D697="",D697&lt;=0,Séries!S696=""),"",D697/Séries!S696-1)</f>
        <v/>
      </c>
      <c r="I697" s="22" t="str">
        <f>IF(OR($A697="",E697="",E697&lt;=0,Séries!T696=""),"",E697/Séries!T696-1)</f>
        <v/>
      </c>
      <c r="J697" s="27"/>
      <c r="K697" s="1" t="str">
        <f>IF(COUNTA(A697:E697)=0,"",IF(A697="","Preencha a data",IF(NOT(ISNUMBER(A697)),"Data inválida",IF(OR(A697&lt;36526,A697&gt;73050,A697&lt;&gt;INT(A697)),"Data inválida",IF(A697&lt;=Séries!U696,"Data repetida / fora de ordem",IF(COUNTA(B697:E697)&lt;&gt;COUNT(B697:E697),"Use preços numéricos",IF(OR(AND(ISNUMBER(B697),B697&lt;=0),AND(ISNUMBER(C697),C697&lt;=0),AND(ISNUMBER(D697),D697&lt;=0),AND(ISNUMBER(E697),E697&lt;=0)),"Use preços positivos","")))))))</f>
        <v/>
      </c>
    </row>
    <row r="698" spans="1:11" ht="22.95" customHeight="1">
      <c r="A698" s="28"/>
      <c r="B698" s="29"/>
      <c r="C698" s="29"/>
      <c r="D698" s="29"/>
      <c r="E698" s="30"/>
      <c r="F698" s="22" t="str">
        <f>IF(OR($A698="",B698="",B698&lt;=0,Séries!Q697=""),"",B698/Séries!Q697-1)</f>
        <v/>
      </c>
      <c r="G698" s="22" t="str">
        <f>IF(OR($A698="",C698="",C698&lt;=0,Séries!R697=""),"",C698/Séries!R697-1)</f>
        <v/>
      </c>
      <c r="H698" s="22" t="str">
        <f>IF(OR($A698="",D698="",D698&lt;=0,Séries!S697=""),"",D698/Séries!S697-1)</f>
        <v/>
      </c>
      <c r="I698" s="22" t="str">
        <f>IF(OR($A698="",E698="",E698&lt;=0,Séries!T697=""),"",E698/Séries!T697-1)</f>
        <v/>
      </c>
      <c r="J698" s="27"/>
      <c r="K698" s="1" t="str">
        <f>IF(COUNTA(A698:E698)=0,"",IF(A698="","Preencha a data",IF(NOT(ISNUMBER(A698)),"Data inválida",IF(OR(A698&lt;36526,A698&gt;73050,A698&lt;&gt;INT(A698)),"Data inválida",IF(A698&lt;=Séries!U697,"Data repetida / fora de ordem",IF(COUNTA(B698:E698)&lt;&gt;COUNT(B698:E698),"Use preços numéricos",IF(OR(AND(ISNUMBER(B698),B698&lt;=0),AND(ISNUMBER(C698),C698&lt;=0),AND(ISNUMBER(D698),D698&lt;=0),AND(ISNUMBER(E698),E698&lt;=0)),"Use preços positivos","")))))))</f>
        <v/>
      </c>
    </row>
    <row r="699" spans="1:11" ht="22.95" customHeight="1">
      <c r="A699" s="28"/>
      <c r="B699" s="29"/>
      <c r="C699" s="29"/>
      <c r="D699" s="29"/>
      <c r="E699" s="30"/>
      <c r="F699" s="22" t="str">
        <f>IF(OR($A699="",B699="",B699&lt;=0,Séries!Q698=""),"",B699/Séries!Q698-1)</f>
        <v/>
      </c>
      <c r="G699" s="22" t="str">
        <f>IF(OR($A699="",C699="",C699&lt;=0,Séries!R698=""),"",C699/Séries!R698-1)</f>
        <v/>
      </c>
      <c r="H699" s="22" t="str">
        <f>IF(OR($A699="",D699="",D699&lt;=0,Séries!S698=""),"",D699/Séries!S698-1)</f>
        <v/>
      </c>
      <c r="I699" s="22" t="str">
        <f>IF(OR($A699="",E699="",E699&lt;=0,Séries!T698=""),"",E699/Séries!T698-1)</f>
        <v/>
      </c>
      <c r="J699" s="27"/>
      <c r="K699" s="1" t="str">
        <f>IF(COUNTA(A699:E699)=0,"",IF(A699="","Preencha a data",IF(NOT(ISNUMBER(A699)),"Data inválida",IF(OR(A699&lt;36526,A699&gt;73050,A699&lt;&gt;INT(A699)),"Data inválida",IF(A699&lt;=Séries!U698,"Data repetida / fora de ordem",IF(COUNTA(B699:E699)&lt;&gt;COUNT(B699:E699),"Use preços numéricos",IF(OR(AND(ISNUMBER(B699),B699&lt;=0),AND(ISNUMBER(C699),C699&lt;=0),AND(ISNUMBER(D699),D699&lt;=0),AND(ISNUMBER(E699),E699&lt;=0)),"Use preços positivos","")))))))</f>
        <v/>
      </c>
    </row>
    <row r="700" spans="1:11" ht="22.95" customHeight="1">
      <c r="A700" s="28"/>
      <c r="B700" s="29"/>
      <c r="C700" s="29"/>
      <c r="D700" s="29"/>
      <c r="E700" s="30"/>
      <c r="F700" s="22" t="str">
        <f>IF(OR($A700="",B700="",B700&lt;=0,Séries!Q699=""),"",B700/Séries!Q699-1)</f>
        <v/>
      </c>
      <c r="G700" s="22" t="str">
        <f>IF(OR($A700="",C700="",C700&lt;=0,Séries!R699=""),"",C700/Séries!R699-1)</f>
        <v/>
      </c>
      <c r="H700" s="22" t="str">
        <f>IF(OR($A700="",D700="",D700&lt;=0,Séries!S699=""),"",D700/Séries!S699-1)</f>
        <v/>
      </c>
      <c r="I700" s="22" t="str">
        <f>IF(OR($A700="",E700="",E700&lt;=0,Séries!T699=""),"",E700/Séries!T699-1)</f>
        <v/>
      </c>
      <c r="J700" s="27"/>
      <c r="K700" s="1" t="str">
        <f>IF(COUNTA(A700:E700)=0,"",IF(A700="","Preencha a data",IF(NOT(ISNUMBER(A700)),"Data inválida",IF(OR(A700&lt;36526,A700&gt;73050,A700&lt;&gt;INT(A700)),"Data inválida",IF(A700&lt;=Séries!U699,"Data repetida / fora de ordem",IF(COUNTA(B700:E700)&lt;&gt;COUNT(B700:E700),"Use preços numéricos",IF(OR(AND(ISNUMBER(B700),B700&lt;=0),AND(ISNUMBER(C700),C700&lt;=0),AND(ISNUMBER(D700),D700&lt;=0),AND(ISNUMBER(E700),E700&lt;=0)),"Use preços positivos","")))))))</f>
        <v/>
      </c>
    </row>
    <row r="701" spans="1:11" ht="22.95" customHeight="1">
      <c r="A701" s="28"/>
      <c r="B701" s="29"/>
      <c r="C701" s="29"/>
      <c r="D701" s="29"/>
      <c r="E701" s="30"/>
      <c r="F701" s="22" t="str">
        <f>IF(OR($A701="",B701="",B701&lt;=0,Séries!Q700=""),"",B701/Séries!Q700-1)</f>
        <v/>
      </c>
      <c r="G701" s="22" t="str">
        <f>IF(OR($A701="",C701="",C701&lt;=0,Séries!R700=""),"",C701/Séries!R700-1)</f>
        <v/>
      </c>
      <c r="H701" s="22" t="str">
        <f>IF(OR($A701="",D701="",D701&lt;=0,Séries!S700=""),"",D701/Séries!S700-1)</f>
        <v/>
      </c>
      <c r="I701" s="22" t="str">
        <f>IF(OR($A701="",E701="",E701&lt;=0,Séries!T700=""),"",E701/Séries!T700-1)</f>
        <v/>
      </c>
      <c r="J701" s="27"/>
      <c r="K701" s="1" t="str">
        <f>IF(COUNTA(A701:E701)=0,"",IF(A701="","Preencha a data",IF(NOT(ISNUMBER(A701)),"Data inválida",IF(OR(A701&lt;36526,A701&gt;73050,A701&lt;&gt;INT(A701)),"Data inválida",IF(A701&lt;=Séries!U700,"Data repetida / fora de ordem",IF(COUNTA(B701:E701)&lt;&gt;COUNT(B701:E701),"Use preços numéricos",IF(OR(AND(ISNUMBER(B701),B701&lt;=0),AND(ISNUMBER(C701),C701&lt;=0),AND(ISNUMBER(D701),D701&lt;=0),AND(ISNUMBER(E701),E701&lt;=0)),"Use preços positivos","")))))))</f>
        <v/>
      </c>
    </row>
    <row r="702" spans="1:11" ht="22.95" customHeight="1">
      <c r="A702" s="28"/>
      <c r="B702" s="29"/>
      <c r="C702" s="29"/>
      <c r="D702" s="29"/>
      <c r="E702" s="30"/>
      <c r="F702" s="22" t="str">
        <f>IF(OR($A702="",B702="",B702&lt;=0,Séries!Q701=""),"",B702/Séries!Q701-1)</f>
        <v/>
      </c>
      <c r="G702" s="22" t="str">
        <f>IF(OR($A702="",C702="",C702&lt;=0,Séries!R701=""),"",C702/Séries!R701-1)</f>
        <v/>
      </c>
      <c r="H702" s="22" t="str">
        <f>IF(OR($A702="",D702="",D702&lt;=0,Séries!S701=""),"",D702/Séries!S701-1)</f>
        <v/>
      </c>
      <c r="I702" s="22" t="str">
        <f>IF(OR($A702="",E702="",E702&lt;=0,Séries!T701=""),"",E702/Séries!T701-1)</f>
        <v/>
      </c>
      <c r="J702" s="27"/>
      <c r="K702" s="1" t="str">
        <f>IF(COUNTA(A702:E702)=0,"",IF(A702="","Preencha a data",IF(NOT(ISNUMBER(A702)),"Data inválida",IF(OR(A702&lt;36526,A702&gt;73050,A702&lt;&gt;INT(A702)),"Data inválida",IF(A702&lt;=Séries!U701,"Data repetida / fora de ordem",IF(COUNTA(B702:E702)&lt;&gt;COUNT(B702:E702),"Use preços numéricos",IF(OR(AND(ISNUMBER(B702),B702&lt;=0),AND(ISNUMBER(C702),C702&lt;=0),AND(ISNUMBER(D702),D702&lt;=0),AND(ISNUMBER(E702),E702&lt;=0)),"Use preços positivos","")))))))</f>
        <v/>
      </c>
    </row>
    <row r="703" spans="1:11" ht="22.95" customHeight="1">
      <c r="A703" s="28"/>
      <c r="B703" s="29"/>
      <c r="C703" s="29"/>
      <c r="D703" s="29"/>
      <c r="E703" s="30"/>
      <c r="F703" s="22" t="str">
        <f>IF(OR($A703="",B703="",B703&lt;=0,Séries!Q702=""),"",B703/Séries!Q702-1)</f>
        <v/>
      </c>
      <c r="G703" s="22" t="str">
        <f>IF(OR($A703="",C703="",C703&lt;=0,Séries!R702=""),"",C703/Séries!R702-1)</f>
        <v/>
      </c>
      <c r="H703" s="22" t="str">
        <f>IF(OR($A703="",D703="",D703&lt;=0,Séries!S702=""),"",D703/Séries!S702-1)</f>
        <v/>
      </c>
      <c r="I703" s="22" t="str">
        <f>IF(OR($A703="",E703="",E703&lt;=0,Séries!T702=""),"",E703/Séries!T702-1)</f>
        <v/>
      </c>
      <c r="J703" s="27"/>
      <c r="K703" s="1" t="str">
        <f>IF(COUNTA(A703:E703)=0,"",IF(A703="","Preencha a data",IF(NOT(ISNUMBER(A703)),"Data inválida",IF(OR(A703&lt;36526,A703&gt;73050,A703&lt;&gt;INT(A703)),"Data inválida",IF(A703&lt;=Séries!U702,"Data repetida / fora de ordem",IF(COUNTA(B703:E703)&lt;&gt;COUNT(B703:E703),"Use preços numéricos",IF(OR(AND(ISNUMBER(B703),B703&lt;=0),AND(ISNUMBER(C703),C703&lt;=0),AND(ISNUMBER(D703),D703&lt;=0),AND(ISNUMBER(E703),E703&lt;=0)),"Use preços positivos","")))))))</f>
        <v/>
      </c>
    </row>
    <row r="704" spans="1:11" ht="22.95" customHeight="1">
      <c r="A704" s="28"/>
      <c r="B704" s="29"/>
      <c r="C704" s="29"/>
      <c r="D704" s="29"/>
      <c r="E704" s="30"/>
      <c r="F704" s="22" t="str">
        <f>IF(OR($A704="",B704="",B704&lt;=0,Séries!Q703=""),"",B704/Séries!Q703-1)</f>
        <v/>
      </c>
      <c r="G704" s="22" t="str">
        <f>IF(OR($A704="",C704="",C704&lt;=0,Séries!R703=""),"",C704/Séries!R703-1)</f>
        <v/>
      </c>
      <c r="H704" s="22" t="str">
        <f>IF(OR($A704="",D704="",D704&lt;=0,Séries!S703=""),"",D704/Séries!S703-1)</f>
        <v/>
      </c>
      <c r="I704" s="22" t="str">
        <f>IF(OR($A704="",E704="",E704&lt;=0,Séries!T703=""),"",E704/Séries!T703-1)</f>
        <v/>
      </c>
      <c r="J704" s="27"/>
      <c r="K704" s="1" t="str">
        <f>IF(COUNTA(A704:E704)=0,"",IF(A704="","Preencha a data",IF(NOT(ISNUMBER(A704)),"Data inválida",IF(OR(A704&lt;36526,A704&gt;73050,A704&lt;&gt;INT(A704)),"Data inválida",IF(A704&lt;=Séries!U703,"Data repetida / fora de ordem",IF(COUNTA(B704:E704)&lt;&gt;COUNT(B704:E704),"Use preços numéricos",IF(OR(AND(ISNUMBER(B704),B704&lt;=0),AND(ISNUMBER(C704),C704&lt;=0),AND(ISNUMBER(D704),D704&lt;=0),AND(ISNUMBER(E704),E704&lt;=0)),"Use preços positivos","")))))))</f>
        <v/>
      </c>
    </row>
    <row r="705" spans="1:11" ht="22.95" customHeight="1">
      <c r="A705" s="28"/>
      <c r="B705" s="29"/>
      <c r="C705" s="29"/>
      <c r="D705" s="29"/>
      <c r="E705" s="30"/>
      <c r="F705" s="22" t="str">
        <f>IF(OR($A705="",B705="",B705&lt;=0,Séries!Q704=""),"",B705/Séries!Q704-1)</f>
        <v/>
      </c>
      <c r="G705" s="22" t="str">
        <f>IF(OR($A705="",C705="",C705&lt;=0,Séries!R704=""),"",C705/Séries!R704-1)</f>
        <v/>
      </c>
      <c r="H705" s="22" t="str">
        <f>IF(OR($A705="",D705="",D705&lt;=0,Séries!S704=""),"",D705/Séries!S704-1)</f>
        <v/>
      </c>
      <c r="I705" s="22" t="str">
        <f>IF(OR($A705="",E705="",E705&lt;=0,Séries!T704=""),"",E705/Séries!T704-1)</f>
        <v/>
      </c>
      <c r="J705" s="27"/>
      <c r="K705" s="1" t="str">
        <f>IF(COUNTA(A705:E705)=0,"",IF(A705="","Preencha a data",IF(NOT(ISNUMBER(A705)),"Data inválida",IF(OR(A705&lt;36526,A705&gt;73050,A705&lt;&gt;INT(A705)),"Data inválida",IF(A705&lt;=Séries!U704,"Data repetida / fora de ordem",IF(COUNTA(B705:E705)&lt;&gt;COUNT(B705:E705),"Use preços numéricos",IF(OR(AND(ISNUMBER(B705),B705&lt;=0),AND(ISNUMBER(C705),C705&lt;=0),AND(ISNUMBER(D705),D705&lt;=0),AND(ISNUMBER(E705),E705&lt;=0)),"Use preços positivos","")))))))</f>
        <v/>
      </c>
    </row>
    <row r="706" spans="1:11" ht="22.95" customHeight="1">
      <c r="A706" s="28"/>
      <c r="B706" s="29"/>
      <c r="C706" s="29"/>
      <c r="D706" s="29"/>
      <c r="E706" s="30"/>
      <c r="F706" s="22" t="str">
        <f>IF(OR($A706="",B706="",B706&lt;=0,Séries!Q705=""),"",B706/Séries!Q705-1)</f>
        <v/>
      </c>
      <c r="G706" s="22" t="str">
        <f>IF(OR($A706="",C706="",C706&lt;=0,Séries!R705=""),"",C706/Séries!R705-1)</f>
        <v/>
      </c>
      <c r="H706" s="22" t="str">
        <f>IF(OR($A706="",D706="",D706&lt;=0,Séries!S705=""),"",D706/Séries!S705-1)</f>
        <v/>
      </c>
      <c r="I706" s="22" t="str">
        <f>IF(OR($A706="",E706="",E706&lt;=0,Séries!T705=""),"",E706/Séries!T705-1)</f>
        <v/>
      </c>
      <c r="J706" s="27"/>
      <c r="K706" s="1" t="str">
        <f>IF(COUNTA(A706:E706)=0,"",IF(A706="","Preencha a data",IF(NOT(ISNUMBER(A706)),"Data inválida",IF(OR(A706&lt;36526,A706&gt;73050,A706&lt;&gt;INT(A706)),"Data inválida",IF(A706&lt;=Séries!U705,"Data repetida / fora de ordem",IF(COUNTA(B706:E706)&lt;&gt;COUNT(B706:E706),"Use preços numéricos",IF(OR(AND(ISNUMBER(B706),B706&lt;=0),AND(ISNUMBER(C706),C706&lt;=0),AND(ISNUMBER(D706),D706&lt;=0),AND(ISNUMBER(E706),E706&lt;=0)),"Use preços positivos","")))))))</f>
        <v/>
      </c>
    </row>
    <row r="707" spans="1:11" ht="22.95" customHeight="1">
      <c r="A707" s="28"/>
      <c r="B707" s="29"/>
      <c r="C707" s="29"/>
      <c r="D707" s="29"/>
      <c r="E707" s="30"/>
      <c r="F707" s="22" t="str">
        <f>IF(OR($A707="",B707="",B707&lt;=0,Séries!Q706=""),"",B707/Séries!Q706-1)</f>
        <v/>
      </c>
      <c r="G707" s="22" t="str">
        <f>IF(OR($A707="",C707="",C707&lt;=0,Séries!R706=""),"",C707/Séries!R706-1)</f>
        <v/>
      </c>
      <c r="H707" s="22" t="str">
        <f>IF(OR($A707="",D707="",D707&lt;=0,Séries!S706=""),"",D707/Séries!S706-1)</f>
        <v/>
      </c>
      <c r="I707" s="22" t="str">
        <f>IF(OR($A707="",E707="",E707&lt;=0,Séries!T706=""),"",E707/Séries!T706-1)</f>
        <v/>
      </c>
      <c r="J707" s="27"/>
      <c r="K707" s="1" t="str">
        <f>IF(COUNTA(A707:E707)=0,"",IF(A707="","Preencha a data",IF(NOT(ISNUMBER(A707)),"Data inválida",IF(OR(A707&lt;36526,A707&gt;73050,A707&lt;&gt;INT(A707)),"Data inválida",IF(A707&lt;=Séries!U706,"Data repetida / fora de ordem",IF(COUNTA(B707:E707)&lt;&gt;COUNT(B707:E707),"Use preços numéricos",IF(OR(AND(ISNUMBER(B707),B707&lt;=0),AND(ISNUMBER(C707),C707&lt;=0),AND(ISNUMBER(D707),D707&lt;=0),AND(ISNUMBER(E707),E707&lt;=0)),"Use preços positivos","")))))))</f>
        <v/>
      </c>
    </row>
    <row r="708" spans="1:11" ht="22.95" customHeight="1">
      <c r="A708" s="28"/>
      <c r="B708" s="29"/>
      <c r="C708" s="29"/>
      <c r="D708" s="29"/>
      <c r="E708" s="30"/>
      <c r="F708" s="22" t="str">
        <f>IF(OR($A708="",B708="",B708&lt;=0,Séries!Q707=""),"",B708/Séries!Q707-1)</f>
        <v/>
      </c>
      <c r="G708" s="22" t="str">
        <f>IF(OR($A708="",C708="",C708&lt;=0,Séries!R707=""),"",C708/Séries!R707-1)</f>
        <v/>
      </c>
      <c r="H708" s="22" t="str">
        <f>IF(OR($A708="",D708="",D708&lt;=0,Séries!S707=""),"",D708/Séries!S707-1)</f>
        <v/>
      </c>
      <c r="I708" s="22" t="str">
        <f>IF(OR($A708="",E708="",E708&lt;=0,Séries!T707=""),"",E708/Séries!T707-1)</f>
        <v/>
      </c>
      <c r="J708" s="27"/>
      <c r="K708" s="1" t="str">
        <f>IF(COUNTA(A708:E708)=0,"",IF(A708="","Preencha a data",IF(NOT(ISNUMBER(A708)),"Data inválida",IF(OR(A708&lt;36526,A708&gt;73050,A708&lt;&gt;INT(A708)),"Data inválida",IF(A708&lt;=Séries!U707,"Data repetida / fora de ordem",IF(COUNTA(B708:E708)&lt;&gt;COUNT(B708:E708),"Use preços numéricos",IF(OR(AND(ISNUMBER(B708),B708&lt;=0),AND(ISNUMBER(C708),C708&lt;=0),AND(ISNUMBER(D708),D708&lt;=0),AND(ISNUMBER(E708),E708&lt;=0)),"Use preços positivos","")))))))</f>
        <v/>
      </c>
    </row>
    <row r="709" spans="1:11" ht="22.95" customHeight="1">
      <c r="A709" s="28"/>
      <c r="B709" s="29"/>
      <c r="C709" s="29"/>
      <c r="D709" s="29"/>
      <c r="E709" s="30"/>
      <c r="F709" s="22" t="str">
        <f>IF(OR($A709="",B709="",B709&lt;=0,Séries!Q708=""),"",B709/Séries!Q708-1)</f>
        <v/>
      </c>
      <c r="G709" s="22" t="str">
        <f>IF(OR($A709="",C709="",C709&lt;=0,Séries!R708=""),"",C709/Séries!R708-1)</f>
        <v/>
      </c>
      <c r="H709" s="22" t="str">
        <f>IF(OR($A709="",D709="",D709&lt;=0,Séries!S708=""),"",D709/Séries!S708-1)</f>
        <v/>
      </c>
      <c r="I709" s="22" t="str">
        <f>IF(OR($A709="",E709="",E709&lt;=0,Séries!T708=""),"",E709/Séries!T708-1)</f>
        <v/>
      </c>
      <c r="J709" s="27"/>
      <c r="K709" s="1" t="str">
        <f>IF(COUNTA(A709:E709)=0,"",IF(A709="","Preencha a data",IF(NOT(ISNUMBER(A709)),"Data inválida",IF(OR(A709&lt;36526,A709&gt;73050,A709&lt;&gt;INT(A709)),"Data inválida",IF(A709&lt;=Séries!U708,"Data repetida / fora de ordem",IF(COUNTA(B709:E709)&lt;&gt;COUNT(B709:E709),"Use preços numéricos",IF(OR(AND(ISNUMBER(B709),B709&lt;=0),AND(ISNUMBER(C709),C709&lt;=0),AND(ISNUMBER(D709),D709&lt;=0),AND(ISNUMBER(E709),E709&lt;=0)),"Use preços positivos","")))))))</f>
        <v/>
      </c>
    </row>
    <row r="710" spans="1:11" ht="22.95" customHeight="1">
      <c r="A710" s="28"/>
      <c r="B710" s="29"/>
      <c r="C710" s="29"/>
      <c r="D710" s="29"/>
      <c r="E710" s="30"/>
      <c r="F710" s="22" t="str">
        <f>IF(OR($A710="",B710="",B710&lt;=0,Séries!Q709=""),"",B710/Séries!Q709-1)</f>
        <v/>
      </c>
      <c r="G710" s="22" t="str">
        <f>IF(OR($A710="",C710="",C710&lt;=0,Séries!R709=""),"",C710/Séries!R709-1)</f>
        <v/>
      </c>
      <c r="H710" s="22" t="str">
        <f>IF(OR($A710="",D710="",D710&lt;=0,Séries!S709=""),"",D710/Séries!S709-1)</f>
        <v/>
      </c>
      <c r="I710" s="22" t="str">
        <f>IF(OR($A710="",E710="",E710&lt;=0,Séries!T709=""),"",E710/Séries!T709-1)</f>
        <v/>
      </c>
      <c r="J710" s="27"/>
      <c r="K710" s="1" t="str">
        <f>IF(COUNTA(A710:E710)=0,"",IF(A710="","Preencha a data",IF(NOT(ISNUMBER(A710)),"Data inválida",IF(OR(A710&lt;36526,A710&gt;73050,A710&lt;&gt;INT(A710)),"Data inválida",IF(A710&lt;=Séries!U709,"Data repetida / fora de ordem",IF(COUNTA(B710:E710)&lt;&gt;COUNT(B710:E710),"Use preços numéricos",IF(OR(AND(ISNUMBER(B710),B710&lt;=0),AND(ISNUMBER(C710),C710&lt;=0),AND(ISNUMBER(D710),D710&lt;=0),AND(ISNUMBER(E710),E710&lt;=0)),"Use preços positivos","")))))))</f>
        <v/>
      </c>
    </row>
    <row r="711" spans="1:11" ht="22.95" customHeight="1">
      <c r="A711" s="28"/>
      <c r="B711" s="29"/>
      <c r="C711" s="29"/>
      <c r="D711" s="29"/>
      <c r="E711" s="30"/>
      <c r="F711" s="22" t="str">
        <f>IF(OR($A711="",B711="",B711&lt;=0,Séries!Q710=""),"",B711/Séries!Q710-1)</f>
        <v/>
      </c>
      <c r="G711" s="22" t="str">
        <f>IF(OR($A711="",C711="",C711&lt;=0,Séries!R710=""),"",C711/Séries!R710-1)</f>
        <v/>
      </c>
      <c r="H711" s="22" t="str">
        <f>IF(OR($A711="",D711="",D711&lt;=0,Séries!S710=""),"",D711/Séries!S710-1)</f>
        <v/>
      </c>
      <c r="I711" s="22" t="str">
        <f>IF(OR($A711="",E711="",E711&lt;=0,Séries!T710=""),"",E711/Séries!T710-1)</f>
        <v/>
      </c>
      <c r="J711" s="27"/>
      <c r="K711" s="1" t="str">
        <f>IF(COUNTA(A711:E711)=0,"",IF(A711="","Preencha a data",IF(NOT(ISNUMBER(A711)),"Data inválida",IF(OR(A711&lt;36526,A711&gt;73050,A711&lt;&gt;INT(A711)),"Data inválida",IF(A711&lt;=Séries!U710,"Data repetida / fora de ordem",IF(COUNTA(B711:E711)&lt;&gt;COUNT(B711:E711),"Use preços numéricos",IF(OR(AND(ISNUMBER(B711),B711&lt;=0),AND(ISNUMBER(C711),C711&lt;=0),AND(ISNUMBER(D711),D711&lt;=0),AND(ISNUMBER(E711),E711&lt;=0)),"Use preços positivos","")))))))</f>
        <v/>
      </c>
    </row>
    <row r="712" spans="1:11" ht="22.95" customHeight="1">
      <c r="A712" s="28"/>
      <c r="B712" s="29"/>
      <c r="C712" s="29"/>
      <c r="D712" s="29"/>
      <c r="E712" s="30"/>
      <c r="F712" s="22" t="str">
        <f>IF(OR($A712="",B712="",B712&lt;=0,Séries!Q711=""),"",B712/Séries!Q711-1)</f>
        <v/>
      </c>
      <c r="G712" s="22" t="str">
        <f>IF(OR($A712="",C712="",C712&lt;=0,Séries!R711=""),"",C712/Séries!R711-1)</f>
        <v/>
      </c>
      <c r="H712" s="22" t="str">
        <f>IF(OR($A712="",D712="",D712&lt;=0,Séries!S711=""),"",D712/Séries!S711-1)</f>
        <v/>
      </c>
      <c r="I712" s="22" t="str">
        <f>IF(OR($A712="",E712="",E712&lt;=0,Séries!T711=""),"",E712/Séries!T711-1)</f>
        <v/>
      </c>
      <c r="J712" s="27"/>
      <c r="K712" s="1" t="str">
        <f>IF(COUNTA(A712:E712)=0,"",IF(A712="","Preencha a data",IF(NOT(ISNUMBER(A712)),"Data inválida",IF(OR(A712&lt;36526,A712&gt;73050,A712&lt;&gt;INT(A712)),"Data inválida",IF(A712&lt;=Séries!U711,"Data repetida / fora de ordem",IF(COUNTA(B712:E712)&lt;&gt;COUNT(B712:E712),"Use preços numéricos",IF(OR(AND(ISNUMBER(B712),B712&lt;=0),AND(ISNUMBER(C712),C712&lt;=0),AND(ISNUMBER(D712),D712&lt;=0),AND(ISNUMBER(E712),E712&lt;=0)),"Use preços positivos","")))))))</f>
        <v/>
      </c>
    </row>
    <row r="713" spans="1:11" ht="22.95" customHeight="1">
      <c r="A713" s="28"/>
      <c r="B713" s="29"/>
      <c r="C713" s="29"/>
      <c r="D713" s="29"/>
      <c r="E713" s="30"/>
      <c r="F713" s="22" t="str">
        <f>IF(OR($A713="",B713="",B713&lt;=0,Séries!Q712=""),"",B713/Séries!Q712-1)</f>
        <v/>
      </c>
      <c r="G713" s="22" t="str">
        <f>IF(OR($A713="",C713="",C713&lt;=0,Séries!R712=""),"",C713/Séries!R712-1)</f>
        <v/>
      </c>
      <c r="H713" s="22" t="str">
        <f>IF(OR($A713="",D713="",D713&lt;=0,Séries!S712=""),"",D713/Séries!S712-1)</f>
        <v/>
      </c>
      <c r="I713" s="22" t="str">
        <f>IF(OR($A713="",E713="",E713&lt;=0,Séries!T712=""),"",E713/Séries!T712-1)</f>
        <v/>
      </c>
      <c r="J713" s="27"/>
      <c r="K713" s="1" t="str">
        <f>IF(COUNTA(A713:E713)=0,"",IF(A713="","Preencha a data",IF(NOT(ISNUMBER(A713)),"Data inválida",IF(OR(A713&lt;36526,A713&gt;73050,A713&lt;&gt;INT(A713)),"Data inválida",IF(A713&lt;=Séries!U712,"Data repetida / fora de ordem",IF(COUNTA(B713:E713)&lt;&gt;COUNT(B713:E713),"Use preços numéricos",IF(OR(AND(ISNUMBER(B713),B713&lt;=0),AND(ISNUMBER(C713),C713&lt;=0),AND(ISNUMBER(D713),D713&lt;=0),AND(ISNUMBER(E713),E713&lt;=0)),"Use preços positivos","")))))))</f>
        <v/>
      </c>
    </row>
    <row r="714" spans="1:11" ht="22.95" customHeight="1">
      <c r="A714" s="28"/>
      <c r="B714" s="29"/>
      <c r="C714" s="29"/>
      <c r="D714" s="29"/>
      <c r="E714" s="30"/>
      <c r="F714" s="22" t="str">
        <f>IF(OR($A714="",B714="",B714&lt;=0,Séries!Q713=""),"",B714/Séries!Q713-1)</f>
        <v/>
      </c>
      <c r="G714" s="22" t="str">
        <f>IF(OR($A714="",C714="",C714&lt;=0,Séries!R713=""),"",C714/Séries!R713-1)</f>
        <v/>
      </c>
      <c r="H714" s="22" t="str">
        <f>IF(OR($A714="",D714="",D714&lt;=0,Séries!S713=""),"",D714/Séries!S713-1)</f>
        <v/>
      </c>
      <c r="I714" s="22" t="str">
        <f>IF(OR($A714="",E714="",E714&lt;=0,Séries!T713=""),"",E714/Séries!T713-1)</f>
        <v/>
      </c>
      <c r="J714" s="27"/>
      <c r="K714" s="1" t="str">
        <f>IF(COUNTA(A714:E714)=0,"",IF(A714="","Preencha a data",IF(NOT(ISNUMBER(A714)),"Data inválida",IF(OR(A714&lt;36526,A714&gt;73050,A714&lt;&gt;INT(A714)),"Data inválida",IF(A714&lt;=Séries!U713,"Data repetida / fora de ordem",IF(COUNTA(B714:E714)&lt;&gt;COUNT(B714:E714),"Use preços numéricos",IF(OR(AND(ISNUMBER(B714),B714&lt;=0),AND(ISNUMBER(C714),C714&lt;=0),AND(ISNUMBER(D714),D714&lt;=0),AND(ISNUMBER(E714),E714&lt;=0)),"Use preços positivos","")))))))</f>
        <v/>
      </c>
    </row>
    <row r="715" spans="1:11" ht="22.95" customHeight="1">
      <c r="A715" s="28"/>
      <c r="B715" s="29"/>
      <c r="C715" s="29"/>
      <c r="D715" s="29"/>
      <c r="E715" s="30"/>
      <c r="F715" s="22" t="str">
        <f>IF(OR($A715="",B715="",B715&lt;=0,Séries!Q714=""),"",B715/Séries!Q714-1)</f>
        <v/>
      </c>
      <c r="G715" s="22" t="str">
        <f>IF(OR($A715="",C715="",C715&lt;=0,Séries!R714=""),"",C715/Séries!R714-1)</f>
        <v/>
      </c>
      <c r="H715" s="22" t="str">
        <f>IF(OR($A715="",D715="",D715&lt;=0,Séries!S714=""),"",D715/Séries!S714-1)</f>
        <v/>
      </c>
      <c r="I715" s="22" t="str">
        <f>IF(OR($A715="",E715="",E715&lt;=0,Séries!T714=""),"",E715/Séries!T714-1)</f>
        <v/>
      </c>
      <c r="J715" s="27"/>
      <c r="K715" s="1" t="str">
        <f>IF(COUNTA(A715:E715)=0,"",IF(A715="","Preencha a data",IF(NOT(ISNUMBER(A715)),"Data inválida",IF(OR(A715&lt;36526,A715&gt;73050,A715&lt;&gt;INT(A715)),"Data inválida",IF(A715&lt;=Séries!U714,"Data repetida / fora de ordem",IF(COUNTA(B715:E715)&lt;&gt;COUNT(B715:E715),"Use preços numéricos",IF(OR(AND(ISNUMBER(B715),B715&lt;=0),AND(ISNUMBER(C715),C715&lt;=0),AND(ISNUMBER(D715),D715&lt;=0),AND(ISNUMBER(E715),E715&lt;=0)),"Use preços positivos","")))))))</f>
        <v/>
      </c>
    </row>
    <row r="716" spans="1:11" ht="22.95" customHeight="1">
      <c r="A716" s="28"/>
      <c r="B716" s="29"/>
      <c r="C716" s="29"/>
      <c r="D716" s="29"/>
      <c r="E716" s="30"/>
      <c r="F716" s="22" t="str">
        <f>IF(OR($A716="",B716="",B716&lt;=0,Séries!Q715=""),"",B716/Séries!Q715-1)</f>
        <v/>
      </c>
      <c r="G716" s="22" t="str">
        <f>IF(OR($A716="",C716="",C716&lt;=0,Séries!R715=""),"",C716/Séries!R715-1)</f>
        <v/>
      </c>
      <c r="H716" s="22" t="str">
        <f>IF(OR($A716="",D716="",D716&lt;=0,Séries!S715=""),"",D716/Séries!S715-1)</f>
        <v/>
      </c>
      <c r="I716" s="22" t="str">
        <f>IF(OR($A716="",E716="",E716&lt;=0,Séries!T715=""),"",E716/Séries!T715-1)</f>
        <v/>
      </c>
      <c r="J716" s="27"/>
      <c r="K716" s="1" t="str">
        <f>IF(COUNTA(A716:E716)=0,"",IF(A716="","Preencha a data",IF(NOT(ISNUMBER(A716)),"Data inválida",IF(OR(A716&lt;36526,A716&gt;73050,A716&lt;&gt;INT(A716)),"Data inválida",IF(A716&lt;=Séries!U715,"Data repetida / fora de ordem",IF(COUNTA(B716:E716)&lt;&gt;COUNT(B716:E716),"Use preços numéricos",IF(OR(AND(ISNUMBER(B716),B716&lt;=0),AND(ISNUMBER(C716),C716&lt;=0),AND(ISNUMBER(D716),D716&lt;=0),AND(ISNUMBER(E716),E716&lt;=0)),"Use preços positivos","")))))))</f>
        <v/>
      </c>
    </row>
    <row r="717" spans="1:11" ht="22.95" customHeight="1">
      <c r="A717" s="28"/>
      <c r="B717" s="29"/>
      <c r="C717" s="29"/>
      <c r="D717" s="29"/>
      <c r="E717" s="30"/>
      <c r="F717" s="22" t="str">
        <f>IF(OR($A717="",B717="",B717&lt;=0,Séries!Q716=""),"",B717/Séries!Q716-1)</f>
        <v/>
      </c>
      <c r="G717" s="22" t="str">
        <f>IF(OR($A717="",C717="",C717&lt;=0,Séries!R716=""),"",C717/Séries!R716-1)</f>
        <v/>
      </c>
      <c r="H717" s="22" t="str">
        <f>IF(OR($A717="",D717="",D717&lt;=0,Séries!S716=""),"",D717/Séries!S716-1)</f>
        <v/>
      </c>
      <c r="I717" s="22" t="str">
        <f>IF(OR($A717="",E717="",E717&lt;=0,Séries!T716=""),"",E717/Séries!T716-1)</f>
        <v/>
      </c>
      <c r="J717" s="27"/>
      <c r="K717" s="1" t="str">
        <f>IF(COUNTA(A717:E717)=0,"",IF(A717="","Preencha a data",IF(NOT(ISNUMBER(A717)),"Data inválida",IF(OR(A717&lt;36526,A717&gt;73050,A717&lt;&gt;INT(A717)),"Data inválida",IF(A717&lt;=Séries!U716,"Data repetida / fora de ordem",IF(COUNTA(B717:E717)&lt;&gt;COUNT(B717:E717),"Use preços numéricos",IF(OR(AND(ISNUMBER(B717),B717&lt;=0),AND(ISNUMBER(C717),C717&lt;=0),AND(ISNUMBER(D717),D717&lt;=0),AND(ISNUMBER(E717),E717&lt;=0)),"Use preços positivos","")))))))</f>
        <v/>
      </c>
    </row>
    <row r="718" spans="1:11" ht="22.95" customHeight="1">
      <c r="A718" s="28"/>
      <c r="B718" s="29"/>
      <c r="C718" s="29"/>
      <c r="D718" s="29"/>
      <c r="E718" s="30"/>
      <c r="F718" s="22" t="str">
        <f>IF(OR($A718="",B718="",B718&lt;=0,Séries!Q717=""),"",B718/Séries!Q717-1)</f>
        <v/>
      </c>
      <c r="G718" s="22" t="str">
        <f>IF(OR($A718="",C718="",C718&lt;=0,Séries!R717=""),"",C718/Séries!R717-1)</f>
        <v/>
      </c>
      <c r="H718" s="22" t="str">
        <f>IF(OR($A718="",D718="",D718&lt;=0,Séries!S717=""),"",D718/Séries!S717-1)</f>
        <v/>
      </c>
      <c r="I718" s="22" t="str">
        <f>IF(OR($A718="",E718="",E718&lt;=0,Séries!T717=""),"",E718/Séries!T717-1)</f>
        <v/>
      </c>
      <c r="J718" s="27"/>
      <c r="K718" s="1" t="str">
        <f>IF(COUNTA(A718:E718)=0,"",IF(A718="","Preencha a data",IF(NOT(ISNUMBER(A718)),"Data inválida",IF(OR(A718&lt;36526,A718&gt;73050,A718&lt;&gt;INT(A718)),"Data inválida",IF(A718&lt;=Séries!U717,"Data repetida / fora de ordem",IF(COUNTA(B718:E718)&lt;&gt;COUNT(B718:E718),"Use preços numéricos",IF(OR(AND(ISNUMBER(B718),B718&lt;=0),AND(ISNUMBER(C718),C718&lt;=0),AND(ISNUMBER(D718),D718&lt;=0),AND(ISNUMBER(E718),E718&lt;=0)),"Use preços positivos","")))))))</f>
        <v/>
      </c>
    </row>
    <row r="719" spans="1:11" ht="22.95" customHeight="1">
      <c r="A719" s="28"/>
      <c r="B719" s="29"/>
      <c r="C719" s="29"/>
      <c r="D719" s="29"/>
      <c r="E719" s="30"/>
      <c r="F719" s="22" t="str">
        <f>IF(OR($A719="",B719="",B719&lt;=0,Séries!Q718=""),"",B719/Séries!Q718-1)</f>
        <v/>
      </c>
      <c r="G719" s="22" t="str">
        <f>IF(OR($A719="",C719="",C719&lt;=0,Séries!R718=""),"",C719/Séries!R718-1)</f>
        <v/>
      </c>
      <c r="H719" s="22" t="str">
        <f>IF(OR($A719="",D719="",D719&lt;=0,Séries!S718=""),"",D719/Séries!S718-1)</f>
        <v/>
      </c>
      <c r="I719" s="22" t="str">
        <f>IF(OR($A719="",E719="",E719&lt;=0,Séries!T718=""),"",E719/Séries!T718-1)</f>
        <v/>
      </c>
      <c r="J719" s="27"/>
      <c r="K719" s="1" t="str">
        <f>IF(COUNTA(A719:E719)=0,"",IF(A719="","Preencha a data",IF(NOT(ISNUMBER(A719)),"Data inválida",IF(OR(A719&lt;36526,A719&gt;73050,A719&lt;&gt;INT(A719)),"Data inválida",IF(A719&lt;=Séries!U718,"Data repetida / fora de ordem",IF(COUNTA(B719:E719)&lt;&gt;COUNT(B719:E719),"Use preços numéricos",IF(OR(AND(ISNUMBER(B719),B719&lt;=0),AND(ISNUMBER(C719),C719&lt;=0),AND(ISNUMBER(D719),D719&lt;=0),AND(ISNUMBER(E719),E719&lt;=0)),"Use preços positivos","")))))))</f>
        <v/>
      </c>
    </row>
    <row r="720" spans="1:11" ht="22.95" customHeight="1">
      <c r="A720" s="28"/>
      <c r="B720" s="29"/>
      <c r="C720" s="29"/>
      <c r="D720" s="29"/>
      <c r="E720" s="30"/>
      <c r="F720" s="22" t="str">
        <f>IF(OR($A720="",B720="",B720&lt;=0,Séries!Q719=""),"",B720/Séries!Q719-1)</f>
        <v/>
      </c>
      <c r="G720" s="22" t="str">
        <f>IF(OR($A720="",C720="",C720&lt;=0,Séries!R719=""),"",C720/Séries!R719-1)</f>
        <v/>
      </c>
      <c r="H720" s="22" t="str">
        <f>IF(OR($A720="",D720="",D720&lt;=0,Séries!S719=""),"",D720/Séries!S719-1)</f>
        <v/>
      </c>
      <c r="I720" s="22" t="str">
        <f>IF(OR($A720="",E720="",E720&lt;=0,Séries!T719=""),"",E720/Séries!T719-1)</f>
        <v/>
      </c>
      <c r="J720" s="27"/>
      <c r="K720" s="1" t="str">
        <f>IF(COUNTA(A720:E720)=0,"",IF(A720="","Preencha a data",IF(NOT(ISNUMBER(A720)),"Data inválida",IF(OR(A720&lt;36526,A720&gt;73050,A720&lt;&gt;INT(A720)),"Data inválida",IF(A720&lt;=Séries!U719,"Data repetida / fora de ordem",IF(COUNTA(B720:E720)&lt;&gt;COUNT(B720:E720),"Use preços numéricos",IF(OR(AND(ISNUMBER(B720),B720&lt;=0),AND(ISNUMBER(C720),C720&lt;=0),AND(ISNUMBER(D720),D720&lt;=0),AND(ISNUMBER(E720),E720&lt;=0)),"Use preços positivos","")))))))</f>
        <v/>
      </c>
    </row>
    <row r="721" spans="1:11" ht="22.95" customHeight="1">
      <c r="A721" s="28"/>
      <c r="B721" s="29"/>
      <c r="C721" s="29"/>
      <c r="D721" s="29"/>
      <c r="E721" s="30"/>
      <c r="F721" s="22" t="str">
        <f>IF(OR($A721="",B721="",B721&lt;=0,Séries!Q720=""),"",B721/Séries!Q720-1)</f>
        <v/>
      </c>
      <c r="G721" s="22" t="str">
        <f>IF(OR($A721="",C721="",C721&lt;=0,Séries!R720=""),"",C721/Séries!R720-1)</f>
        <v/>
      </c>
      <c r="H721" s="22" t="str">
        <f>IF(OR($A721="",D721="",D721&lt;=0,Séries!S720=""),"",D721/Séries!S720-1)</f>
        <v/>
      </c>
      <c r="I721" s="22" t="str">
        <f>IF(OR($A721="",E721="",E721&lt;=0,Séries!T720=""),"",E721/Séries!T720-1)</f>
        <v/>
      </c>
      <c r="J721" s="27"/>
      <c r="K721" s="1" t="str">
        <f>IF(COUNTA(A721:E721)=0,"",IF(A721="","Preencha a data",IF(NOT(ISNUMBER(A721)),"Data inválida",IF(OR(A721&lt;36526,A721&gt;73050,A721&lt;&gt;INT(A721)),"Data inválida",IF(A721&lt;=Séries!U720,"Data repetida / fora de ordem",IF(COUNTA(B721:E721)&lt;&gt;COUNT(B721:E721),"Use preços numéricos",IF(OR(AND(ISNUMBER(B721),B721&lt;=0),AND(ISNUMBER(C721),C721&lt;=0),AND(ISNUMBER(D721),D721&lt;=0),AND(ISNUMBER(E721),E721&lt;=0)),"Use preços positivos","")))))))</f>
        <v/>
      </c>
    </row>
    <row r="722" spans="1:11" ht="22.95" customHeight="1">
      <c r="A722" s="28"/>
      <c r="B722" s="29"/>
      <c r="C722" s="29"/>
      <c r="D722" s="29"/>
      <c r="E722" s="30"/>
      <c r="F722" s="22" t="str">
        <f>IF(OR($A722="",B722="",B722&lt;=0,Séries!Q721=""),"",B722/Séries!Q721-1)</f>
        <v/>
      </c>
      <c r="G722" s="22" t="str">
        <f>IF(OR($A722="",C722="",C722&lt;=0,Séries!R721=""),"",C722/Séries!R721-1)</f>
        <v/>
      </c>
      <c r="H722" s="22" t="str">
        <f>IF(OR($A722="",D722="",D722&lt;=0,Séries!S721=""),"",D722/Séries!S721-1)</f>
        <v/>
      </c>
      <c r="I722" s="22" t="str">
        <f>IF(OR($A722="",E722="",E722&lt;=0,Séries!T721=""),"",E722/Séries!T721-1)</f>
        <v/>
      </c>
      <c r="J722" s="27"/>
      <c r="K722" s="1" t="str">
        <f>IF(COUNTA(A722:E722)=0,"",IF(A722="","Preencha a data",IF(NOT(ISNUMBER(A722)),"Data inválida",IF(OR(A722&lt;36526,A722&gt;73050,A722&lt;&gt;INT(A722)),"Data inválida",IF(A722&lt;=Séries!U721,"Data repetida / fora de ordem",IF(COUNTA(B722:E722)&lt;&gt;COUNT(B722:E722),"Use preços numéricos",IF(OR(AND(ISNUMBER(B722),B722&lt;=0),AND(ISNUMBER(C722),C722&lt;=0),AND(ISNUMBER(D722),D722&lt;=0),AND(ISNUMBER(E722),E722&lt;=0)),"Use preços positivos","")))))))</f>
        <v/>
      </c>
    </row>
    <row r="723" spans="1:11" ht="22.95" customHeight="1">
      <c r="A723" s="28"/>
      <c r="B723" s="29"/>
      <c r="C723" s="29"/>
      <c r="D723" s="29"/>
      <c r="E723" s="30"/>
      <c r="F723" s="22" t="str">
        <f>IF(OR($A723="",B723="",B723&lt;=0,Séries!Q722=""),"",B723/Séries!Q722-1)</f>
        <v/>
      </c>
      <c r="G723" s="22" t="str">
        <f>IF(OR($A723="",C723="",C723&lt;=0,Séries!R722=""),"",C723/Séries!R722-1)</f>
        <v/>
      </c>
      <c r="H723" s="22" t="str">
        <f>IF(OR($A723="",D723="",D723&lt;=0,Séries!S722=""),"",D723/Séries!S722-1)</f>
        <v/>
      </c>
      <c r="I723" s="22" t="str">
        <f>IF(OR($A723="",E723="",E723&lt;=0,Séries!T722=""),"",E723/Séries!T722-1)</f>
        <v/>
      </c>
      <c r="J723" s="27"/>
      <c r="K723" s="1" t="str">
        <f>IF(COUNTA(A723:E723)=0,"",IF(A723="","Preencha a data",IF(NOT(ISNUMBER(A723)),"Data inválida",IF(OR(A723&lt;36526,A723&gt;73050,A723&lt;&gt;INT(A723)),"Data inválida",IF(A723&lt;=Séries!U722,"Data repetida / fora de ordem",IF(COUNTA(B723:E723)&lt;&gt;COUNT(B723:E723),"Use preços numéricos",IF(OR(AND(ISNUMBER(B723),B723&lt;=0),AND(ISNUMBER(C723),C723&lt;=0),AND(ISNUMBER(D723),D723&lt;=0),AND(ISNUMBER(E723),E723&lt;=0)),"Use preços positivos","")))))))</f>
        <v/>
      </c>
    </row>
    <row r="724" spans="1:11" ht="22.95" customHeight="1">
      <c r="A724" s="28"/>
      <c r="B724" s="29"/>
      <c r="C724" s="29"/>
      <c r="D724" s="29"/>
      <c r="E724" s="30"/>
      <c r="F724" s="22" t="str">
        <f>IF(OR($A724="",B724="",B724&lt;=0,Séries!Q723=""),"",B724/Séries!Q723-1)</f>
        <v/>
      </c>
      <c r="G724" s="22" t="str">
        <f>IF(OR($A724="",C724="",C724&lt;=0,Séries!R723=""),"",C724/Séries!R723-1)</f>
        <v/>
      </c>
      <c r="H724" s="22" t="str">
        <f>IF(OR($A724="",D724="",D724&lt;=0,Séries!S723=""),"",D724/Séries!S723-1)</f>
        <v/>
      </c>
      <c r="I724" s="22" t="str">
        <f>IF(OR($A724="",E724="",E724&lt;=0,Séries!T723=""),"",E724/Séries!T723-1)</f>
        <v/>
      </c>
      <c r="J724" s="27"/>
      <c r="K724" s="1" t="str">
        <f>IF(COUNTA(A724:E724)=0,"",IF(A724="","Preencha a data",IF(NOT(ISNUMBER(A724)),"Data inválida",IF(OR(A724&lt;36526,A724&gt;73050,A724&lt;&gt;INT(A724)),"Data inválida",IF(A724&lt;=Séries!U723,"Data repetida / fora de ordem",IF(COUNTA(B724:E724)&lt;&gt;COUNT(B724:E724),"Use preços numéricos",IF(OR(AND(ISNUMBER(B724),B724&lt;=0),AND(ISNUMBER(C724),C724&lt;=0),AND(ISNUMBER(D724),D724&lt;=0),AND(ISNUMBER(E724),E724&lt;=0)),"Use preços positivos","")))))))</f>
        <v/>
      </c>
    </row>
    <row r="725" spans="1:11" ht="22.95" customHeight="1">
      <c r="A725" s="28"/>
      <c r="B725" s="29"/>
      <c r="C725" s="29"/>
      <c r="D725" s="29"/>
      <c r="E725" s="30"/>
      <c r="F725" s="22" t="str">
        <f>IF(OR($A725="",B725="",B725&lt;=0,Séries!Q724=""),"",B725/Séries!Q724-1)</f>
        <v/>
      </c>
      <c r="G725" s="22" t="str">
        <f>IF(OR($A725="",C725="",C725&lt;=0,Séries!R724=""),"",C725/Séries!R724-1)</f>
        <v/>
      </c>
      <c r="H725" s="22" t="str">
        <f>IF(OR($A725="",D725="",D725&lt;=0,Séries!S724=""),"",D725/Séries!S724-1)</f>
        <v/>
      </c>
      <c r="I725" s="22" t="str">
        <f>IF(OR($A725="",E725="",E725&lt;=0,Séries!T724=""),"",E725/Séries!T724-1)</f>
        <v/>
      </c>
      <c r="J725" s="27"/>
      <c r="K725" s="1" t="str">
        <f>IF(COUNTA(A725:E725)=0,"",IF(A725="","Preencha a data",IF(NOT(ISNUMBER(A725)),"Data inválida",IF(OR(A725&lt;36526,A725&gt;73050,A725&lt;&gt;INT(A725)),"Data inválida",IF(A725&lt;=Séries!U724,"Data repetida / fora de ordem",IF(COUNTA(B725:E725)&lt;&gt;COUNT(B725:E725),"Use preços numéricos",IF(OR(AND(ISNUMBER(B725),B725&lt;=0),AND(ISNUMBER(C725),C725&lt;=0),AND(ISNUMBER(D725),D725&lt;=0),AND(ISNUMBER(E725),E725&lt;=0)),"Use preços positivos","")))))))</f>
        <v/>
      </c>
    </row>
    <row r="726" spans="1:11" ht="22.95" customHeight="1">
      <c r="A726" s="28"/>
      <c r="B726" s="29"/>
      <c r="C726" s="29"/>
      <c r="D726" s="29"/>
      <c r="E726" s="30"/>
      <c r="F726" s="22" t="str">
        <f>IF(OR($A726="",B726="",B726&lt;=0,Séries!Q725=""),"",B726/Séries!Q725-1)</f>
        <v/>
      </c>
      <c r="G726" s="22" t="str">
        <f>IF(OR($A726="",C726="",C726&lt;=0,Séries!R725=""),"",C726/Séries!R725-1)</f>
        <v/>
      </c>
      <c r="H726" s="22" t="str">
        <f>IF(OR($A726="",D726="",D726&lt;=0,Séries!S725=""),"",D726/Séries!S725-1)</f>
        <v/>
      </c>
      <c r="I726" s="22" t="str">
        <f>IF(OR($A726="",E726="",E726&lt;=0,Séries!T725=""),"",E726/Séries!T725-1)</f>
        <v/>
      </c>
      <c r="J726" s="27"/>
      <c r="K726" s="1" t="str">
        <f>IF(COUNTA(A726:E726)=0,"",IF(A726="","Preencha a data",IF(NOT(ISNUMBER(A726)),"Data inválida",IF(OR(A726&lt;36526,A726&gt;73050,A726&lt;&gt;INT(A726)),"Data inválida",IF(A726&lt;=Séries!U725,"Data repetida / fora de ordem",IF(COUNTA(B726:E726)&lt;&gt;COUNT(B726:E726),"Use preços numéricos",IF(OR(AND(ISNUMBER(B726),B726&lt;=0),AND(ISNUMBER(C726),C726&lt;=0),AND(ISNUMBER(D726),D726&lt;=0),AND(ISNUMBER(E726),E726&lt;=0)),"Use preços positivos","")))))))</f>
        <v/>
      </c>
    </row>
    <row r="727" spans="1:11" ht="22.95" customHeight="1">
      <c r="A727" s="28"/>
      <c r="B727" s="29"/>
      <c r="C727" s="29"/>
      <c r="D727" s="29"/>
      <c r="E727" s="30"/>
      <c r="F727" s="22" t="str">
        <f>IF(OR($A727="",B727="",B727&lt;=0,Séries!Q726=""),"",B727/Séries!Q726-1)</f>
        <v/>
      </c>
      <c r="G727" s="22" t="str">
        <f>IF(OR($A727="",C727="",C727&lt;=0,Séries!R726=""),"",C727/Séries!R726-1)</f>
        <v/>
      </c>
      <c r="H727" s="22" t="str">
        <f>IF(OR($A727="",D727="",D727&lt;=0,Séries!S726=""),"",D727/Séries!S726-1)</f>
        <v/>
      </c>
      <c r="I727" s="22" t="str">
        <f>IF(OR($A727="",E727="",E727&lt;=0,Séries!T726=""),"",E727/Séries!T726-1)</f>
        <v/>
      </c>
      <c r="J727" s="27"/>
      <c r="K727" s="1" t="str">
        <f>IF(COUNTA(A727:E727)=0,"",IF(A727="","Preencha a data",IF(NOT(ISNUMBER(A727)),"Data inválida",IF(OR(A727&lt;36526,A727&gt;73050,A727&lt;&gt;INT(A727)),"Data inválida",IF(A727&lt;=Séries!U726,"Data repetida / fora de ordem",IF(COUNTA(B727:E727)&lt;&gt;COUNT(B727:E727),"Use preços numéricos",IF(OR(AND(ISNUMBER(B727),B727&lt;=0),AND(ISNUMBER(C727),C727&lt;=0),AND(ISNUMBER(D727),D727&lt;=0),AND(ISNUMBER(E727),E727&lt;=0)),"Use preços positivos","")))))))</f>
        <v/>
      </c>
    </row>
    <row r="728" spans="1:11" ht="22.95" customHeight="1">
      <c r="A728" s="28"/>
      <c r="B728" s="29"/>
      <c r="C728" s="29"/>
      <c r="D728" s="29"/>
      <c r="E728" s="30"/>
      <c r="F728" s="22" t="str">
        <f>IF(OR($A728="",B728="",B728&lt;=0,Séries!Q727=""),"",B728/Séries!Q727-1)</f>
        <v/>
      </c>
      <c r="G728" s="22" t="str">
        <f>IF(OR($A728="",C728="",C728&lt;=0,Séries!R727=""),"",C728/Séries!R727-1)</f>
        <v/>
      </c>
      <c r="H728" s="22" t="str">
        <f>IF(OR($A728="",D728="",D728&lt;=0,Séries!S727=""),"",D728/Séries!S727-1)</f>
        <v/>
      </c>
      <c r="I728" s="22" t="str">
        <f>IF(OR($A728="",E728="",E728&lt;=0,Séries!T727=""),"",E728/Séries!T727-1)</f>
        <v/>
      </c>
      <c r="J728" s="27"/>
      <c r="K728" s="1" t="str">
        <f>IF(COUNTA(A728:E728)=0,"",IF(A728="","Preencha a data",IF(NOT(ISNUMBER(A728)),"Data inválida",IF(OR(A728&lt;36526,A728&gt;73050,A728&lt;&gt;INT(A728)),"Data inválida",IF(A728&lt;=Séries!U727,"Data repetida / fora de ordem",IF(COUNTA(B728:E728)&lt;&gt;COUNT(B728:E728),"Use preços numéricos",IF(OR(AND(ISNUMBER(B728),B728&lt;=0),AND(ISNUMBER(C728),C728&lt;=0),AND(ISNUMBER(D728),D728&lt;=0),AND(ISNUMBER(E728),E728&lt;=0)),"Use preços positivos","")))))))</f>
        <v/>
      </c>
    </row>
    <row r="729" spans="1:11" ht="22.95" customHeight="1">
      <c r="A729" s="28"/>
      <c r="B729" s="29"/>
      <c r="C729" s="29"/>
      <c r="D729" s="29"/>
      <c r="E729" s="30"/>
      <c r="F729" s="22" t="str">
        <f>IF(OR($A729="",B729="",B729&lt;=0,Séries!Q728=""),"",B729/Séries!Q728-1)</f>
        <v/>
      </c>
      <c r="G729" s="22" t="str">
        <f>IF(OR($A729="",C729="",C729&lt;=0,Séries!R728=""),"",C729/Séries!R728-1)</f>
        <v/>
      </c>
      <c r="H729" s="22" t="str">
        <f>IF(OR($A729="",D729="",D729&lt;=0,Séries!S728=""),"",D729/Séries!S728-1)</f>
        <v/>
      </c>
      <c r="I729" s="22" t="str">
        <f>IF(OR($A729="",E729="",E729&lt;=0,Séries!T728=""),"",E729/Séries!T728-1)</f>
        <v/>
      </c>
      <c r="J729" s="27"/>
      <c r="K729" s="1" t="str">
        <f>IF(COUNTA(A729:E729)=0,"",IF(A729="","Preencha a data",IF(NOT(ISNUMBER(A729)),"Data inválida",IF(OR(A729&lt;36526,A729&gt;73050,A729&lt;&gt;INT(A729)),"Data inválida",IF(A729&lt;=Séries!U728,"Data repetida / fora de ordem",IF(COUNTA(B729:E729)&lt;&gt;COUNT(B729:E729),"Use preços numéricos",IF(OR(AND(ISNUMBER(B729),B729&lt;=0),AND(ISNUMBER(C729),C729&lt;=0),AND(ISNUMBER(D729),D729&lt;=0),AND(ISNUMBER(E729),E729&lt;=0)),"Use preços positivos","")))))))</f>
        <v/>
      </c>
    </row>
    <row r="730" spans="1:11" ht="22.95" customHeight="1">
      <c r="A730" s="28"/>
      <c r="B730" s="29"/>
      <c r="C730" s="29"/>
      <c r="D730" s="29"/>
      <c r="E730" s="30"/>
      <c r="F730" s="22" t="str">
        <f>IF(OR($A730="",B730="",B730&lt;=0,Séries!Q729=""),"",B730/Séries!Q729-1)</f>
        <v/>
      </c>
      <c r="G730" s="22" t="str">
        <f>IF(OR($A730="",C730="",C730&lt;=0,Séries!R729=""),"",C730/Séries!R729-1)</f>
        <v/>
      </c>
      <c r="H730" s="22" t="str">
        <f>IF(OR($A730="",D730="",D730&lt;=0,Séries!S729=""),"",D730/Séries!S729-1)</f>
        <v/>
      </c>
      <c r="I730" s="22" t="str">
        <f>IF(OR($A730="",E730="",E730&lt;=0,Séries!T729=""),"",E730/Séries!T729-1)</f>
        <v/>
      </c>
      <c r="J730" s="27"/>
      <c r="K730" s="1" t="str">
        <f>IF(COUNTA(A730:E730)=0,"",IF(A730="","Preencha a data",IF(NOT(ISNUMBER(A730)),"Data inválida",IF(OR(A730&lt;36526,A730&gt;73050,A730&lt;&gt;INT(A730)),"Data inválida",IF(A730&lt;=Séries!U729,"Data repetida / fora de ordem",IF(COUNTA(B730:E730)&lt;&gt;COUNT(B730:E730),"Use preços numéricos",IF(OR(AND(ISNUMBER(B730),B730&lt;=0),AND(ISNUMBER(C730),C730&lt;=0),AND(ISNUMBER(D730),D730&lt;=0),AND(ISNUMBER(E730),E730&lt;=0)),"Use preços positivos","")))))))</f>
        <v/>
      </c>
    </row>
    <row r="731" spans="1:11" ht="22.95" customHeight="1">
      <c r="A731" s="28"/>
      <c r="B731" s="29"/>
      <c r="C731" s="29"/>
      <c r="D731" s="29"/>
      <c r="E731" s="30"/>
      <c r="F731" s="22" t="str">
        <f>IF(OR($A731="",B731="",B731&lt;=0,Séries!Q730=""),"",B731/Séries!Q730-1)</f>
        <v/>
      </c>
      <c r="G731" s="22" t="str">
        <f>IF(OR($A731="",C731="",C731&lt;=0,Séries!R730=""),"",C731/Séries!R730-1)</f>
        <v/>
      </c>
      <c r="H731" s="22" t="str">
        <f>IF(OR($A731="",D731="",D731&lt;=0,Séries!S730=""),"",D731/Séries!S730-1)</f>
        <v/>
      </c>
      <c r="I731" s="22" t="str">
        <f>IF(OR($A731="",E731="",E731&lt;=0,Séries!T730=""),"",E731/Séries!T730-1)</f>
        <v/>
      </c>
      <c r="J731" s="27"/>
      <c r="K731" s="1" t="str">
        <f>IF(COUNTA(A731:E731)=0,"",IF(A731="","Preencha a data",IF(NOT(ISNUMBER(A731)),"Data inválida",IF(OR(A731&lt;36526,A731&gt;73050,A731&lt;&gt;INT(A731)),"Data inválida",IF(A731&lt;=Séries!U730,"Data repetida / fora de ordem",IF(COUNTA(B731:E731)&lt;&gt;COUNT(B731:E731),"Use preços numéricos",IF(OR(AND(ISNUMBER(B731),B731&lt;=0),AND(ISNUMBER(C731),C731&lt;=0),AND(ISNUMBER(D731),D731&lt;=0),AND(ISNUMBER(E731),E731&lt;=0)),"Use preços positivos","")))))))</f>
        <v/>
      </c>
    </row>
    <row r="732" spans="1:11" ht="22.95" customHeight="1">
      <c r="A732" s="28"/>
      <c r="B732" s="29"/>
      <c r="C732" s="29"/>
      <c r="D732" s="29"/>
      <c r="E732" s="30"/>
      <c r="F732" s="22" t="str">
        <f>IF(OR($A732="",B732="",B732&lt;=0,Séries!Q731=""),"",B732/Séries!Q731-1)</f>
        <v/>
      </c>
      <c r="G732" s="22" t="str">
        <f>IF(OR($A732="",C732="",C732&lt;=0,Séries!R731=""),"",C732/Séries!R731-1)</f>
        <v/>
      </c>
      <c r="H732" s="22" t="str">
        <f>IF(OR($A732="",D732="",D732&lt;=0,Séries!S731=""),"",D732/Séries!S731-1)</f>
        <v/>
      </c>
      <c r="I732" s="22" t="str">
        <f>IF(OR($A732="",E732="",E732&lt;=0,Séries!T731=""),"",E732/Séries!T731-1)</f>
        <v/>
      </c>
      <c r="J732" s="27"/>
      <c r="K732" s="1" t="str">
        <f>IF(COUNTA(A732:E732)=0,"",IF(A732="","Preencha a data",IF(NOT(ISNUMBER(A732)),"Data inválida",IF(OR(A732&lt;36526,A732&gt;73050,A732&lt;&gt;INT(A732)),"Data inválida",IF(A732&lt;=Séries!U731,"Data repetida / fora de ordem",IF(COUNTA(B732:E732)&lt;&gt;COUNT(B732:E732),"Use preços numéricos",IF(OR(AND(ISNUMBER(B732),B732&lt;=0),AND(ISNUMBER(C732),C732&lt;=0),AND(ISNUMBER(D732),D732&lt;=0),AND(ISNUMBER(E732),E732&lt;=0)),"Use preços positivos","")))))))</f>
        <v/>
      </c>
    </row>
    <row r="733" spans="1:11" ht="22.95" customHeight="1">
      <c r="A733" s="28"/>
      <c r="B733" s="29"/>
      <c r="C733" s="29"/>
      <c r="D733" s="29"/>
      <c r="E733" s="30"/>
      <c r="F733" s="22" t="str">
        <f>IF(OR($A733="",B733="",B733&lt;=0,Séries!Q732=""),"",B733/Séries!Q732-1)</f>
        <v/>
      </c>
      <c r="G733" s="22" t="str">
        <f>IF(OR($A733="",C733="",C733&lt;=0,Séries!R732=""),"",C733/Séries!R732-1)</f>
        <v/>
      </c>
      <c r="H733" s="22" t="str">
        <f>IF(OR($A733="",D733="",D733&lt;=0,Séries!S732=""),"",D733/Séries!S732-1)</f>
        <v/>
      </c>
      <c r="I733" s="22" t="str">
        <f>IF(OR($A733="",E733="",E733&lt;=0,Séries!T732=""),"",E733/Séries!T732-1)</f>
        <v/>
      </c>
      <c r="J733" s="27"/>
      <c r="K733" s="1" t="str">
        <f>IF(COUNTA(A733:E733)=0,"",IF(A733="","Preencha a data",IF(NOT(ISNUMBER(A733)),"Data inválida",IF(OR(A733&lt;36526,A733&gt;73050,A733&lt;&gt;INT(A733)),"Data inválida",IF(A733&lt;=Séries!U732,"Data repetida / fora de ordem",IF(COUNTA(B733:E733)&lt;&gt;COUNT(B733:E733),"Use preços numéricos",IF(OR(AND(ISNUMBER(B733),B733&lt;=0),AND(ISNUMBER(C733),C733&lt;=0),AND(ISNUMBER(D733),D733&lt;=0),AND(ISNUMBER(E733),E733&lt;=0)),"Use preços positivos","")))))))</f>
        <v/>
      </c>
    </row>
    <row r="734" spans="1:11" ht="22.95" customHeight="1">
      <c r="A734" s="28"/>
      <c r="B734" s="29"/>
      <c r="C734" s="29"/>
      <c r="D734" s="29"/>
      <c r="E734" s="30"/>
      <c r="F734" s="22" t="str">
        <f>IF(OR($A734="",B734="",B734&lt;=0,Séries!Q733=""),"",B734/Séries!Q733-1)</f>
        <v/>
      </c>
      <c r="G734" s="22" t="str">
        <f>IF(OR($A734="",C734="",C734&lt;=0,Séries!R733=""),"",C734/Séries!R733-1)</f>
        <v/>
      </c>
      <c r="H734" s="22" t="str">
        <f>IF(OR($A734="",D734="",D734&lt;=0,Séries!S733=""),"",D734/Séries!S733-1)</f>
        <v/>
      </c>
      <c r="I734" s="22" t="str">
        <f>IF(OR($A734="",E734="",E734&lt;=0,Séries!T733=""),"",E734/Séries!T733-1)</f>
        <v/>
      </c>
      <c r="J734" s="27"/>
      <c r="K734" s="1" t="str">
        <f>IF(COUNTA(A734:E734)=0,"",IF(A734="","Preencha a data",IF(NOT(ISNUMBER(A734)),"Data inválida",IF(OR(A734&lt;36526,A734&gt;73050,A734&lt;&gt;INT(A734)),"Data inválida",IF(A734&lt;=Séries!U733,"Data repetida / fora de ordem",IF(COUNTA(B734:E734)&lt;&gt;COUNT(B734:E734),"Use preços numéricos",IF(OR(AND(ISNUMBER(B734),B734&lt;=0),AND(ISNUMBER(C734),C734&lt;=0),AND(ISNUMBER(D734),D734&lt;=0),AND(ISNUMBER(E734),E734&lt;=0)),"Use preços positivos","")))))))</f>
        <v/>
      </c>
    </row>
    <row r="735" spans="1:11" ht="22.95" customHeight="1">
      <c r="A735" s="28"/>
      <c r="B735" s="29"/>
      <c r="C735" s="29"/>
      <c r="D735" s="29"/>
      <c r="E735" s="30"/>
      <c r="F735" s="22" t="str">
        <f>IF(OR($A735="",B735="",B735&lt;=0,Séries!Q734=""),"",B735/Séries!Q734-1)</f>
        <v/>
      </c>
      <c r="G735" s="22" t="str">
        <f>IF(OR($A735="",C735="",C735&lt;=0,Séries!R734=""),"",C735/Séries!R734-1)</f>
        <v/>
      </c>
      <c r="H735" s="22" t="str">
        <f>IF(OR($A735="",D735="",D735&lt;=0,Séries!S734=""),"",D735/Séries!S734-1)</f>
        <v/>
      </c>
      <c r="I735" s="22" t="str">
        <f>IF(OR($A735="",E735="",E735&lt;=0,Séries!T734=""),"",E735/Séries!T734-1)</f>
        <v/>
      </c>
      <c r="J735" s="27"/>
      <c r="K735" s="1" t="str">
        <f>IF(COUNTA(A735:E735)=0,"",IF(A735="","Preencha a data",IF(NOT(ISNUMBER(A735)),"Data inválida",IF(OR(A735&lt;36526,A735&gt;73050,A735&lt;&gt;INT(A735)),"Data inválida",IF(A735&lt;=Séries!U734,"Data repetida / fora de ordem",IF(COUNTA(B735:E735)&lt;&gt;COUNT(B735:E735),"Use preços numéricos",IF(OR(AND(ISNUMBER(B735),B735&lt;=0),AND(ISNUMBER(C735),C735&lt;=0),AND(ISNUMBER(D735),D735&lt;=0),AND(ISNUMBER(E735),E735&lt;=0)),"Use preços positivos","")))))))</f>
        <v/>
      </c>
    </row>
    <row r="736" spans="1:11" ht="22.95" customHeight="1">
      <c r="A736" s="28"/>
      <c r="B736" s="29"/>
      <c r="C736" s="29"/>
      <c r="D736" s="29"/>
      <c r="E736" s="30"/>
      <c r="F736" s="22" t="str">
        <f>IF(OR($A736="",B736="",B736&lt;=0,Séries!Q735=""),"",B736/Séries!Q735-1)</f>
        <v/>
      </c>
      <c r="G736" s="22" t="str">
        <f>IF(OR($A736="",C736="",C736&lt;=0,Séries!R735=""),"",C736/Séries!R735-1)</f>
        <v/>
      </c>
      <c r="H736" s="22" t="str">
        <f>IF(OR($A736="",D736="",D736&lt;=0,Séries!S735=""),"",D736/Séries!S735-1)</f>
        <v/>
      </c>
      <c r="I736" s="22" t="str">
        <f>IF(OR($A736="",E736="",E736&lt;=0,Séries!T735=""),"",E736/Séries!T735-1)</f>
        <v/>
      </c>
      <c r="J736" s="27"/>
      <c r="K736" s="1" t="str">
        <f>IF(COUNTA(A736:E736)=0,"",IF(A736="","Preencha a data",IF(NOT(ISNUMBER(A736)),"Data inválida",IF(OR(A736&lt;36526,A736&gt;73050,A736&lt;&gt;INT(A736)),"Data inválida",IF(A736&lt;=Séries!U735,"Data repetida / fora de ordem",IF(COUNTA(B736:E736)&lt;&gt;COUNT(B736:E736),"Use preços numéricos",IF(OR(AND(ISNUMBER(B736),B736&lt;=0),AND(ISNUMBER(C736),C736&lt;=0),AND(ISNUMBER(D736),D736&lt;=0),AND(ISNUMBER(E736),E736&lt;=0)),"Use preços positivos","")))))))</f>
        <v/>
      </c>
    </row>
    <row r="737" spans="1:11" ht="22.95" customHeight="1">
      <c r="A737" s="28"/>
      <c r="B737" s="29"/>
      <c r="C737" s="29"/>
      <c r="D737" s="29"/>
      <c r="E737" s="30"/>
      <c r="F737" s="22" t="str">
        <f>IF(OR($A737="",B737="",B737&lt;=0,Séries!Q736=""),"",B737/Séries!Q736-1)</f>
        <v/>
      </c>
      <c r="G737" s="22" t="str">
        <f>IF(OR($A737="",C737="",C737&lt;=0,Séries!R736=""),"",C737/Séries!R736-1)</f>
        <v/>
      </c>
      <c r="H737" s="22" t="str">
        <f>IF(OR($A737="",D737="",D737&lt;=0,Séries!S736=""),"",D737/Séries!S736-1)</f>
        <v/>
      </c>
      <c r="I737" s="22" t="str">
        <f>IF(OR($A737="",E737="",E737&lt;=0,Séries!T736=""),"",E737/Séries!T736-1)</f>
        <v/>
      </c>
      <c r="J737" s="27"/>
      <c r="K737" s="1" t="str">
        <f>IF(COUNTA(A737:E737)=0,"",IF(A737="","Preencha a data",IF(NOT(ISNUMBER(A737)),"Data inválida",IF(OR(A737&lt;36526,A737&gt;73050,A737&lt;&gt;INT(A737)),"Data inválida",IF(A737&lt;=Séries!U736,"Data repetida / fora de ordem",IF(COUNTA(B737:E737)&lt;&gt;COUNT(B737:E737),"Use preços numéricos",IF(OR(AND(ISNUMBER(B737),B737&lt;=0),AND(ISNUMBER(C737),C737&lt;=0),AND(ISNUMBER(D737),D737&lt;=0),AND(ISNUMBER(E737),E737&lt;=0)),"Use preços positivos","")))))))</f>
        <v/>
      </c>
    </row>
    <row r="738" spans="1:11" ht="22.95" customHeight="1">
      <c r="A738" s="28"/>
      <c r="B738" s="29"/>
      <c r="C738" s="29"/>
      <c r="D738" s="29"/>
      <c r="E738" s="30"/>
      <c r="F738" s="22" t="str">
        <f>IF(OR($A738="",B738="",B738&lt;=0,Séries!Q737=""),"",B738/Séries!Q737-1)</f>
        <v/>
      </c>
      <c r="G738" s="22" t="str">
        <f>IF(OR($A738="",C738="",C738&lt;=0,Séries!R737=""),"",C738/Séries!R737-1)</f>
        <v/>
      </c>
      <c r="H738" s="22" t="str">
        <f>IF(OR($A738="",D738="",D738&lt;=0,Séries!S737=""),"",D738/Séries!S737-1)</f>
        <v/>
      </c>
      <c r="I738" s="22" t="str">
        <f>IF(OR($A738="",E738="",E738&lt;=0,Séries!T737=""),"",E738/Séries!T737-1)</f>
        <v/>
      </c>
      <c r="J738" s="27"/>
      <c r="K738" s="1" t="str">
        <f>IF(COUNTA(A738:E738)=0,"",IF(A738="","Preencha a data",IF(NOT(ISNUMBER(A738)),"Data inválida",IF(OR(A738&lt;36526,A738&gt;73050,A738&lt;&gt;INT(A738)),"Data inválida",IF(A738&lt;=Séries!U737,"Data repetida / fora de ordem",IF(COUNTA(B738:E738)&lt;&gt;COUNT(B738:E738),"Use preços numéricos",IF(OR(AND(ISNUMBER(B738),B738&lt;=0),AND(ISNUMBER(C738),C738&lt;=0),AND(ISNUMBER(D738),D738&lt;=0),AND(ISNUMBER(E738),E738&lt;=0)),"Use preços positivos","")))))))</f>
        <v/>
      </c>
    </row>
    <row r="739" spans="1:11" ht="22.95" customHeight="1">
      <c r="A739" s="28"/>
      <c r="B739" s="29"/>
      <c r="C739" s="29"/>
      <c r="D739" s="29"/>
      <c r="E739" s="30"/>
      <c r="F739" s="22" t="str">
        <f>IF(OR($A739="",B739="",B739&lt;=0,Séries!Q738=""),"",B739/Séries!Q738-1)</f>
        <v/>
      </c>
      <c r="G739" s="22" t="str">
        <f>IF(OR($A739="",C739="",C739&lt;=0,Séries!R738=""),"",C739/Séries!R738-1)</f>
        <v/>
      </c>
      <c r="H739" s="22" t="str">
        <f>IF(OR($A739="",D739="",D739&lt;=0,Séries!S738=""),"",D739/Séries!S738-1)</f>
        <v/>
      </c>
      <c r="I739" s="22" t="str">
        <f>IF(OR($A739="",E739="",E739&lt;=0,Séries!T738=""),"",E739/Séries!T738-1)</f>
        <v/>
      </c>
      <c r="J739" s="27"/>
      <c r="K739" s="1" t="str">
        <f>IF(COUNTA(A739:E739)=0,"",IF(A739="","Preencha a data",IF(NOT(ISNUMBER(A739)),"Data inválida",IF(OR(A739&lt;36526,A739&gt;73050,A739&lt;&gt;INT(A739)),"Data inválida",IF(A739&lt;=Séries!U738,"Data repetida / fora de ordem",IF(COUNTA(B739:E739)&lt;&gt;COUNT(B739:E739),"Use preços numéricos",IF(OR(AND(ISNUMBER(B739),B739&lt;=0),AND(ISNUMBER(C739),C739&lt;=0),AND(ISNUMBER(D739),D739&lt;=0),AND(ISNUMBER(E739),E739&lt;=0)),"Use preços positivos","")))))))</f>
        <v/>
      </c>
    </row>
    <row r="740" spans="1:11" ht="22.95" customHeight="1">
      <c r="A740" s="28"/>
      <c r="B740" s="29"/>
      <c r="C740" s="29"/>
      <c r="D740" s="29"/>
      <c r="E740" s="30"/>
      <c r="F740" s="22" t="str">
        <f>IF(OR($A740="",B740="",B740&lt;=0,Séries!Q739=""),"",B740/Séries!Q739-1)</f>
        <v/>
      </c>
      <c r="G740" s="22" t="str">
        <f>IF(OR($A740="",C740="",C740&lt;=0,Séries!R739=""),"",C740/Séries!R739-1)</f>
        <v/>
      </c>
      <c r="H740" s="22" t="str">
        <f>IF(OR($A740="",D740="",D740&lt;=0,Séries!S739=""),"",D740/Séries!S739-1)</f>
        <v/>
      </c>
      <c r="I740" s="22" t="str">
        <f>IF(OR($A740="",E740="",E740&lt;=0,Séries!T739=""),"",E740/Séries!T739-1)</f>
        <v/>
      </c>
      <c r="J740" s="27"/>
      <c r="K740" s="1" t="str">
        <f>IF(COUNTA(A740:E740)=0,"",IF(A740="","Preencha a data",IF(NOT(ISNUMBER(A740)),"Data inválida",IF(OR(A740&lt;36526,A740&gt;73050,A740&lt;&gt;INT(A740)),"Data inválida",IF(A740&lt;=Séries!U739,"Data repetida / fora de ordem",IF(COUNTA(B740:E740)&lt;&gt;COUNT(B740:E740),"Use preços numéricos",IF(OR(AND(ISNUMBER(B740),B740&lt;=0),AND(ISNUMBER(C740),C740&lt;=0),AND(ISNUMBER(D740),D740&lt;=0),AND(ISNUMBER(E740),E740&lt;=0)),"Use preços positivos","")))))))</f>
        <v/>
      </c>
    </row>
    <row r="741" spans="1:11" ht="22.95" customHeight="1">
      <c r="A741" s="28"/>
      <c r="B741" s="29"/>
      <c r="C741" s="29"/>
      <c r="D741" s="29"/>
      <c r="E741" s="30"/>
      <c r="F741" s="22" t="str">
        <f>IF(OR($A741="",B741="",B741&lt;=0,Séries!Q740=""),"",B741/Séries!Q740-1)</f>
        <v/>
      </c>
      <c r="G741" s="22" t="str">
        <f>IF(OR($A741="",C741="",C741&lt;=0,Séries!R740=""),"",C741/Séries!R740-1)</f>
        <v/>
      </c>
      <c r="H741" s="22" t="str">
        <f>IF(OR($A741="",D741="",D741&lt;=0,Séries!S740=""),"",D741/Séries!S740-1)</f>
        <v/>
      </c>
      <c r="I741" s="22" t="str">
        <f>IF(OR($A741="",E741="",E741&lt;=0,Séries!T740=""),"",E741/Séries!T740-1)</f>
        <v/>
      </c>
      <c r="J741" s="27"/>
      <c r="K741" s="1" t="str">
        <f>IF(COUNTA(A741:E741)=0,"",IF(A741="","Preencha a data",IF(NOT(ISNUMBER(A741)),"Data inválida",IF(OR(A741&lt;36526,A741&gt;73050,A741&lt;&gt;INT(A741)),"Data inválida",IF(A741&lt;=Séries!U740,"Data repetida / fora de ordem",IF(COUNTA(B741:E741)&lt;&gt;COUNT(B741:E741),"Use preços numéricos",IF(OR(AND(ISNUMBER(B741),B741&lt;=0),AND(ISNUMBER(C741),C741&lt;=0),AND(ISNUMBER(D741),D741&lt;=0),AND(ISNUMBER(E741),E741&lt;=0)),"Use preços positivos","")))))))</f>
        <v/>
      </c>
    </row>
    <row r="742" spans="1:11" ht="22.95" customHeight="1">
      <c r="A742" s="28"/>
      <c r="B742" s="29"/>
      <c r="C742" s="29"/>
      <c r="D742" s="29"/>
      <c r="E742" s="30"/>
      <c r="F742" s="22" t="str">
        <f>IF(OR($A742="",B742="",B742&lt;=0,Séries!Q741=""),"",B742/Séries!Q741-1)</f>
        <v/>
      </c>
      <c r="G742" s="22" t="str">
        <f>IF(OR($A742="",C742="",C742&lt;=0,Séries!R741=""),"",C742/Séries!R741-1)</f>
        <v/>
      </c>
      <c r="H742" s="22" t="str">
        <f>IF(OR($A742="",D742="",D742&lt;=0,Séries!S741=""),"",D742/Séries!S741-1)</f>
        <v/>
      </c>
      <c r="I742" s="22" t="str">
        <f>IF(OR($A742="",E742="",E742&lt;=0,Séries!T741=""),"",E742/Séries!T741-1)</f>
        <v/>
      </c>
      <c r="J742" s="27"/>
      <c r="K742" s="1" t="str">
        <f>IF(COUNTA(A742:E742)=0,"",IF(A742="","Preencha a data",IF(NOT(ISNUMBER(A742)),"Data inválida",IF(OR(A742&lt;36526,A742&gt;73050,A742&lt;&gt;INT(A742)),"Data inválida",IF(A742&lt;=Séries!U741,"Data repetida / fora de ordem",IF(COUNTA(B742:E742)&lt;&gt;COUNT(B742:E742),"Use preços numéricos",IF(OR(AND(ISNUMBER(B742),B742&lt;=0),AND(ISNUMBER(C742),C742&lt;=0),AND(ISNUMBER(D742),D742&lt;=0),AND(ISNUMBER(E742),E742&lt;=0)),"Use preços positivos","")))))))</f>
        <v/>
      </c>
    </row>
    <row r="743" spans="1:11" ht="22.95" customHeight="1">
      <c r="A743" s="28"/>
      <c r="B743" s="29"/>
      <c r="C743" s="29"/>
      <c r="D743" s="29"/>
      <c r="E743" s="30"/>
      <c r="F743" s="22" t="str">
        <f>IF(OR($A743="",B743="",B743&lt;=0,Séries!Q742=""),"",B743/Séries!Q742-1)</f>
        <v/>
      </c>
      <c r="G743" s="22" t="str">
        <f>IF(OR($A743="",C743="",C743&lt;=0,Séries!R742=""),"",C743/Séries!R742-1)</f>
        <v/>
      </c>
      <c r="H743" s="22" t="str">
        <f>IF(OR($A743="",D743="",D743&lt;=0,Séries!S742=""),"",D743/Séries!S742-1)</f>
        <v/>
      </c>
      <c r="I743" s="22" t="str">
        <f>IF(OR($A743="",E743="",E743&lt;=0,Séries!T742=""),"",E743/Séries!T742-1)</f>
        <v/>
      </c>
      <c r="J743" s="27"/>
      <c r="K743" s="1" t="str">
        <f>IF(COUNTA(A743:E743)=0,"",IF(A743="","Preencha a data",IF(NOT(ISNUMBER(A743)),"Data inválida",IF(OR(A743&lt;36526,A743&gt;73050,A743&lt;&gt;INT(A743)),"Data inválida",IF(A743&lt;=Séries!U742,"Data repetida / fora de ordem",IF(COUNTA(B743:E743)&lt;&gt;COUNT(B743:E743),"Use preços numéricos",IF(OR(AND(ISNUMBER(B743),B743&lt;=0),AND(ISNUMBER(C743),C743&lt;=0),AND(ISNUMBER(D743),D743&lt;=0),AND(ISNUMBER(E743),E743&lt;=0)),"Use preços positivos","")))))))</f>
        <v/>
      </c>
    </row>
    <row r="744" spans="1:11" ht="22.95" customHeight="1">
      <c r="A744" s="28"/>
      <c r="B744" s="29"/>
      <c r="C744" s="29"/>
      <c r="D744" s="29"/>
      <c r="E744" s="30"/>
      <c r="F744" s="22" t="str">
        <f>IF(OR($A744="",B744="",B744&lt;=0,Séries!Q743=""),"",B744/Séries!Q743-1)</f>
        <v/>
      </c>
      <c r="G744" s="22" t="str">
        <f>IF(OR($A744="",C744="",C744&lt;=0,Séries!R743=""),"",C744/Séries!R743-1)</f>
        <v/>
      </c>
      <c r="H744" s="22" t="str">
        <f>IF(OR($A744="",D744="",D744&lt;=0,Séries!S743=""),"",D744/Séries!S743-1)</f>
        <v/>
      </c>
      <c r="I744" s="22" t="str">
        <f>IF(OR($A744="",E744="",E744&lt;=0,Séries!T743=""),"",E744/Séries!T743-1)</f>
        <v/>
      </c>
      <c r="J744" s="27"/>
      <c r="K744" s="1" t="str">
        <f>IF(COUNTA(A744:E744)=0,"",IF(A744="","Preencha a data",IF(NOT(ISNUMBER(A744)),"Data inválida",IF(OR(A744&lt;36526,A744&gt;73050,A744&lt;&gt;INT(A744)),"Data inválida",IF(A744&lt;=Séries!U743,"Data repetida / fora de ordem",IF(COUNTA(B744:E744)&lt;&gt;COUNT(B744:E744),"Use preços numéricos",IF(OR(AND(ISNUMBER(B744),B744&lt;=0),AND(ISNUMBER(C744),C744&lt;=0),AND(ISNUMBER(D744),D744&lt;=0),AND(ISNUMBER(E744),E744&lt;=0)),"Use preços positivos","")))))))</f>
        <v/>
      </c>
    </row>
    <row r="745" spans="1:11" ht="22.95" customHeight="1">
      <c r="A745" s="28"/>
      <c r="B745" s="29"/>
      <c r="C745" s="29"/>
      <c r="D745" s="29"/>
      <c r="E745" s="30"/>
      <c r="F745" s="22" t="str">
        <f>IF(OR($A745="",B745="",B745&lt;=0,Séries!Q744=""),"",B745/Séries!Q744-1)</f>
        <v/>
      </c>
      <c r="G745" s="22" t="str">
        <f>IF(OR($A745="",C745="",C745&lt;=0,Séries!R744=""),"",C745/Séries!R744-1)</f>
        <v/>
      </c>
      <c r="H745" s="22" t="str">
        <f>IF(OR($A745="",D745="",D745&lt;=0,Séries!S744=""),"",D745/Séries!S744-1)</f>
        <v/>
      </c>
      <c r="I745" s="22" t="str">
        <f>IF(OR($A745="",E745="",E745&lt;=0,Séries!T744=""),"",E745/Séries!T744-1)</f>
        <v/>
      </c>
      <c r="J745" s="27"/>
      <c r="K745" s="1" t="str">
        <f>IF(COUNTA(A745:E745)=0,"",IF(A745="","Preencha a data",IF(NOT(ISNUMBER(A745)),"Data inválida",IF(OR(A745&lt;36526,A745&gt;73050,A745&lt;&gt;INT(A745)),"Data inválida",IF(A745&lt;=Séries!U744,"Data repetida / fora de ordem",IF(COUNTA(B745:E745)&lt;&gt;COUNT(B745:E745),"Use preços numéricos",IF(OR(AND(ISNUMBER(B745),B745&lt;=0),AND(ISNUMBER(C745),C745&lt;=0),AND(ISNUMBER(D745),D745&lt;=0),AND(ISNUMBER(E745),E745&lt;=0)),"Use preços positivos","")))))))</f>
        <v/>
      </c>
    </row>
    <row r="746" spans="1:11" ht="22.95" customHeight="1">
      <c r="A746" s="28"/>
      <c r="B746" s="29"/>
      <c r="C746" s="29"/>
      <c r="D746" s="29"/>
      <c r="E746" s="30"/>
      <c r="F746" s="22" t="str">
        <f>IF(OR($A746="",B746="",B746&lt;=0,Séries!Q745=""),"",B746/Séries!Q745-1)</f>
        <v/>
      </c>
      <c r="G746" s="22" t="str">
        <f>IF(OR($A746="",C746="",C746&lt;=0,Séries!R745=""),"",C746/Séries!R745-1)</f>
        <v/>
      </c>
      <c r="H746" s="22" t="str">
        <f>IF(OR($A746="",D746="",D746&lt;=0,Séries!S745=""),"",D746/Séries!S745-1)</f>
        <v/>
      </c>
      <c r="I746" s="22" t="str">
        <f>IF(OR($A746="",E746="",E746&lt;=0,Séries!T745=""),"",E746/Séries!T745-1)</f>
        <v/>
      </c>
      <c r="J746" s="27"/>
      <c r="K746" s="1" t="str">
        <f>IF(COUNTA(A746:E746)=0,"",IF(A746="","Preencha a data",IF(NOT(ISNUMBER(A746)),"Data inválida",IF(OR(A746&lt;36526,A746&gt;73050,A746&lt;&gt;INT(A746)),"Data inválida",IF(A746&lt;=Séries!U745,"Data repetida / fora de ordem",IF(COUNTA(B746:E746)&lt;&gt;COUNT(B746:E746),"Use preços numéricos",IF(OR(AND(ISNUMBER(B746),B746&lt;=0),AND(ISNUMBER(C746),C746&lt;=0),AND(ISNUMBER(D746),D746&lt;=0),AND(ISNUMBER(E746),E746&lt;=0)),"Use preços positivos","")))))))</f>
        <v/>
      </c>
    </row>
    <row r="747" spans="1:11" ht="22.95" customHeight="1">
      <c r="A747" s="28"/>
      <c r="B747" s="29"/>
      <c r="C747" s="29"/>
      <c r="D747" s="29"/>
      <c r="E747" s="30"/>
      <c r="F747" s="22" t="str">
        <f>IF(OR($A747="",B747="",B747&lt;=0,Séries!Q746=""),"",B747/Séries!Q746-1)</f>
        <v/>
      </c>
      <c r="G747" s="22" t="str">
        <f>IF(OR($A747="",C747="",C747&lt;=0,Séries!R746=""),"",C747/Séries!R746-1)</f>
        <v/>
      </c>
      <c r="H747" s="22" t="str">
        <f>IF(OR($A747="",D747="",D747&lt;=0,Séries!S746=""),"",D747/Séries!S746-1)</f>
        <v/>
      </c>
      <c r="I747" s="22" t="str">
        <f>IF(OR($A747="",E747="",E747&lt;=0,Séries!T746=""),"",E747/Séries!T746-1)</f>
        <v/>
      </c>
      <c r="J747" s="27"/>
      <c r="K747" s="1" t="str">
        <f>IF(COUNTA(A747:E747)=0,"",IF(A747="","Preencha a data",IF(NOT(ISNUMBER(A747)),"Data inválida",IF(OR(A747&lt;36526,A747&gt;73050,A747&lt;&gt;INT(A747)),"Data inválida",IF(A747&lt;=Séries!U746,"Data repetida / fora de ordem",IF(COUNTA(B747:E747)&lt;&gt;COUNT(B747:E747),"Use preços numéricos",IF(OR(AND(ISNUMBER(B747),B747&lt;=0),AND(ISNUMBER(C747),C747&lt;=0),AND(ISNUMBER(D747),D747&lt;=0),AND(ISNUMBER(E747),E747&lt;=0)),"Use preços positivos","")))))))</f>
        <v/>
      </c>
    </row>
    <row r="748" spans="1:11" ht="22.95" customHeight="1">
      <c r="A748" s="28"/>
      <c r="B748" s="29"/>
      <c r="C748" s="29"/>
      <c r="D748" s="29"/>
      <c r="E748" s="30"/>
      <c r="F748" s="22" t="str">
        <f>IF(OR($A748="",B748="",B748&lt;=0,Séries!Q747=""),"",B748/Séries!Q747-1)</f>
        <v/>
      </c>
      <c r="G748" s="22" t="str">
        <f>IF(OR($A748="",C748="",C748&lt;=0,Séries!R747=""),"",C748/Séries!R747-1)</f>
        <v/>
      </c>
      <c r="H748" s="22" t="str">
        <f>IF(OR($A748="",D748="",D748&lt;=0,Séries!S747=""),"",D748/Séries!S747-1)</f>
        <v/>
      </c>
      <c r="I748" s="22" t="str">
        <f>IF(OR($A748="",E748="",E748&lt;=0,Séries!T747=""),"",E748/Séries!T747-1)</f>
        <v/>
      </c>
      <c r="J748" s="27"/>
      <c r="K748" s="1" t="str">
        <f>IF(COUNTA(A748:E748)=0,"",IF(A748="","Preencha a data",IF(NOT(ISNUMBER(A748)),"Data inválida",IF(OR(A748&lt;36526,A748&gt;73050,A748&lt;&gt;INT(A748)),"Data inválida",IF(A748&lt;=Séries!U747,"Data repetida / fora de ordem",IF(COUNTA(B748:E748)&lt;&gt;COUNT(B748:E748),"Use preços numéricos",IF(OR(AND(ISNUMBER(B748),B748&lt;=0),AND(ISNUMBER(C748),C748&lt;=0),AND(ISNUMBER(D748),D748&lt;=0),AND(ISNUMBER(E748),E748&lt;=0)),"Use preços positivos","")))))))</f>
        <v/>
      </c>
    </row>
    <row r="749" spans="1:11" ht="22.95" customHeight="1">
      <c r="A749" s="28"/>
      <c r="B749" s="29"/>
      <c r="C749" s="29"/>
      <c r="D749" s="29"/>
      <c r="E749" s="30"/>
      <c r="F749" s="22" t="str">
        <f>IF(OR($A749="",B749="",B749&lt;=0,Séries!Q748=""),"",B749/Séries!Q748-1)</f>
        <v/>
      </c>
      <c r="G749" s="22" t="str">
        <f>IF(OR($A749="",C749="",C749&lt;=0,Séries!R748=""),"",C749/Séries!R748-1)</f>
        <v/>
      </c>
      <c r="H749" s="22" t="str">
        <f>IF(OR($A749="",D749="",D749&lt;=0,Séries!S748=""),"",D749/Séries!S748-1)</f>
        <v/>
      </c>
      <c r="I749" s="22" t="str">
        <f>IF(OR($A749="",E749="",E749&lt;=0,Séries!T748=""),"",E749/Séries!T748-1)</f>
        <v/>
      </c>
      <c r="J749" s="27"/>
      <c r="K749" s="1" t="str">
        <f>IF(COUNTA(A749:E749)=0,"",IF(A749="","Preencha a data",IF(NOT(ISNUMBER(A749)),"Data inválida",IF(OR(A749&lt;36526,A749&gt;73050,A749&lt;&gt;INT(A749)),"Data inválida",IF(A749&lt;=Séries!U748,"Data repetida / fora de ordem",IF(COUNTA(B749:E749)&lt;&gt;COUNT(B749:E749),"Use preços numéricos",IF(OR(AND(ISNUMBER(B749),B749&lt;=0),AND(ISNUMBER(C749),C749&lt;=0),AND(ISNUMBER(D749),D749&lt;=0),AND(ISNUMBER(E749),E749&lt;=0)),"Use preços positivos","")))))))</f>
        <v/>
      </c>
    </row>
    <row r="750" spans="1:11" ht="22.95" customHeight="1">
      <c r="A750" s="28"/>
      <c r="B750" s="29"/>
      <c r="C750" s="29"/>
      <c r="D750" s="29"/>
      <c r="E750" s="30"/>
      <c r="F750" s="22" t="str">
        <f>IF(OR($A750="",B750="",B750&lt;=0,Séries!Q749=""),"",B750/Séries!Q749-1)</f>
        <v/>
      </c>
      <c r="G750" s="22" t="str">
        <f>IF(OR($A750="",C750="",C750&lt;=0,Séries!R749=""),"",C750/Séries!R749-1)</f>
        <v/>
      </c>
      <c r="H750" s="22" t="str">
        <f>IF(OR($A750="",D750="",D750&lt;=0,Séries!S749=""),"",D750/Séries!S749-1)</f>
        <v/>
      </c>
      <c r="I750" s="22" t="str">
        <f>IF(OR($A750="",E750="",E750&lt;=0,Séries!T749=""),"",E750/Séries!T749-1)</f>
        <v/>
      </c>
      <c r="J750" s="27"/>
      <c r="K750" s="1" t="str">
        <f>IF(COUNTA(A750:E750)=0,"",IF(A750="","Preencha a data",IF(NOT(ISNUMBER(A750)),"Data inválida",IF(OR(A750&lt;36526,A750&gt;73050,A750&lt;&gt;INT(A750)),"Data inválida",IF(A750&lt;=Séries!U749,"Data repetida / fora de ordem",IF(COUNTA(B750:E750)&lt;&gt;COUNT(B750:E750),"Use preços numéricos",IF(OR(AND(ISNUMBER(B750),B750&lt;=0),AND(ISNUMBER(C750),C750&lt;=0),AND(ISNUMBER(D750),D750&lt;=0),AND(ISNUMBER(E750),E750&lt;=0)),"Use preços positivos","")))))))</f>
        <v/>
      </c>
    </row>
    <row r="751" spans="1:11" ht="22.95" customHeight="1">
      <c r="A751" s="28"/>
      <c r="B751" s="29"/>
      <c r="C751" s="29"/>
      <c r="D751" s="29"/>
      <c r="E751" s="30"/>
      <c r="F751" s="22" t="str">
        <f>IF(OR($A751="",B751="",B751&lt;=0,Séries!Q750=""),"",B751/Séries!Q750-1)</f>
        <v/>
      </c>
      <c r="G751" s="22" t="str">
        <f>IF(OR($A751="",C751="",C751&lt;=0,Séries!R750=""),"",C751/Séries!R750-1)</f>
        <v/>
      </c>
      <c r="H751" s="22" t="str">
        <f>IF(OR($A751="",D751="",D751&lt;=0,Séries!S750=""),"",D751/Séries!S750-1)</f>
        <v/>
      </c>
      <c r="I751" s="22" t="str">
        <f>IF(OR($A751="",E751="",E751&lt;=0,Séries!T750=""),"",E751/Séries!T750-1)</f>
        <v/>
      </c>
      <c r="J751" s="27"/>
      <c r="K751" s="1" t="str">
        <f>IF(COUNTA(A751:E751)=0,"",IF(A751="","Preencha a data",IF(NOT(ISNUMBER(A751)),"Data inválida",IF(OR(A751&lt;36526,A751&gt;73050,A751&lt;&gt;INT(A751)),"Data inválida",IF(A751&lt;=Séries!U750,"Data repetida / fora de ordem",IF(COUNTA(B751:E751)&lt;&gt;COUNT(B751:E751),"Use preços numéricos",IF(OR(AND(ISNUMBER(B751),B751&lt;=0),AND(ISNUMBER(C751),C751&lt;=0),AND(ISNUMBER(D751),D751&lt;=0),AND(ISNUMBER(E751),E751&lt;=0)),"Use preços positivos","")))))))</f>
        <v/>
      </c>
    </row>
    <row r="752" spans="1:11" ht="22.95" customHeight="1">
      <c r="A752" s="28"/>
      <c r="B752" s="29"/>
      <c r="C752" s="29"/>
      <c r="D752" s="29"/>
      <c r="E752" s="30"/>
      <c r="F752" s="22" t="str">
        <f>IF(OR($A752="",B752="",B752&lt;=0,Séries!Q751=""),"",B752/Séries!Q751-1)</f>
        <v/>
      </c>
      <c r="G752" s="22" t="str">
        <f>IF(OR($A752="",C752="",C752&lt;=0,Séries!R751=""),"",C752/Séries!R751-1)</f>
        <v/>
      </c>
      <c r="H752" s="22" t="str">
        <f>IF(OR($A752="",D752="",D752&lt;=0,Séries!S751=""),"",D752/Séries!S751-1)</f>
        <v/>
      </c>
      <c r="I752" s="22" t="str">
        <f>IF(OR($A752="",E752="",E752&lt;=0,Séries!T751=""),"",E752/Séries!T751-1)</f>
        <v/>
      </c>
      <c r="J752" s="27"/>
      <c r="K752" s="1" t="str">
        <f>IF(COUNTA(A752:E752)=0,"",IF(A752="","Preencha a data",IF(NOT(ISNUMBER(A752)),"Data inválida",IF(OR(A752&lt;36526,A752&gt;73050,A752&lt;&gt;INT(A752)),"Data inválida",IF(A752&lt;=Séries!U751,"Data repetida / fora de ordem",IF(COUNTA(B752:E752)&lt;&gt;COUNT(B752:E752),"Use preços numéricos",IF(OR(AND(ISNUMBER(B752),B752&lt;=0),AND(ISNUMBER(C752),C752&lt;=0),AND(ISNUMBER(D752),D752&lt;=0),AND(ISNUMBER(E752),E752&lt;=0)),"Use preços positivos","")))))))</f>
        <v/>
      </c>
    </row>
    <row r="753" spans="1:11" ht="22.95" customHeight="1">
      <c r="A753" s="28"/>
      <c r="B753" s="29"/>
      <c r="C753" s="29"/>
      <c r="D753" s="29"/>
      <c r="E753" s="30"/>
      <c r="F753" s="22" t="str">
        <f>IF(OR($A753="",B753="",B753&lt;=0,Séries!Q752=""),"",B753/Séries!Q752-1)</f>
        <v/>
      </c>
      <c r="G753" s="22" t="str">
        <f>IF(OR($A753="",C753="",C753&lt;=0,Séries!R752=""),"",C753/Séries!R752-1)</f>
        <v/>
      </c>
      <c r="H753" s="22" t="str">
        <f>IF(OR($A753="",D753="",D753&lt;=0,Séries!S752=""),"",D753/Séries!S752-1)</f>
        <v/>
      </c>
      <c r="I753" s="22" t="str">
        <f>IF(OR($A753="",E753="",E753&lt;=0,Séries!T752=""),"",E753/Séries!T752-1)</f>
        <v/>
      </c>
      <c r="J753" s="27"/>
      <c r="K753" s="1" t="str">
        <f>IF(COUNTA(A753:E753)=0,"",IF(A753="","Preencha a data",IF(NOT(ISNUMBER(A753)),"Data inválida",IF(OR(A753&lt;36526,A753&gt;73050,A753&lt;&gt;INT(A753)),"Data inválida",IF(A753&lt;=Séries!U752,"Data repetida / fora de ordem",IF(COUNTA(B753:E753)&lt;&gt;COUNT(B753:E753),"Use preços numéricos",IF(OR(AND(ISNUMBER(B753),B753&lt;=0),AND(ISNUMBER(C753),C753&lt;=0),AND(ISNUMBER(D753),D753&lt;=0),AND(ISNUMBER(E753),E753&lt;=0)),"Use preços positivos","")))))))</f>
        <v/>
      </c>
    </row>
    <row r="754" spans="1:11" ht="22.95" customHeight="1">
      <c r="A754" s="28"/>
      <c r="B754" s="29"/>
      <c r="C754" s="29"/>
      <c r="D754" s="29"/>
      <c r="E754" s="30"/>
      <c r="F754" s="22" t="str">
        <f>IF(OR($A754="",B754="",B754&lt;=0,Séries!Q753=""),"",B754/Séries!Q753-1)</f>
        <v/>
      </c>
      <c r="G754" s="22" t="str">
        <f>IF(OR($A754="",C754="",C754&lt;=0,Séries!R753=""),"",C754/Séries!R753-1)</f>
        <v/>
      </c>
      <c r="H754" s="22" t="str">
        <f>IF(OR($A754="",D754="",D754&lt;=0,Séries!S753=""),"",D754/Séries!S753-1)</f>
        <v/>
      </c>
      <c r="I754" s="22" t="str">
        <f>IF(OR($A754="",E754="",E754&lt;=0,Séries!T753=""),"",E754/Séries!T753-1)</f>
        <v/>
      </c>
      <c r="J754" s="27"/>
      <c r="K754" s="1" t="str">
        <f>IF(COUNTA(A754:E754)=0,"",IF(A754="","Preencha a data",IF(NOT(ISNUMBER(A754)),"Data inválida",IF(OR(A754&lt;36526,A754&gt;73050,A754&lt;&gt;INT(A754)),"Data inválida",IF(A754&lt;=Séries!U753,"Data repetida / fora de ordem",IF(COUNTA(B754:E754)&lt;&gt;COUNT(B754:E754),"Use preços numéricos",IF(OR(AND(ISNUMBER(B754),B754&lt;=0),AND(ISNUMBER(C754),C754&lt;=0),AND(ISNUMBER(D754),D754&lt;=0),AND(ISNUMBER(E754),E754&lt;=0)),"Use preços positivos","")))))))</f>
        <v/>
      </c>
    </row>
    <row r="755" spans="1:11" ht="22.95" customHeight="1">
      <c r="A755" s="28"/>
      <c r="B755" s="29"/>
      <c r="C755" s="29"/>
      <c r="D755" s="29"/>
      <c r="E755" s="30"/>
      <c r="F755" s="22" t="str">
        <f>IF(OR($A755="",B755="",B755&lt;=0,Séries!Q754=""),"",B755/Séries!Q754-1)</f>
        <v/>
      </c>
      <c r="G755" s="22" t="str">
        <f>IF(OR($A755="",C755="",C755&lt;=0,Séries!R754=""),"",C755/Séries!R754-1)</f>
        <v/>
      </c>
      <c r="H755" s="22" t="str">
        <f>IF(OR($A755="",D755="",D755&lt;=0,Séries!S754=""),"",D755/Séries!S754-1)</f>
        <v/>
      </c>
      <c r="I755" s="22" t="str">
        <f>IF(OR($A755="",E755="",E755&lt;=0,Séries!T754=""),"",E755/Séries!T754-1)</f>
        <v/>
      </c>
      <c r="J755" s="27"/>
      <c r="K755" s="1" t="str">
        <f>IF(COUNTA(A755:E755)=0,"",IF(A755="","Preencha a data",IF(NOT(ISNUMBER(A755)),"Data inválida",IF(OR(A755&lt;36526,A755&gt;73050,A755&lt;&gt;INT(A755)),"Data inválida",IF(A755&lt;=Séries!U754,"Data repetida / fora de ordem",IF(COUNTA(B755:E755)&lt;&gt;COUNT(B755:E755),"Use preços numéricos",IF(OR(AND(ISNUMBER(B755),B755&lt;=0),AND(ISNUMBER(C755),C755&lt;=0),AND(ISNUMBER(D755),D755&lt;=0),AND(ISNUMBER(E755),E755&lt;=0)),"Use preços positivos","")))))))</f>
        <v/>
      </c>
    </row>
    <row r="756" spans="1:11" ht="22.95" customHeight="1">
      <c r="A756" s="28"/>
      <c r="B756" s="29"/>
      <c r="C756" s="29"/>
      <c r="D756" s="29"/>
      <c r="E756" s="30"/>
      <c r="F756" s="22" t="str">
        <f>IF(OR($A756="",B756="",B756&lt;=0,Séries!Q755=""),"",B756/Séries!Q755-1)</f>
        <v/>
      </c>
      <c r="G756" s="22" t="str">
        <f>IF(OR($A756="",C756="",C756&lt;=0,Séries!R755=""),"",C756/Séries!R755-1)</f>
        <v/>
      </c>
      <c r="H756" s="22" t="str">
        <f>IF(OR($A756="",D756="",D756&lt;=0,Séries!S755=""),"",D756/Séries!S755-1)</f>
        <v/>
      </c>
      <c r="I756" s="22" t="str">
        <f>IF(OR($A756="",E756="",E756&lt;=0,Séries!T755=""),"",E756/Séries!T755-1)</f>
        <v/>
      </c>
      <c r="J756" s="27"/>
      <c r="K756" s="1" t="str">
        <f>IF(COUNTA(A756:E756)=0,"",IF(A756="","Preencha a data",IF(NOT(ISNUMBER(A756)),"Data inválida",IF(OR(A756&lt;36526,A756&gt;73050,A756&lt;&gt;INT(A756)),"Data inválida",IF(A756&lt;=Séries!U755,"Data repetida / fora de ordem",IF(COUNTA(B756:E756)&lt;&gt;COUNT(B756:E756),"Use preços numéricos",IF(OR(AND(ISNUMBER(B756),B756&lt;=0),AND(ISNUMBER(C756),C756&lt;=0),AND(ISNUMBER(D756),D756&lt;=0),AND(ISNUMBER(E756),E756&lt;=0)),"Use preços positivos","")))))))</f>
        <v/>
      </c>
    </row>
    <row r="757" spans="1:11" ht="22.95" customHeight="1">
      <c r="A757" s="28"/>
      <c r="B757" s="29"/>
      <c r="C757" s="29"/>
      <c r="D757" s="29"/>
      <c r="E757" s="30"/>
      <c r="F757" s="22" t="str">
        <f>IF(OR($A757="",B757="",B757&lt;=0,Séries!Q756=""),"",B757/Séries!Q756-1)</f>
        <v/>
      </c>
      <c r="G757" s="22" t="str">
        <f>IF(OR($A757="",C757="",C757&lt;=0,Séries!R756=""),"",C757/Séries!R756-1)</f>
        <v/>
      </c>
      <c r="H757" s="22" t="str">
        <f>IF(OR($A757="",D757="",D757&lt;=0,Séries!S756=""),"",D757/Séries!S756-1)</f>
        <v/>
      </c>
      <c r="I757" s="22" t="str">
        <f>IF(OR($A757="",E757="",E757&lt;=0,Séries!T756=""),"",E757/Séries!T756-1)</f>
        <v/>
      </c>
      <c r="J757" s="27"/>
      <c r="K757" s="1" t="str">
        <f>IF(COUNTA(A757:E757)=0,"",IF(A757="","Preencha a data",IF(NOT(ISNUMBER(A757)),"Data inválida",IF(OR(A757&lt;36526,A757&gt;73050,A757&lt;&gt;INT(A757)),"Data inválida",IF(A757&lt;=Séries!U756,"Data repetida / fora de ordem",IF(COUNTA(B757:E757)&lt;&gt;COUNT(B757:E757),"Use preços numéricos",IF(OR(AND(ISNUMBER(B757),B757&lt;=0),AND(ISNUMBER(C757),C757&lt;=0),AND(ISNUMBER(D757),D757&lt;=0),AND(ISNUMBER(E757),E757&lt;=0)),"Use preços positivos","")))))))</f>
        <v/>
      </c>
    </row>
    <row r="758" spans="1:11" ht="22.95" customHeight="1">
      <c r="A758" s="28"/>
      <c r="B758" s="29"/>
      <c r="C758" s="29"/>
      <c r="D758" s="29"/>
      <c r="E758" s="30"/>
      <c r="F758" s="22" t="str">
        <f>IF(OR($A758="",B758="",B758&lt;=0,Séries!Q757=""),"",B758/Séries!Q757-1)</f>
        <v/>
      </c>
      <c r="G758" s="22" t="str">
        <f>IF(OR($A758="",C758="",C758&lt;=0,Séries!R757=""),"",C758/Séries!R757-1)</f>
        <v/>
      </c>
      <c r="H758" s="22" t="str">
        <f>IF(OR($A758="",D758="",D758&lt;=0,Séries!S757=""),"",D758/Séries!S757-1)</f>
        <v/>
      </c>
      <c r="I758" s="22" t="str">
        <f>IF(OR($A758="",E758="",E758&lt;=0,Séries!T757=""),"",E758/Séries!T757-1)</f>
        <v/>
      </c>
      <c r="J758" s="27"/>
      <c r="K758" s="1" t="str">
        <f>IF(COUNTA(A758:E758)=0,"",IF(A758="","Preencha a data",IF(NOT(ISNUMBER(A758)),"Data inválida",IF(OR(A758&lt;36526,A758&gt;73050,A758&lt;&gt;INT(A758)),"Data inválida",IF(A758&lt;=Séries!U757,"Data repetida / fora de ordem",IF(COUNTA(B758:E758)&lt;&gt;COUNT(B758:E758),"Use preços numéricos",IF(OR(AND(ISNUMBER(B758),B758&lt;=0),AND(ISNUMBER(C758),C758&lt;=0),AND(ISNUMBER(D758),D758&lt;=0),AND(ISNUMBER(E758),E758&lt;=0)),"Use preços positivos","")))))))</f>
        <v/>
      </c>
    </row>
    <row r="759" spans="1:11" ht="22.95" customHeight="1">
      <c r="A759" s="28"/>
      <c r="B759" s="29"/>
      <c r="C759" s="29"/>
      <c r="D759" s="29"/>
      <c r="E759" s="30"/>
      <c r="F759" s="22" t="str">
        <f>IF(OR($A759="",B759="",B759&lt;=0,Séries!Q758=""),"",B759/Séries!Q758-1)</f>
        <v/>
      </c>
      <c r="G759" s="22" t="str">
        <f>IF(OR($A759="",C759="",C759&lt;=0,Séries!R758=""),"",C759/Séries!R758-1)</f>
        <v/>
      </c>
      <c r="H759" s="22" t="str">
        <f>IF(OR($A759="",D759="",D759&lt;=0,Séries!S758=""),"",D759/Séries!S758-1)</f>
        <v/>
      </c>
      <c r="I759" s="22" t="str">
        <f>IF(OR($A759="",E759="",E759&lt;=0,Séries!T758=""),"",E759/Séries!T758-1)</f>
        <v/>
      </c>
      <c r="J759" s="27"/>
      <c r="K759" s="1" t="str">
        <f>IF(COUNTA(A759:E759)=0,"",IF(A759="","Preencha a data",IF(NOT(ISNUMBER(A759)),"Data inválida",IF(OR(A759&lt;36526,A759&gt;73050,A759&lt;&gt;INT(A759)),"Data inválida",IF(A759&lt;=Séries!U758,"Data repetida / fora de ordem",IF(COUNTA(B759:E759)&lt;&gt;COUNT(B759:E759),"Use preços numéricos",IF(OR(AND(ISNUMBER(B759),B759&lt;=0),AND(ISNUMBER(C759),C759&lt;=0),AND(ISNUMBER(D759),D759&lt;=0),AND(ISNUMBER(E759),E759&lt;=0)),"Use preços positivos","")))))))</f>
        <v/>
      </c>
    </row>
    <row r="760" spans="1:11" ht="22.95" customHeight="1">
      <c r="A760" s="28"/>
      <c r="B760" s="29"/>
      <c r="C760" s="29"/>
      <c r="D760" s="29"/>
      <c r="E760" s="30"/>
      <c r="F760" s="22" t="str">
        <f>IF(OR($A760="",B760="",B760&lt;=0,Séries!Q759=""),"",B760/Séries!Q759-1)</f>
        <v/>
      </c>
      <c r="G760" s="22" t="str">
        <f>IF(OR($A760="",C760="",C760&lt;=0,Séries!R759=""),"",C760/Séries!R759-1)</f>
        <v/>
      </c>
      <c r="H760" s="22" t="str">
        <f>IF(OR($A760="",D760="",D760&lt;=0,Séries!S759=""),"",D760/Séries!S759-1)</f>
        <v/>
      </c>
      <c r="I760" s="22" t="str">
        <f>IF(OR($A760="",E760="",E760&lt;=0,Séries!T759=""),"",E760/Séries!T759-1)</f>
        <v/>
      </c>
      <c r="J760" s="27"/>
      <c r="K760" s="1" t="str">
        <f>IF(COUNTA(A760:E760)=0,"",IF(A760="","Preencha a data",IF(NOT(ISNUMBER(A760)),"Data inválida",IF(OR(A760&lt;36526,A760&gt;73050,A760&lt;&gt;INT(A760)),"Data inválida",IF(A760&lt;=Séries!U759,"Data repetida / fora de ordem",IF(COUNTA(B760:E760)&lt;&gt;COUNT(B760:E760),"Use preços numéricos",IF(OR(AND(ISNUMBER(B760),B760&lt;=0),AND(ISNUMBER(C760),C760&lt;=0),AND(ISNUMBER(D760),D760&lt;=0),AND(ISNUMBER(E760),E760&lt;=0)),"Use preços positivos","")))))))</f>
        <v/>
      </c>
    </row>
    <row r="761" spans="1:11" ht="22.95" customHeight="1">
      <c r="A761" s="28"/>
      <c r="B761" s="29"/>
      <c r="C761" s="29"/>
      <c r="D761" s="29"/>
      <c r="E761" s="30"/>
      <c r="F761" s="22" t="str">
        <f>IF(OR($A761="",B761="",B761&lt;=0,Séries!Q760=""),"",B761/Séries!Q760-1)</f>
        <v/>
      </c>
      <c r="G761" s="22" t="str">
        <f>IF(OR($A761="",C761="",C761&lt;=0,Séries!R760=""),"",C761/Séries!R760-1)</f>
        <v/>
      </c>
      <c r="H761" s="22" t="str">
        <f>IF(OR($A761="",D761="",D761&lt;=0,Séries!S760=""),"",D761/Séries!S760-1)</f>
        <v/>
      </c>
      <c r="I761" s="22" t="str">
        <f>IF(OR($A761="",E761="",E761&lt;=0,Séries!T760=""),"",E761/Séries!T760-1)</f>
        <v/>
      </c>
      <c r="J761" s="27"/>
      <c r="K761" s="1" t="str">
        <f>IF(COUNTA(A761:E761)=0,"",IF(A761="","Preencha a data",IF(NOT(ISNUMBER(A761)),"Data inválida",IF(OR(A761&lt;36526,A761&gt;73050,A761&lt;&gt;INT(A761)),"Data inválida",IF(A761&lt;=Séries!U760,"Data repetida / fora de ordem",IF(COUNTA(B761:E761)&lt;&gt;COUNT(B761:E761),"Use preços numéricos",IF(OR(AND(ISNUMBER(B761),B761&lt;=0),AND(ISNUMBER(C761),C761&lt;=0),AND(ISNUMBER(D761),D761&lt;=0),AND(ISNUMBER(E761),E761&lt;=0)),"Use preços positivos","")))))))</f>
        <v/>
      </c>
    </row>
    <row r="762" spans="1:11" ht="22.95" customHeight="1">
      <c r="A762" s="28"/>
      <c r="B762" s="29"/>
      <c r="C762" s="29"/>
      <c r="D762" s="29"/>
      <c r="E762" s="30"/>
      <c r="F762" s="22" t="str">
        <f>IF(OR($A762="",B762="",B762&lt;=0,Séries!Q761=""),"",B762/Séries!Q761-1)</f>
        <v/>
      </c>
      <c r="G762" s="22" t="str">
        <f>IF(OR($A762="",C762="",C762&lt;=0,Séries!R761=""),"",C762/Séries!R761-1)</f>
        <v/>
      </c>
      <c r="H762" s="22" t="str">
        <f>IF(OR($A762="",D762="",D762&lt;=0,Séries!S761=""),"",D762/Séries!S761-1)</f>
        <v/>
      </c>
      <c r="I762" s="22" t="str">
        <f>IF(OR($A762="",E762="",E762&lt;=0,Séries!T761=""),"",E762/Séries!T761-1)</f>
        <v/>
      </c>
      <c r="J762" s="27"/>
      <c r="K762" s="1" t="str">
        <f>IF(COUNTA(A762:E762)=0,"",IF(A762="","Preencha a data",IF(NOT(ISNUMBER(A762)),"Data inválida",IF(OR(A762&lt;36526,A762&gt;73050,A762&lt;&gt;INT(A762)),"Data inválida",IF(A762&lt;=Séries!U761,"Data repetida / fora de ordem",IF(COUNTA(B762:E762)&lt;&gt;COUNT(B762:E762),"Use preços numéricos",IF(OR(AND(ISNUMBER(B762),B762&lt;=0),AND(ISNUMBER(C762),C762&lt;=0),AND(ISNUMBER(D762),D762&lt;=0),AND(ISNUMBER(E762),E762&lt;=0)),"Use preços positivos","")))))))</f>
        <v/>
      </c>
    </row>
    <row r="763" spans="1:11" ht="22.95" customHeight="1">
      <c r="A763" s="28"/>
      <c r="B763" s="29"/>
      <c r="C763" s="29"/>
      <c r="D763" s="29"/>
      <c r="E763" s="30"/>
      <c r="F763" s="22" t="str">
        <f>IF(OR($A763="",B763="",B763&lt;=0,Séries!Q762=""),"",B763/Séries!Q762-1)</f>
        <v/>
      </c>
      <c r="G763" s="22" t="str">
        <f>IF(OR($A763="",C763="",C763&lt;=0,Séries!R762=""),"",C763/Séries!R762-1)</f>
        <v/>
      </c>
      <c r="H763" s="22" t="str">
        <f>IF(OR($A763="",D763="",D763&lt;=0,Séries!S762=""),"",D763/Séries!S762-1)</f>
        <v/>
      </c>
      <c r="I763" s="22" t="str">
        <f>IF(OR($A763="",E763="",E763&lt;=0,Séries!T762=""),"",E763/Séries!T762-1)</f>
        <v/>
      </c>
      <c r="J763" s="27"/>
      <c r="K763" s="1" t="str">
        <f>IF(COUNTA(A763:E763)=0,"",IF(A763="","Preencha a data",IF(NOT(ISNUMBER(A763)),"Data inválida",IF(OR(A763&lt;36526,A763&gt;73050,A763&lt;&gt;INT(A763)),"Data inválida",IF(A763&lt;=Séries!U762,"Data repetida / fora de ordem",IF(COUNTA(B763:E763)&lt;&gt;COUNT(B763:E763),"Use preços numéricos",IF(OR(AND(ISNUMBER(B763),B763&lt;=0),AND(ISNUMBER(C763),C763&lt;=0),AND(ISNUMBER(D763),D763&lt;=0),AND(ISNUMBER(E763),E763&lt;=0)),"Use preços positivos","")))))))</f>
        <v/>
      </c>
    </row>
    <row r="764" spans="1:11" ht="22.95" customHeight="1">
      <c r="A764" s="28"/>
      <c r="B764" s="29"/>
      <c r="C764" s="29"/>
      <c r="D764" s="29"/>
      <c r="E764" s="30"/>
      <c r="F764" s="22" t="str">
        <f>IF(OR($A764="",B764="",B764&lt;=0,Séries!Q763=""),"",B764/Séries!Q763-1)</f>
        <v/>
      </c>
      <c r="G764" s="22" t="str">
        <f>IF(OR($A764="",C764="",C764&lt;=0,Séries!R763=""),"",C764/Séries!R763-1)</f>
        <v/>
      </c>
      <c r="H764" s="22" t="str">
        <f>IF(OR($A764="",D764="",D764&lt;=0,Séries!S763=""),"",D764/Séries!S763-1)</f>
        <v/>
      </c>
      <c r="I764" s="22" t="str">
        <f>IF(OR($A764="",E764="",E764&lt;=0,Séries!T763=""),"",E764/Séries!T763-1)</f>
        <v/>
      </c>
      <c r="J764" s="27"/>
      <c r="K764" s="1" t="str">
        <f>IF(COUNTA(A764:E764)=0,"",IF(A764="","Preencha a data",IF(NOT(ISNUMBER(A764)),"Data inválida",IF(OR(A764&lt;36526,A764&gt;73050,A764&lt;&gt;INT(A764)),"Data inválida",IF(A764&lt;=Séries!U763,"Data repetida / fora de ordem",IF(COUNTA(B764:E764)&lt;&gt;COUNT(B764:E764),"Use preços numéricos",IF(OR(AND(ISNUMBER(B764),B764&lt;=0),AND(ISNUMBER(C764),C764&lt;=0),AND(ISNUMBER(D764),D764&lt;=0),AND(ISNUMBER(E764),E764&lt;=0)),"Use preços positivos","")))))))</f>
        <v/>
      </c>
    </row>
    <row r="765" spans="1:11" ht="22.95" customHeight="1">
      <c r="A765" s="28"/>
      <c r="B765" s="29"/>
      <c r="C765" s="29"/>
      <c r="D765" s="29"/>
      <c r="E765" s="30"/>
      <c r="F765" s="22" t="str">
        <f>IF(OR($A765="",B765="",B765&lt;=0,Séries!Q764=""),"",B765/Séries!Q764-1)</f>
        <v/>
      </c>
      <c r="G765" s="22" t="str">
        <f>IF(OR($A765="",C765="",C765&lt;=0,Séries!R764=""),"",C765/Séries!R764-1)</f>
        <v/>
      </c>
      <c r="H765" s="22" t="str">
        <f>IF(OR($A765="",D765="",D765&lt;=0,Séries!S764=""),"",D765/Séries!S764-1)</f>
        <v/>
      </c>
      <c r="I765" s="22" t="str">
        <f>IF(OR($A765="",E765="",E765&lt;=0,Séries!T764=""),"",E765/Séries!T764-1)</f>
        <v/>
      </c>
      <c r="J765" s="27"/>
      <c r="K765" s="1" t="str">
        <f>IF(COUNTA(A765:E765)=0,"",IF(A765="","Preencha a data",IF(NOT(ISNUMBER(A765)),"Data inválida",IF(OR(A765&lt;36526,A765&gt;73050,A765&lt;&gt;INT(A765)),"Data inválida",IF(A765&lt;=Séries!U764,"Data repetida / fora de ordem",IF(COUNTA(B765:E765)&lt;&gt;COUNT(B765:E765),"Use preços numéricos",IF(OR(AND(ISNUMBER(B765),B765&lt;=0),AND(ISNUMBER(C765),C765&lt;=0),AND(ISNUMBER(D765),D765&lt;=0),AND(ISNUMBER(E765),E765&lt;=0)),"Use preços positivos","")))))))</f>
        <v/>
      </c>
    </row>
    <row r="766" spans="1:11" ht="22.95" customHeight="1">
      <c r="A766" s="28"/>
      <c r="B766" s="29"/>
      <c r="C766" s="29"/>
      <c r="D766" s="29"/>
      <c r="E766" s="30"/>
      <c r="F766" s="22" t="str">
        <f>IF(OR($A766="",B766="",B766&lt;=0,Séries!Q765=""),"",B766/Séries!Q765-1)</f>
        <v/>
      </c>
      <c r="G766" s="22" t="str">
        <f>IF(OR($A766="",C766="",C766&lt;=0,Séries!R765=""),"",C766/Séries!R765-1)</f>
        <v/>
      </c>
      <c r="H766" s="22" t="str">
        <f>IF(OR($A766="",D766="",D766&lt;=0,Séries!S765=""),"",D766/Séries!S765-1)</f>
        <v/>
      </c>
      <c r="I766" s="22" t="str">
        <f>IF(OR($A766="",E766="",E766&lt;=0,Séries!T765=""),"",E766/Séries!T765-1)</f>
        <v/>
      </c>
      <c r="J766" s="27"/>
      <c r="K766" s="1" t="str">
        <f>IF(COUNTA(A766:E766)=0,"",IF(A766="","Preencha a data",IF(NOT(ISNUMBER(A766)),"Data inválida",IF(OR(A766&lt;36526,A766&gt;73050,A766&lt;&gt;INT(A766)),"Data inválida",IF(A766&lt;=Séries!U765,"Data repetida / fora de ordem",IF(COUNTA(B766:E766)&lt;&gt;COUNT(B766:E766),"Use preços numéricos",IF(OR(AND(ISNUMBER(B766),B766&lt;=0),AND(ISNUMBER(C766),C766&lt;=0),AND(ISNUMBER(D766),D766&lt;=0),AND(ISNUMBER(E766),E766&lt;=0)),"Use preços positivos","")))))))</f>
        <v/>
      </c>
    </row>
    <row r="767" spans="1:11" ht="22.95" customHeight="1">
      <c r="A767" s="28"/>
      <c r="B767" s="29"/>
      <c r="C767" s="29"/>
      <c r="D767" s="29"/>
      <c r="E767" s="30"/>
      <c r="F767" s="22" t="str">
        <f>IF(OR($A767="",B767="",B767&lt;=0,Séries!Q766=""),"",B767/Séries!Q766-1)</f>
        <v/>
      </c>
      <c r="G767" s="22" t="str">
        <f>IF(OR($A767="",C767="",C767&lt;=0,Séries!R766=""),"",C767/Séries!R766-1)</f>
        <v/>
      </c>
      <c r="H767" s="22" t="str">
        <f>IF(OR($A767="",D767="",D767&lt;=0,Séries!S766=""),"",D767/Séries!S766-1)</f>
        <v/>
      </c>
      <c r="I767" s="22" t="str">
        <f>IF(OR($A767="",E767="",E767&lt;=0,Séries!T766=""),"",E767/Séries!T766-1)</f>
        <v/>
      </c>
      <c r="J767" s="27"/>
      <c r="K767" s="1" t="str">
        <f>IF(COUNTA(A767:E767)=0,"",IF(A767="","Preencha a data",IF(NOT(ISNUMBER(A767)),"Data inválida",IF(OR(A767&lt;36526,A767&gt;73050,A767&lt;&gt;INT(A767)),"Data inválida",IF(A767&lt;=Séries!U766,"Data repetida / fora de ordem",IF(COUNTA(B767:E767)&lt;&gt;COUNT(B767:E767),"Use preços numéricos",IF(OR(AND(ISNUMBER(B767),B767&lt;=0),AND(ISNUMBER(C767),C767&lt;=0),AND(ISNUMBER(D767),D767&lt;=0),AND(ISNUMBER(E767),E767&lt;=0)),"Use preços positivos","")))))))</f>
        <v/>
      </c>
    </row>
    <row r="768" spans="1:11" ht="22.95" customHeight="1">
      <c r="A768" s="28"/>
      <c r="B768" s="29"/>
      <c r="C768" s="29"/>
      <c r="D768" s="29"/>
      <c r="E768" s="30"/>
      <c r="F768" s="22" t="str">
        <f>IF(OR($A768="",B768="",B768&lt;=0,Séries!Q767=""),"",B768/Séries!Q767-1)</f>
        <v/>
      </c>
      <c r="G768" s="22" t="str">
        <f>IF(OR($A768="",C768="",C768&lt;=0,Séries!R767=""),"",C768/Séries!R767-1)</f>
        <v/>
      </c>
      <c r="H768" s="22" t="str">
        <f>IF(OR($A768="",D768="",D768&lt;=0,Séries!S767=""),"",D768/Séries!S767-1)</f>
        <v/>
      </c>
      <c r="I768" s="22" t="str">
        <f>IF(OR($A768="",E768="",E768&lt;=0,Séries!T767=""),"",E768/Séries!T767-1)</f>
        <v/>
      </c>
      <c r="J768" s="27"/>
      <c r="K768" s="1" t="str">
        <f>IF(COUNTA(A768:E768)=0,"",IF(A768="","Preencha a data",IF(NOT(ISNUMBER(A768)),"Data inválida",IF(OR(A768&lt;36526,A768&gt;73050,A768&lt;&gt;INT(A768)),"Data inválida",IF(A768&lt;=Séries!U767,"Data repetida / fora de ordem",IF(COUNTA(B768:E768)&lt;&gt;COUNT(B768:E768),"Use preços numéricos",IF(OR(AND(ISNUMBER(B768),B768&lt;=0),AND(ISNUMBER(C768),C768&lt;=0),AND(ISNUMBER(D768),D768&lt;=0),AND(ISNUMBER(E768),E768&lt;=0)),"Use preços positivos","")))))))</f>
        <v/>
      </c>
    </row>
    <row r="769" spans="1:11" ht="22.95" customHeight="1">
      <c r="A769" s="28"/>
      <c r="B769" s="29"/>
      <c r="C769" s="29"/>
      <c r="D769" s="29"/>
      <c r="E769" s="30"/>
      <c r="F769" s="22" t="str">
        <f>IF(OR($A769="",B769="",B769&lt;=0,Séries!Q768=""),"",B769/Séries!Q768-1)</f>
        <v/>
      </c>
      <c r="G769" s="22" t="str">
        <f>IF(OR($A769="",C769="",C769&lt;=0,Séries!R768=""),"",C769/Séries!R768-1)</f>
        <v/>
      </c>
      <c r="H769" s="22" t="str">
        <f>IF(OR($A769="",D769="",D769&lt;=0,Séries!S768=""),"",D769/Séries!S768-1)</f>
        <v/>
      </c>
      <c r="I769" s="22" t="str">
        <f>IF(OR($A769="",E769="",E769&lt;=0,Séries!T768=""),"",E769/Séries!T768-1)</f>
        <v/>
      </c>
      <c r="J769" s="27"/>
      <c r="K769" s="1" t="str">
        <f>IF(COUNTA(A769:E769)=0,"",IF(A769="","Preencha a data",IF(NOT(ISNUMBER(A769)),"Data inválida",IF(OR(A769&lt;36526,A769&gt;73050,A769&lt;&gt;INT(A769)),"Data inválida",IF(A769&lt;=Séries!U768,"Data repetida / fora de ordem",IF(COUNTA(B769:E769)&lt;&gt;COUNT(B769:E769),"Use preços numéricos",IF(OR(AND(ISNUMBER(B769),B769&lt;=0),AND(ISNUMBER(C769),C769&lt;=0),AND(ISNUMBER(D769),D769&lt;=0),AND(ISNUMBER(E769),E769&lt;=0)),"Use preços positivos","")))))))</f>
        <v/>
      </c>
    </row>
    <row r="770" spans="1:11" ht="22.95" customHeight="1">
      <c r="A770" s="28"/>
      <c r="B770" s="29"/>
      <c r="C770" s="29"/>
      <c r="D770" s="29"/>
      <c r="E770" s="30"/>
      <c r="F770" s="22" t="str">
        <f>IF(OR($A770="",B770="",B770&lt;=0,Séries!Q769=""),"",B770/Séries!Q769-1)</f>
        <v/>
      </c>
      <c r="G770" s="22" t="str">
        <f>IF(OR($A770="",C770="",C770&lt;=0,Séries!R769=""),"",C770/Séries!R769-1)</f>
        <v/>
      </c>
      <c r="H770" s="22" t="str">
        <f>IF(OR($A770="",D770="",D770&lt;=0,Séries!S769=""),"",D770/Séries!S769-1)</f>
        <v/>
      </c>
      <c r="I770" s="22" t="str">
        <f>IF(OR($A770="",E770="",E770&lt;=0,Séries!T769=""),"",E770/Séries!T769-1)</f>
        <v/>
      </c>
      <c r="J770" s="27"/>
      <c r="K770" s="1" t="str">
        <f>IF(COUNTA(A770:E770)=0,"",IF(A770="","Preencha a data",IF(NOT(ISNUMBER(A770)),"Data inválida",IF(OR(A770&lt;36526,A770&gt;73050,A770&lt;&gt;INT(A770)),"Data inválida",IF(A770&lt;=Séries!U769,"Data repetida / fora de ordem",IF(COUNTA(B770:E770)&lt;&gt;COUNT(B770:E770),"Use preços numéricos",IF(OR(AND(ISNUMBER(B770),B770&lt;=0),AND(ISNUMBER(C770),C770&lt;=0),AND(ISNUMBER(D770),D770&lt;=0),AND(ISNUMBER(E770),E770&lt;=0)),"Use preços positivos","")))))))</f>
        <v/>
      </c>
    </row>
    <row r="771" spans="1:11" ht="22.95" customHeight="1">
      <c r="A771" s="28"/>
      <c r="B771" s="29"/>
      <c r="C771" s="29"/>
      <c r="D771" s="29"/>
      <c r="E771" s="30"/>
      <c r="F771" s="22" t="str">
        <f>IF(OR($A771="",B771="",B771&lt;=0,Séries!Q770=""),"",B771/Séries!Q770-1)</f>
        <v/>
      </c>
      <c r="G771" s="22" t="str">
        <f>IF(OR($A771="",C771="",C771&lt;=0,Séries!R770=""),"",C771/Séries!R770-1)</f>
        <v/>
      </c>
      <c r="H771" s="22" t="str">
        <f>IF(OR($A771="",D771="",D771&lt;=0,Séries!S770=""),"",D771/Séries!S770-1)</f>
        <v/>
      </c>
      <c r="I771" s="22" t="str">
        <f>IF(OR($A771="",E771="",E771&lt;=0,Séries!T770=""),"",E771/Séries!T770-1)</f>
        <v/>
      </c>
      <c r="J771" s="27"/>
      <c r="K771" s="1" t="str">
        <f>IF(COUNTA(A771:E771)=0,"",IF(A771="","Preencha a data",IF(NOT(ISNUMBER(A771)),"Data inválida",IF(OR(A771&lt;36526,A771&gt;73050,A771&lt;&gt;INT(A771)),"Data inválida",IF(A771&lt;=Séries!U770,"Data repetida / fora de ordem",IF(COUNTA(B771:E771)&lt;&gt;COUNT(B771:E771),"Use preços numéricos",IF(OR(AND(ISNUMBER(B771),B771&lt;=0),AND(ISNUMBER(C771),C771&lt;=0),AND(ISNUMBER(D771),D771&lt;=0),AND(ISNUMBER(E771),E771&lt;=0)),"Use preços positivos","")))))))</f>
        <v/>
      </c>
    </row>
    <row r="772" spans="1:11" ht="22.95" customHeight="1">
      <c r="A772" s="28"/>
      <c r="B772" s="29"/>
      <c r="C772" s="29"/>
      <c r="D772" s="29"/>
      <c r="E772" s="30"/>
      <c r="F772" s="22" t="str">
        <f>IF(OR($A772="",B772="",B772&lt;=0,Séries!Q771=""),"",B772/Séries!Q771-1)</f>
        <v/>
      </c>
      <c r="G772" s="22" t="str">
        <f>IF(OR($A772="",C772="",C772&lt;=0,Séries!R771=""),"",C772/Séries!R771-1)</f>
        <v/>
      </c>
      <c r="H772" s="22" t="str">
        <f>IF(OR($A772="",D772="",D772&lt;=0,Séries!S771=""),"",D772/Séries!S771-1)</f>
        <v/>
      </c>
      <c r="I772" s="22" t="str">
        <f>IF(OR($A772="",E772="",E772&lt;=0,Séries!T771=""),"",E772/Séries!T771-1)</f>
        <v/>
      </c>
      <c r="J772" s="27"/>
      <c r="K772" s="1" t="str">
        <f>IF(COUNTA(A772:E772)=0,"",IF(A772="","Preencha a data",IF(NOT(ISNUMBER(A772)),"Data inválida",IF(OR(A772&lt;36526,A772&gt;73050,A772&lt;&gt;INT(A772)),"Data inválida",IF(A772&lt;=Séries!U771,"Data repetida / fora de ordem",IF(COUNTA(B772:E772)&lt;&gt;COUNT(B772:E772),"Use preços numéricos",IF(OR(AND(ISNUMBER(B772),B772&lt;=0),AND(ISNUMBER(C772),C772&lt;=0),AND(ISNUMBER(D772),D772&lt;=0),AND(ISNUMBER(E772),E772&lt;=0)),"Use preços positivos","")))))))</f>
        <v/>
      </c>
    </row>
    <row r="773" spans="1:11" ht="22.95" customHeight="1">
      <c r="A773" s="28"/>
      <c r="B773" s="29"/>
      <c r="C773" s="29"/>
      <c r="D773" s="29"/>
      <c r="E773" s="30"/>
      <c r="F773" s="22" t="str">
        <f>IF(OR($A773="",B773="",B773&lt;=0,Séries!Q772=""),"",B773/Séries!Q772-1)</f>
        <v/>
      </c>
      <c r="G773" s="22" t="str">
        <f>IF(OR($A773="",C773="",C773&lt;=0,Séries!R772=""),"",C773/Séries!R772-1)</f>
        <v/>
      </c>
      <c r="H773" s="22" t="str">
        <f>IF(OR($A773="",D773="",D773&lt;=0,Séries!S772=""),"",D773/Séries!S772-1)</f>
        <v/>
      </c>
      <c r="I773" s="22" t="str">
        <f>IF(OR($A773="",E773="",E773&lt;=0,Séries!T772=""),"",E773/Séries!T772-1)</f>
        <v/>
      </c>
      <c r="J773" s="27"/>
      <c r="K773" s="1" t="str">
        <f>IF(COUNTA(A773:E773)=0,"",IF(A773="","Preencha a data",IF(NOT(ISNUMBER(A773)),"Data inválida",IF(OR(A773&lt;36526,A773&gt;73050,A773&lt;&gt;INT(A773)),"Data inválida",IF(A773&lt;=Séries!U772,"Data repetida / fora de ordem",IF(COUNTA(B773:E773)&lt;&gt;COUNT(B773:E773),"Use preços numéricos",IF(OR(AND(ISNUMBER(B773),B773&lt;=0),AND(ISNUMBER(C773),C773&lt;=0),AND(ISNUMBER(D773),D773&lt;=0),AND(ISNUMBER(E773),E773&lt;=0)),"Use preços positivos","")))))))</f>
        <v/>
      </c>
    </row>
    <row r="774" spans="1:11" ht="22.95" customHeight="1">
      <c r="A774" s="28"/>
      <c r="B774" s="29"/>
      <c r="C774" s="29"/>
      <c r="D774" s="29"/>
      <c r="E774" s="30"/>
      <c r="F774" s="22" t="str">
        <f>IF(OR($A774="",B774="",B774&lt;=0,Séries!Q773=""),"",B774/Séries!Q773-1)</f>
        <v/>
      </c>
      <c r="G774" s="22" t="str">
        <f>IF(OR($A774="",C774="",C774&lt;=0,Séries!R773=""),"",C774/Séries!R773-1)</f>
        <v/>
      </c>
      <c r="H774" s="22" t="str">
        <f>IF(OR($A774="",D774="",D774&lt;=0,Séries!S773=""),"",D774/Séries!S773-1)</f>
        <v/>
      </c>
      <c r="I774" s="22" t="str">
        <f>IF(OR($A774="",E774="",E774&lt;=0,Séries!T773=""),"",E774/Séries!T773-1)</f>
        <v/>
      </c>
      <c r="J774" s="27"/>
      <c r="K774" s="1" t="str">
        <f>IF(COUNTA(A774:E774)=0,"",IF(A774="","Preencha a data",IF(NOT(ISNUMBER(A774)),"Data inválida",IF(OR(A774&lt;36526,A774&gt;73050,A774&lt;&gt;INT(A774)),"Data inválida",IF(A774&lt;=Séries!U773,"Data repetida / fora de ordem",IF(COUNTA(B774:E774)&lt;&gt;COUNT(B774:E774),"Use preços numéricos",IF(OR(AND(ISNUMBER(B774),B774&lt;=0),AND(ISNUMBER(C774),C774&lt;=0),AND(ISNUMBER(D774),D774&lt;=0),AND(ISNUMBER(E774),E774&lt;=0)),"Use preços positivos","")))))))</f>
        <v/>
      </c>
    </row>
    <row r="775" spans="1:11" ht="22.95" customHeight="1">
      <c r="A775" s="28"/>
      <c r="B775" s="29"/>
      <c r="C775" s="29"/>
      <c r="D775" s="29"/>
      <c r="E775" s="30"/>
      <c r="F775" s="22" t="str">
        <f>IF(OR($A775="",B775="",B775&lt;=0,Séries!Q774=""),"",B775/Séries!Q774-1)</f>
        <v/>
      </c>
      <c r="G775" s="22" t="str">
        <f>IF(OR($A775="",C775="",C775&lt;=0,Séries!R774=""),"",C775/Séries!R774-1)</f>
        <v/>
      </c>
      <c r="H775" s="22" t="str">
        <f>IF(OR($A775="",D775="",D775&lt;=0,Séries!S774=""),"",D775/Séries!S774-1)</f>
        <v/>
      </c>
      <c r="I775" s="22" t="str">
        <f>IF(OR($A775="",E775="",E775&lt;=0,Séries!T774=""),"",E775/Séries!T774-1)</f>
        <v/>
      </c>
      <c r="J775" s="27"/>
      <c r="K775" s="1" t="str">
        <f>IF(COUNTA(A775:E775)=0,"",IF(A775="","Preencha a data",IF(NOT(ISNUMBER(A775)),"Data inválida",IF(OR(A775&lt;36526,A775&gt;73050,A775&lt;&gt;INT(A775)),"Data inválida",IF(A775&lt;=Séries!U774,"Data repetida / fora de ordem",IF(COUNTA(B775:E775)&lt;&gt;COUNT(B775:E775),"Use preços numéricos",IF(OR(AND(ISNUMBER(B775),B775&lt;=0),AND(ISNUMBER(C775),C775&lt;=0),AND(ISNUMBER(D775),D775&lt;=0),AND(ISNUMBER(E775),E775&lt;=0)),"Use preços positivos","")))))))</f>
        <v/>
      </c>
    </row>
    <row r="776" spans="1:11" ht="22.95" customHeight="1">
      <c r="A776" s="28"/>
      <c r="B776" s="29"/>
      <c r="C776" s="29"/>
      <c r="D776" s="29"/>
      <c r="E776" s="30"/>
      <c r="F776" s="22" t="str">
        <f>IF(OR($A776="",B776="",B776&lt;=0,Séries!Q775=""),"",B776/Séries!Q775-1)</f>
        <v/>
      </c>
      <c r="G776" s="22" t="str">
        <f>IF(OR($A776="",C776="",C776&lt;=0,Séries!R775=""),"",C776/Séries!R775-1)</f>
        <v/>
      </c>
      <c r="H776" s="22" t="str">
        <f>IF(OR($A776="",D776="",D776&lt;=0,Séries!S775=""),"",D776/Séries!S775-1)</f>
        <v/>
      </c>
      <c r="I776" s="22" t="str">
        <f>IF(OR($A776="",E776="",E776&lt;=0,Séries!T775=""),"",E776/Séries!T775-1)</f>
        <v/>
      </c>
      <c r="J776" s="27"/>
      <c r="K776" s="1" t="str">
        <f>IF(COUNTA(A776:E776)=0,"",IF(A776="","Preencha a data",IF(NOT(ISNUMBER(A776)),"Data inválida",IF(OR(A776&lt;36526,A776&gt;73050,A776&lt;&gt;INT(A776)),"Data inválida",IF(A776&lt;=Séries!U775,"Data repetida / fora de ordem",IF(COUNTA(B776:E776)&lt;&gt;COUNT(B776:E776),"Use preços numéricos",IF(OR(AND(ISNUMBER(B776),B776&lt;=0),AND(ISNUMBER(C776),C776&lt;=0),AND(ISNUMBER(D776),D776&lt;=0),AND(ISNUMBER(E776),E776&lt;=0)),"Use preços positivos","")))))))</f>
        <v/>
      </c>
    </row>
    <row r="777" spans="1:11" ht="22.95" customHeight="1">
      <c r="A777" s="28"/>
      <c r="B777" s="29"/>
      <c r="C777" s="29"/>
      <c r="D777" s="29"/>
      <c r="E777" s="30"/>
      <c r="F777" s="22" t="str">
        <f>IF(OR($A777="",B777="",B777&lt;=0,Séries!Q776=""),"",B777/Séries!Q776-1)</f>
        <v/>
      </c>
      <c r="G777" s="22" t="str">
        <f>IF(OR($A777="",C777="",C777&lt;=0,Séries!R776=""),"",C777/Séries!R776-1)</f>
        <v/>
      </c>
      <c r="H777" s="22" t="str">
        <f>IF(OR($A777="",D777="",D777&lt;=0,Séries!S776=""),"",D777/Séries!S776-1)</f>
        <v/>
      </c>
      <c r="I777" s="22" t="str">
        <f>IF(OR($A777="",E777="",E777&lt;=0,Séries!T776=""),"",E777/Séries!T776-1)</f>
        <v/>
      </c>
      <c r="J777" s="27"/>
      <c r="K777" s="1" t="str">
        <f>IF(COUNTA(A777:E777)=0,"",IF(A777="","Preencha a data",IF(NOT(ISNUMBER(A777)),"Data inválida",IF(OR(A777&lt;36526,A777&gt;73050,A777&lt;&gt;INT(A777)),"Data inválida",IF(A777&lt;=Séries!U776,"Data repetida / fora de ordem",IF(COUNTA(B777:E777)&lt;&gt;COUNT(B777:E777),"Use preços numéricos",IF(OR(AND(ISNUMBER(B777),B777&lt;=0),AND(ISNUMBER(C777),C777&lt;=0),AND(ISNUMBER(D777),D777&lt;=0),AND(ISNUMBER(E777),E777&lt;=0)),"Use preços positivos","")))))))</f>
        <v/>
      </c>
    </row>
    <row r="778" spans="1:11" ht="22.95" customHeight="1">
      <c r="A778" s="28"/>
      <c r="B778" s="29"/>
      <c r="C778" s="29"/>
      <c r="D778" s="29"/>
      <c r="E778" s="30"/>
      <c r="F778" s="22" t="str">
        <f>IF(OR($A778="",B778="",B778&lt;=0,Séries!Q777=""),"",B778/Séries!Q777-1)</f>
        <v/>
      </c>
      <c r="G778" s="22" t="str">
        <f>IF(OR($A778="",C778="",C778&lt;=0,Séries!R777=""),"",C778/Séries!R777-1)</f>
        <v/>
      </c>
      <c r="H778" s="22" t="str">
        <f>IF(OR($A778="",D778="",D778&lt;=0,Séries!S777=""),"",D778/Séries!S777-1)</f>
        <v/>
      </c>
      <c r="I778" s="22" t="str">
        <f>IF(OR($A778="",E778="",E778&lt;=0,Séries!T777=""),"",E778/Séries!T777-1)</f>
        <v/>
      </c>
      <c r="J778" s="27"/>
      <c r="K778" s="1" t="str">
        <f>IF(COUNTA(A778:E778)=0,"",IF(A778="","Preencha a data",IF(NOT(ISNUMBER(A778)),"Data inválida",IF(OR(A778&lt;36526,A778&gt;73050,A778&lt;&gt;INT(A778)),"Data inválida",IF(A778&lt;=Séries!U777,"Data repetida / fora de ordem",IF(COUNTA(B778:E778)&lt;&gt;COUNT(B778:E778),"Use preços numéricos",IF(OR(AND(ISNUMBER(B778),B778&lt;=0),AND(ISNUMBER(C778),C778&lt;=0),AND(ISNUMBER(D778),D778&lt;=0),AND(ISNUMBER(E778),E778&lt;=0)),"Use preços positivos","")))))))</f>
        <v/>
      </c>
    </row>
    <row r="779" spans="1:11" ht="22.95" customHeight="1">
      <c r="A779" s="28"/>
      <c r="B779" s="29"/>
      <c r="C779" s="29"/>
      <c r="D779" s="29"/>
      <c r="E779" s="30"/>
      <c r="F779" s="22" t="str">
        <f>IF(OR($A779="",B779="",B779&lt;=0,Séries!Q778=""),"",B779/Séries!Q778-1)</f>
        <v/>
      </c>
      <c r="G779" s="22" t="str">
        <f>IF(OR($A779="",C779="",C779&lt;=0,Séries!R778=""),"",C779/Séries!R778-1)</f>
        <v/>
      </c>
      <c r="H779" s="22" t="str">
        <f>IF(OR($A779="",D779="",D779&lt;=0,Séries!S778=""),"",D779/Séries!S778-1)</f>
        <v/>
      </c>
      <c r="I779" s="22" t="str">
        <f>IF(OR($A779="",E779="",E779&lt;=0,Séries!T778=""),"",E779/Séries!T778-1)</f>
        <v/>
      </c>
      <c r="J779" s="27"/>
      <c r="K779" s="1" t="str">
        <f>IF(COUNTA(A779:E779)=0,"",IF(A779="","Preencha a data",IF(NOT(ISNUMBER(A779)),"Data inválida",IF(OR(A779&lt;36526,A779&gt;73050,A779&lt;&gt;INT(A779)),"Data inválida",IF(A779&lt;=Séries!U778,"Data repetida / fora de ordem",IF(COUNTA(B779:E779)&lt;&gt;COUNT(B779:E779),"Use preços numéricos",IF(OR(AND(ISNUMBER(B779),B779&lt;=0),AND(ISNUMBER(C779),C779&lt;=0),AND(ISNUMBER(D779),D779&lt;=0),AND(ISNUMBER(E779),E779&lt;=0)),"Use preços positivos","")))))))</f>
        <v/>
      </c>
    </row>
    <row r="780" spans="1:11" ht="22.95" customHeight="1">
      <c r="A780" s="28"/>
      <c r="B780" s="29"/>
      <c r="C780" s="29"/>
      <c r="D780" s="29"/>
      <c r="E780" s="30"/>
      <c r="F780" s="22" t="str">
        <f>IF(OR($A780="",B780="",B780&lt;=0,Séries!Q779=""),"",B780/Séries!Q779-1)</f>
        <v/>
      </c>
      <c r="G780" s="22" t="str">
        <f>IF(OR($A780="",C780="",C780&lt;=0,Séries!R779=""),"",C780/Séries!R779-1)</f>
        <v/>
      </c>
      <c r="H780" s="22" t="str">
        <f>IF(OR($A780="",D780="",D780&lt;=0,Séries!S779=""),"",D780/Séries!S779-1)</f>
        <v/>
      </c>
      <c r="I780" s="22" t="str">
        <f>IF(OR($A780="",E780="",E780&lt;=0,Séries!T779=""),"",E780/Séries!T779-1)</f>
        <v/>
      </c>
      <c r="J780" s="27"/>
      <c r="K780" s="1" t="str">
        <f>IF(COUNTA(A780:E780)=0,"",IF(A780="","Preencha a data",IF(NOT(ISNUMBER(A780)),"Data inválida",IF(OR(A780&lt;36526,A780&gt;73050,A780&lt;&gt;INT(A780)),"Data inválida",IF(A780&lt;=Séries!U779,"Data repetida / fora de ordem",IF(COUNTA(B780:E780)&lt;&gt;COUNT(B780:E780),"Use preços numéricos",IF(OR(AND(ISNUMBER(B780),B780&lt;=0),AND(ISNUMBER(C780),C780&lt;=0),AND(ISNUMBER(D780),D780&lt;=0),AND(ISNUMBER(E780),E780&lt;=0)),"Use preços positivos","")))))))</f>
        <v/>
      </c>
    </row>
    <row r="781" spans="1:11" ht="22.95" customHeight="1">
      <c r="A781" s="28"/>
      <c r="B781" s="29"/>
      <c r="C781" s="29"/>
      <c r="D781" s="29"/>
      <c r="E781" s="30"/>
      <c r="F781" s="22" t="str">
        <f>IF(OR($A781="",B781="",B781&lt;=0,Séries!Q780=""),"",B781/Séries!Q780-1)</f>
        <v/>
      </c>
      <c r="G781" s="22" t="str">
        <f>IF(OR($A781="",C781="",C781&lt;=0,Séries!R780=""),"",C781/Séries!R780-1)</f>
        <v/>
      </c>
      <c r="H781" s="22" t="str">
        <f>IF(OR($A781="",D781="",D781&lt;=0,Séries!S780=""),"",D781/Séries!S780-1)</f>
        <v/>
      </c>
      <c r="I781" s="22" t="str">
        <f>IF(OR($A781="",E781="",E781&lt;=0,Séries!T780=""),"",E781/Séries!T780-1)</f>
        <v/>
      </c>
      <c r="J781" s="27"/>
      <c r="K781" s="1" t="str">
        <f>IF(COUNTA(A781:E781)=0,"",IF(A781="","Preencha a data",IF(NOT(ISNUMBER(A781)),"Data inválida",IF(OR(A781&lt;36526,A781&gt;73050,A781&lt;&gt;INT(A781)),"Data inválida",IF(A781&lt;=Séries!U780,"Data repetida / fora de ordem",IF(COUNTA(B781:E781)&lt;&gt;COUNT(B781:E781),"Use preços numéricos",IF(OR(AND(ISNUMBER(B781),B781&lt;=0),AND(ISNUMBER(C781),C781&lt;=0),AND(ISNUMBER(D781),D781&lt;=0),AND(ISNUMBER(E781),E781&lt;=0)),"Use preços positivos","")))))))</f>
        <v/>
      </c>
    </row>
    <row r="782" spans="1:11" ht="22.95" customHeight="1">
      <c r="A782" s="28"/>
      <c r="B782" s="29"/>
      <c r="C782" s="29"/>
      <c r="D782" s="29"/>
      <c r="E782" s="30"/>
      <c r="F782" s="22" t="str">
        <f>IF(OR($A782="",B782="",B782&lt;=0,Séries!Q781=""),"",B782/Séries!Q781-1)</f>
        <v/>
      </c>
      <c r="G782" s="22" t="str">
        <f>IF(OR($A782="",C782="",C782&lt;=0,Séries!R781=""),"",C782/Séries!R781-1)</f>
        <v/>
      </c>
      <c r="H782" s="22" t="str">
        <f>IF(OR($A782="",D782="",D782&lt;=0,Séries!S781=""),"",D782/Séries!S781-1)</f>
        <v/>
      </c>
      <c r="I782" s="22" t="str">
        <f>IF(OR($A782="",E782="",E782&lt;=0,Séries!T781=""),"",E782/Séries!T781-1)</f>
        <v/>
      </c>
      <c r="J782" s="27"/>
      <c r="K782" s="1" t="str">
        <f>IF(COUNTA(A782:E782)=0,"",IF(A782="","Preencha a data",IF(NOT(ISNUMBER(A782)),"Data inválida",IF(OR(A782&lt;36526,A782&gt;73050,A782&lt;&gt;INT(A782)),"Data inválida",IF(A782&lt;=Séries!U781,"Data repetida / fora de ordem",IF(COUNTA(B782:E782)&lt;&gt;COUNT(B782:E782),"Use preços numéricos",IF(OR(AND(ISNUMBER(B782),B782&lt;=0),AND(ISNUMBER(C782),C782&lt;=0),AND(ISNUMBER(D782),D782&lt;=0),AND(ISNUMBER(E782),E782&lt;=0)),"Use preços positivos","")))))))</f>
        <v/>
      </c>
    </row>
    <row r="783" spans="1:11" ht="22.95" customHeight="1">
      <c r="A783" s="28"/>
      <c r="B783" s="29"/>
      <c r="C783" s="29"/>
      <c r="D783" s="29"/>
      <c r="E783" s="30"/>
      <c r="F783" s="22" t="str">
        <f>IF(OR($A783="",B783="",B783&lt;=0,Séries!Q782=""),"",B783/Séries!Q782-1)</f>
        <v/>
      </c>
      <c r="G783" s="22" t="str">
        <f>IF(OR($A783="",C783="",C783&lt;=0,Séries!R782=""),"",C783/Séries!R782-1)</f>
        <v/>
      </c>
      <c r="H783" s="22" t="str">
        <f>IF(OR($A783="",D783="",D783&lt;=0,Séries!S782=""),"",D783/Séries!S782-1)</f>
        <v/>
      </c>
      <c r="I783" s="22" t="str">
        <f>IF(OR($A783="",E783="",E783&lt;=0,Séries!T782=""),"",E783/Séries!T782-1)</f>
        <v/>
      </c>
      <c r="J783" s="27"/>
      <c r="K783" s="1" t="str">
        <f>IF(COUNTA(A783:E783)=0,"",IF(A783="","Preencha a data",IF(NOT(ISNUMBER(A783)),"Data inválida",IF(OR(A783&lt;36526,A783&gt;73050,A783&lt;&gt;INT(A783)),"Data inválida",IF(A783&lt;=Séries!U782,"Data repetida / fora de ordem",IF(COUNTA(B783:E783)&lt;&gt;COUNT(B783:E783),"Use preços numéricos",IF(OR(AND(ISNUMBER(B783),B783&lt;=0),AND(ISNUMBER(C783),C783&lt;=0),AND(ISNUMBER(D783),D783&lt;=0),AND(ISNUMBER(E783),E783&lt;=0)),"Use preços positivos","")))))))</f>
        <v/>
      </c>
    </row>
    <row r="784" spans="1:11" ht="22.95" customHeight="1">
      <c r="A784" s="28"/>
      <c r="B784" s="29"/>
      <c r="C784" s="29"/>
      <c r="D784" s="29"/>
      <c r="E784" s="30"/>
      <c r="F784" s="22" t="str">
        <f>IF(OR($A784="",B784="",B784&lt;=0,Séries!Q783=""),"",B784/Séries!Q783-1)</f>
        <v/>
      </c>
      <c r="G784" s="22" t="str">
        <f>IF(OR($A784="",C784="",C784&lt;=0,Séries!R783=""),"",C784/Séries!R783-1)</f>
        <v/>
      </c>
      <c r="H784" s="22" t="str">
        <f>IF(OR($A784="",D784="",D784&lt;=0,Séries!S783=""),"",D784/Séries!S783-1)</f>
        <v/>
      </c>
      <c r="I784" s="22" t="str">
        <f>IF(OR($A784="",E784="",E784&lt;=0,Séries!T783=""),"",E784/Séries!T783-1)</f>
        <v/>
      </c>
      <c r="J784" s="27"/>
      <c r="K784" s="1" t="str">
        <f>IF(COUNTA(A784:E784)=0,"",IF(A784="","Preencha a data",IF(NOT(ISNUMBER(A784)),"Data inválida",IF(OR(A784&lt;36526,A784&gt;73050,A784&lt;&gt;INT(A784)),"Data inválida",IF(A784&lt;=Séries!U783,"Data repetida / fora de ordem",IF(COUNTA(B784:E784)&lt;&gt;COUNT(B784:E784),"Use preços numéricos",IF(OR(AND(ISNUMBER(B784),B784&lt;=0),AND(ISNUMBER(C784),C784&lt;=0),AND(ISNUMBER(D784),D784&lt;=0),AND(ISNUMBER(E784),E784&lt;=0)),"Use preços positivos","")))))))</f>
        <v/>
      </c>
    </row>
    <row r="785" spans="1:11" ht="22.95" customHeight="1">
      <c r="A785" s="28"/>
      <c r="B785" s="29"/>
      <c r="C785" s="29"/>
      <c r="D785" s="29"/>
      <c r="E785" s="30"/>
      <c r="F785" s="22" t="str">
        <f>IF(OR($A785="",B785="",B785&lt;=0,Séries!Q784=""),"",B785/Séries!Q784-1)</f>
        <v/>
      </c>
      <c r="G785" s="22" t="str">
        <f>IF(OR($A785="",C785="",C785&lt;=0,Séries!R784=""),"",C785/Séries!R784-1)</f>
        <v/>
      </c>
      <c r="H785" s="22" t="str">
        <f>IF(OR($A785="",D785="",D785&lt;=0,Séries!S784=""),"",D785/Séries!S784-1)</f>
        <v/>
      </c>
      <c r="I785" s="22" t="str">
        <f>IF(OR($A785="",E785="",E785&lt;=0,Séries!T784=""),"",E785/Séries!T784-1)</f>
        <v/>
      </c>
      <c r="J785" s="27"/>
      <c r="K785" s="1" t="str">
        <f>IF(COUNTA(A785:E785)=0,"",IF(A785="","Preencha a data",IF(NOT(ISNUMBER(A785)),"Data inválida",IF(OR(A785&lt;36526,A785&gt;73050,A785&lt;&gt;INT(A785)),"Data inválida",IF(A785&lt;=Séries!U784,"Data repetida / fora de ordem",IF(COUNTA(B785:E785)&lt;&gt;COUNT(B785:E785),"Use preços numéricos",IF(OR(AND(ISNUMBER(B785),B785&lt;=0),AND(ISNUMBER(C785),C785&lt;=0),AND(ISNUMBER(D785),D785&lt;=0),AND(ISNUMBER(E785),E785&lt;=0)),"Use preços positivos","")))))))</f>
        <v/>
      </c>
    </row>
    <row r="786" spans="1:11" ht="22.95" customHeight="1">
      <c r="A786" s="28"/>
      <c r="B786" s="29"/>
      <c r="C786" s="29"/>
      <c r="D786" s="29"/>
      <c r="E786" s="30"/>
      <c r="F786" s="22" t="str">
        <f>IF(OR($A786="",B786="",B786&lt;=0,Séries!Q785=""),"",B786/Séries!Q785-1)</f>
        <v/>
      </c>
      <c r="G786" s="22" t="str">
        <f>IF(OR($A786="",C786="",C786&lt;=0,Séries!R785=""),"",C786/Séries!R785-1)</f>
        <v/>
      </c>
      <c r="H786" s="22" t="str">
        <f>IF(OR($A786="",D786="",D786&lt;=0,Séries!S785=""),"",D786/Séries!S785-1)</f>
        <v/>
      </c>
      <c r="I786" s="22" t="str">
        <f>IF(OR($A786="",E786="",E786&lt;=0,Séries!T785=""),"",E786/Séries!T785-1)</f>
        <v/>
      </c>
      <c r="J786" s="27"/>
      <c r="K786" s="1" t="str">
        <f>IF(COUNTA(A786:E786)=0,"",IF(A786="","Preencha a data",IF(NOT(ISNUMBER(A786)),"Data inválida",IF(OR(A786&lt;36526,A786&gt;73050,A786&lt;&gt;INT(A786)),"Data inválida",IF(A786&lt;=Séries!U785,"Data repetida / fora de ordem",IF(COUNTA(B786:E786)&lt;&gt;COUNT(B786:E786),"Use preços numéricos",IF(OR(AND(ISNUMBER(B786),B786&lt;=0),AND(ISNUMBER(C786),C786&lt;=0),AND(ISNUMBER(D786),D786&lt;=0),AND(ISNUMBER(E786),E786&lt;=0)),"Use preços positivos","")))))))</f>
        <v/>
      </c>
    </row>
    <row r="787" spans="1:11" ht="22.95" customHeight="1">
      <c r="A787" s="28"/>
      <c r="B787" s="29"/>
      <c r="C787" s="29"/>
      <c r="D787" s="29"/>
      <c r="E787" s="30"/>
      <c r="F787" s="22" t="str">
        <f>IF(OR($A787="",B787="",B787&lt;=0,Séries!Q786=""),"",B787/Séries!Q786-1)</f>
        <v/>
      </c>
      <c r="G787" s="22" t="str">
        <f>IF(OR($A787="",C787="",C787&lt;=0,Séries!R786=""),"",C787/Séries!R786-1)</f>
        <v/>
      </c>
      <c r="H787" s="22" t="str">
        <f>IF(OR($A787="",D787="",D787&lt;=0,Séries!S786=""),"",D787/Séries!S786-1)</f>
        <v/>
      </c>
      <c r="I787" s="22" t="str">
        <f>IF(OR($A787="",E787="",E787&lt;=0,Séries!T786=""),"",E787/Séries!T786-1)</f>
        <v/>
      </c>
      <c r="J787" s="27"/>
      <c r="K787" s="1" t="str">
        <f>IF(COUNTA(A787:E787)=0,"",IF(A787="","Preencha a data",IF(NOT(ISNUMBER(A787)),"Data inválida",IF(OR(A787&lt;36526,A787&gt;73050,A787&lt;&gt;INT(A787)),"Data inválida",IF(A787&lt;=Séries!U786,"Data repetida / fora de ordem",IF(COUNTA(B787:E787)&lt;&gt;COUNT(B787:E787),"Use preços numéricos",IF(OR(AND(ISNUMBER(B787),B787&lt;=0),AND(ISNUMBER(C787),C787&lt;=0),AND(ISNUMBER(D787),D787&lt;=0),AND(ISNUMBER(E787),E787&lt;=0)),"Use preços positivos","")))))))</f>
        <v/>
      </c>
    </row>
    <row r="788" spans="1:11" ht="22.95" customHeight="1">
      <c r="A788" s="28"/>
      <c r="B788" s="29"/>
      <c r="C788" s="29"/>
      <c r="D788" s="29"/>
      <c r="E788" s="30"/>
      <c r="F788" s="22" t="str">
        <f>IF(OR($A788="",B788="",B788&lt;=0,Séries!Q787=""),"",B788/Séries!Q787-1)</f>
        <v/>
      </c>
      <c r="G788" s="22" t="str">
        <f>IF(OR($A788="",C788="",C788&lt;=0,Séries!R787=""),"",C788/Séries!R787-1)</f>
        <v/>
      </c>
      <c r="H788" s="22" t="str">
        <f>IF(OR($A788="",D788="",D788&lt;=0,Séries!S787=""),"",D788/Séries!S787-1)</f>
        <v/>
      </c>
      <c r="I788" s="22" t="str">
        <f>IF(OR($A788="",E788="",E788&lt;=0,Séries!T787=""),"",E788/Séries!T787-1)</f>
        <v/>
      </c>
      <c r="J788" s="27"/>
      <c r="K788" s="1" t="str">
        <f>IF(COUNTA(A788:E788)=0,"",IF(A788="","Preencha a data",IF(NOT(ISNUMBER(A788)),"Data inválida",IF(OR(A788&lt;36526,A788&gt;73050,A788&lt;&gt;INT(A788)),"Data inválida",IF(A788&lt;=Séries!U787,"Data repetida / fora de ordem",IF(COUNTA(B788:E788)&lt;&gt;COUNT(B788:E788),"Use preços numéricos",IF(OR(AND(ISNUMBER(B788),B788&lt;=0),AND(ISNUMBER(C788),C788&lt;=0),AND(ISNUMBER(D788),D788&lt;=0),AND(ISNUMBER(E788),E788&lt;=0)),"Use preços positivos","")))))))</f>
        <v/>
      </c>
    </row>
    <row r="789" spans="1:11" ht="22.95" customHeight="1">
      <c r="A789" s="28"/>
      <c r="B789" s="29"/>
      <c r="C789" s="29"/>
      <c r="D789" s="29"/>
      <c r="E789" s="30"/>
      <c r="F789" s="22" t="str">
        <f>IF(OR($A789="",B789="",B789&lt;=0,Séries!Q788=""),"",B789/Séries!Q788-1)</f>
        <v/>
      </c>
      <c r="G789" s="22" t="str">
        <f>IF(OR($A789="",C789="",C789&lt;=0,Séries!R788=""),"",C789/Séries!R788-1)</f>
        <v/>
      </c>
      <c r="H789" s="22" t="str">
        <f>IF(OR($A789="",D789="",D789&lt;=0,Séries!S788=""),"",D789/Séries!S788-1)</f>
        <v/>
      </c>
      <c r="I789" s="22" t="str">
        <f>IF(OR($A789="",E789="",E789&lt;=0,Séries!T788=""),"",E789/Séries!T788-1)</f>
        <v/>
      </c>
      <c r="J789" s="27"/>
      <c r="K789" s="1" t="str">
        <f>IF(COUNTA(A789:E789)=0,"",IF(A789="","Preencha a data",IF(NOT(ISNUMBER(A789)),"Data inválida",IF(OR(A789&lt;36526,A789&gt;73050,A789&lt;&gt;INT(A789)),"Data inválida",IF(A789&lt;=Séries!U788,"Data repetida / fora de ordem",IF(COUNTA(B789:E789)&lt;&gt;COUNT(B789:E789),"Use preços numéricos",IF(OR(AND(ISNUMBER(B789),B789&lt;=0),AND(ISNUMBER(C789),C789&lt;=0),AND(ISNUMBER(D789),D789&lt;=0),AND(ISNUMBER(E789),E789&lt;=0)),"Use preços positivos","")))))))</f>
        <v/>
      </c>
    </row>
    <row r="790" spans="1:11" ht="22.95" customHeight="1">
      <c r="A790" s="28"/>
      <c r="B790" s="29"/>
      <c r="C790" s="29"/>
      <c r="D790" s="29"/>
      <c r="E790" s="30"/>
      <c r="F790" s="22" t="str">
        <f>IF(OR($A790="",B790="",B790&lt;=0,Séries!Q789=""),"",B790/Séries!Q789-1)</f>
        <v/>
      </c>
      <c r="G790" s="22" t="str">
        <f>IF(OR($A790="",C790="",C790&lt;=0,Séries!R789=""),"",C790/Séries!R789-1)</f>
        <v/>
      </c>
      <c r="H790" s="22" t="str">
        <f>IF(OR($A790="",D790="",D790&lt;=0,Séries!S789=""),"",D790/Séries!S789-1)</f>
        <v/>
      </c>
      <c r="I790" s="22" t="str">
        <f>IF(OR($A790="",E790="",E790&lt;=0,Séries!T789=""),"",E790/Séries!T789-1)</f>
        <v/>
      </c>
      <c r="J790" s="27"/>
      <c r="K790" s="1" t="str">
        <f>IF(COUNTA(A790:E790)=0,"",IF(A790="","Preencha a data",IF(NOT(ISNUMBER(A790)),"Data inválida",IF(OR(A790&lt;36526,A790&gt;73050,A790&lt;&gt;INT(A790)),"Data inválida",IF(A790&lt;=Séries!U789,"Data repetida / fora de ordem",IF(COUNTA(B790:E790)&lt;&gt;COUNT(B790:E790),"Use preços numéricos",IF(OR(AND(ISNUMBER(B790),B790&lt;=0),AND(ISNUMBER(C790),C790&lt;=0),AND(ISNUMBER(D790),D790&lt;=0),AND(ISNUMBER(E790),E790&lt;=0)),"Use preços positivos","")))))))</f>
        <v/>
      </c>
    </row>
    <row r="791" spans="1:11" ht="22.95" customHeight="1">
      <c r="A791" s="28"/>
      <c r="B791" s="29"/>
      <c r="C791" s="29"/>
      <c r="D791" s="29"/>
      <c r="E791" s="30"/>
      <c r="F791" s="22" t="str">
        <f>IF(OR($A791="",B791="",B791&lt;=0,Séries!Q790=""),"",B791/Séries!Q790-1)</f>
        <v/>
      </c>
      <c r="G791" s="22" t="str">
        <f>IF(OR($A791="",C791="",C791&lt;=0,Séries!R790=""),"",C791/Séries!R790-1)</f>
        <v/>
      </c>
      <c r="H791" s="22" t="str">
        <f>IF(OR($A791="",D791="",D791&lt;=0,Séries!S790=""),"",D791/Séries!S790-1)</f>
        <v/>
      </c>
      <c r="I791" s="22" t="str">
        <f>IF(OR($A791="",E791="",E791&lt;=0,Séries!T790=""),"",E791/Séries!T790-1)</f>
        <v/>
      </c>
      <c r="J791" s="27"/>
      <c r="K791" s="1" t="str">
        <f>IF(COUNTA(A791:E791)=0,"",IF(A791="","Preencha a data",IF(NOT(ISNUMBER(A791)),"Data inválida",IF(OR(A791&lt;36526,A791&gt;73050,A791&lt;&gt;INT(A791)),"Data inválida",IF(A791&lt;=Séries!U790,"Data repetida / fora de ordem",IF(COUNTA(B791:E791)&lt;&gt;COUNT(B791:E791),"Use preços numéricos",IF(OR(AND(ISNUMBER(B791),B791&lt;=0),AND(ISNUMBER(C791),C791&lt;=0),AND(ISNUMBER(D791),D791&lt;=0),AND(ISNUMBER(E791),E791&lt;=0)),"Use preços positivos","")))))))</f>
        <v/>
      </c>
    </row>
    <row r="792" spans="1:11" ht="22.95" customHeight="1">
      <c r="A792" s="28"/>
      <c r="B792" s="29"/>
      <c r="C792" s="29"/>
      <c r="D792" s="29"/>
      <c r="E792" s="30"/>
      <c r="F792" s="22" t="str">
        <f>IF(OR($A792="",B792="",B792&lt;=0,Séries!Q791=""),"",B792/Séries!Q791-1)</f>
        <v/>
      </c>
      <c r="G792" s="22" t="str">
        <f>IF(OR($A792="",C792="",C792&lt;=0,Séries!R791=""),"",C792/Séries!R791-1)</f>
        <v/>
      </c>
      <c r="H792" s="22" t="str">
        <f>IF(OR($A792="",D792="",D792&lt;=0,Séries!S791=""),"",D792/Séries!S791-1)</f>
        <v/>
      </c>
      <c r="I792" s="22" t="str">
        <f>IF(OR($A792="",E792="",E792&lt;=0,Séries!T791=""),"",E792/Séries!T791-1)</f>
        <v/>
      </c>
      <c r="J792" s="27"/>
      <c r="K792" s="1" t="str">
        <f>IF(COUNTA(A792:E792)=0,"",IF(A792="","Preencha a data",IF(NOT(ISNUMBER(A792)),"Data inválida",IF(OR(A792&lt;36526,A792&gt;73050,A792&lt;&gt;INT(A792)),"Data inválida",IF(A792&lt;=Séries!U791,"Data repetida / fora de ordem",IF(COUNTA(B792:E792)&lt;&gt;COUNT(B792:E792),"Use preços numéricos",IF(OR(AND(ISNUMBER(B792),B792&lt;=0),AND(ISNUMBER(C792),C792&lt;=0),AND(ISNUMBER(D792),D792&lt;=0),AND(ISNUMBER(E792),E792&lt;=0)),"Use preços positivos","")))))))</f>
        <v/>
      </c>
    </row>
    <row r="793" spans="1:11" ht="22.95" customHeight="1">
      <c r="A793" s="28"/>
      <c r="B793" s="29"/>
      <c r="C793" s="29"/>
      <c r="D793" s="29"/>
      <c r="E793" s="30"/>
      <c r="F793" s="22" t="str">
        <f>IF(OR($A793="",B793="",B793&lt;=0,Séries!Q792=""),"",B793/Séries!Q792-1)</f>
        <v/>
      </c>
      <c r="G793" s="22" t="str">
        <f>IF(OR($A793="",C793="",C793&lt;=0,Séries!R792=""),"",C793/Séries!R792-1)</f>
        <v/>
      </c>
      <c r="H793" s="22" t="str">
        <f>IF(OR($A793="",D793="",D793&lt;=0,Séries!S792=""),"",D793/Séries!S792-1)</f>
        <v/>
      </c>
      <c r="I793" s="22" t="str">
        <f>IF(OR($A793="",E793="",E793&lt;=0,Séries!T792=""),"",E793/Séries!T792-1)</f>
        <v/>
      </c>
      <c r="J793" s="27"/>
      <c r="K793" s="1" t="str">
        <f>IF(COUNTA(A793:E793)=0,"",IF(A793="","Preencha a data",IF(NOT(ISNUMBER(A793)),"Data inválida",IF(OR(A793&lt;36526,A793&gt;73050,A793&lt;&gt;INT(A793)),"Data inválida",IF(A793&lt;=Séries!U792,"Data repetida / fora de ordem",IF(COUNTA(B793:E793)&lt;&gt;COUNT(B793:E793),"Use preços numéricos",IF(OR(AND(ISNUMBER(B793),B793&lt;=0),AND(ISNUMBER(C793),C793&lt;=0),AND(ISNUMBER(D793),D793&lt;=0),AND(ISNUMBER(E793),E793&lt;=0)),"Use preços positivos","")))))))</f>
        <v/>
      </c>
    </row>
    <row r="794" spans="1:11" ht="22.95" customHeight="1">
      <c r="A794" s="28"/>
      <c r="B794" s="29"/>
      <c r="C794" s="29"/>
      <c r="D794" s="29"/>
      <c r="E794" s="30"/>
      <c r="F794" s="22" t="str">
        <f>IF(OR($A794="",B794="",B794&lt;=0,Séries!Q793=""),"",B794/Séries!Q793-1)</f>
        <v/>
      </c>
      <c r="G794" s="22" t="str">
        <f>IF(OR($A794="",C794="",C794&lt;=0,Séries!R793=""),"",C794/Séries!R793-1)</f>
        <v/>
      </c>
      <c r="H794" s="22" t="str">
        <f>IF(OR($A794="",D794="",D794&lt;=0,Séries!S793=""),"",D794/Séries!S793-1)</f>
        <v/>
      </c>
      <c r="I794" s="22" t="str">
        <f>IF(OR($A794="",E794="",E794&lt;=0,Séries!T793=""),"",E794/Séries!T793-1)</f>
        <v/>
      </c>
      <c r="J794" s="27"/>
      <c r="K794" s="1" t="str">
        <f>IF(COUNTA(A794:E794)=0,"",IF(A794="","Preencha a data",IF(NOT(ISNUMBER(A794)),"Data inválida",IF(OR(A794&lt;36526,A794&gt;73050,A794&lt;&gt;INT(A794)),"Data inválida",IF(A794&lt;=Séries!U793,"Data repetida / fora de ordem",IF(COUNTA(B794:E794)&lt;&gt;COUNT(B794:E794),"Use preços numéricos",IF(OR(AND(ISNUMBER(B794),B794&lt;=0),AND(ISNUMBER(C794),C794&lt;=0),AND(ISNUMBER(D794),D794&lt;=0),AND(ISNUMBER(E794),E794&lt;=0)),"Use preços positivos","")))))))</f>
        <v/>
      </c>
    </row>
    <row r="795" spans="1:11" ht="22.95" customHeight="1">
      <c r="A795" s="28"/>
      <c r="B795" s="29"/>
      <c r="C795" s="29"/>
      <c r="D795" s="29"/>
      <c r="E795" s="30"/>
      <c r="F795" s="22" t="str">
        <f>IF(OR($A795="",B795="",B795&lt;=0,Séries!Q794=""),"",B795/Séries!Q794-1)</f>
        <v/>
      </c>
      <c r="G795" s="22" t="str">
        <f>IF(OR($A795="",C795="",C795&lt;=0,Séries!R794=""),"",C795/Séries!R794-1)</f>
        <v/>
      </c>
      <c r="H795" s="22" t="str">
        <f>IF(OR($A795="",D795="",D795&lt;=0,Séries!S794=""),"",D795/Séries!S794-1)</f>
        <v/>
      </c>
      <c r="I795" s="22" t="str">
        <f>IF(OR($A795="",E795="",E795&lt;=0,Séries!T794=""),"",E795/Séries!T794-1)</f>
        <v/>
      </c>
      <c r="J795" s="27"/>
      <c r="K795" s="1" t="str">
        <f>IF(COUNTA(A795:E795)=0,"",IF(A795="","Preencha a data",IF(NOT(ISNUMBER(A795)),"Data inválida",IF(OR(A795&lt;36526,A795&gt;73050,A795&lt;&gt;INT(A795)),"Data inválida",IF(A795&lt;=Séries!U794,"Data repetida / fora de ordem",IF(COUNTA(B795:E795)&lt;&gt;COUNT(B795:E795),"Use preços numéricos",IF(OR(AND(ISNUMBER(B795),B795&lt;=0),AND(ISNUMBER(C795),C795&lt;=0),AND(ISNUMBER(D795),D795&lt;=0),AND(ISNUMBER(E795),E795&lt;=0)),"Use preços positivos","")))))))</f>
        <v/>
      </c>
    </row>
    <row r="796" spans="1:11" ht="22.95" customHeight="1">
      <c r="A796" s="28"/>
      <c r="B796" s="29"/>
      <c r="C796" s="29"/>
      <c r="D796" s="29"/>
      <c r="E796" s="30"/>
      <c r="F796" s="22" t="str">
        <f>IF(OR($A796="",B796="",B796&lt;=0,Séries!Q795=""),"",B796/Séries!Q795-1)</f>
        <v/>
      </c>
      <c r="G796" s="22" t="str">
        <f>IF(OR($A796="",C796="",C796&lt;=0,Séries!R795=""),"",C796/Séries!R795-1)</f>
        <v/>
      </c>
      <c r="H796" s="22" t="str">
        <f>IF(OR($A796="",D796="",D796&lt;=0,Séries!S795=""),"",D796/Séries!S795-1)</f>
        <v/>
      </c>
      <c r="I796" s="22" t="str">
        <f>IF(OR($A796="",E796="",E796&lt;=0,Séries!T795=""),"",E796/Séries!T795-1)</f>
        <v/>
      </c>
      <c r="J796" s="27"/>
      <c r="K796" s="1" t="str">
        <f>IF(COUNTA(A796:E796)=0,"",IF(A796="","Preencha a data",IF(NOT(ISNUMBER(A796)),"Data inválida",IF(OR(A796&lt;36526,A796&gt;73050,A796&lt;&gt;INT(A796)),"Data inválida",IF(A796&lt;=Séries!U795,"Data repetida / fora de ordem",IF(COUNTA(B796:E796)&lt;&gt;COUNT(B796:E796),"Use preços numéricos",IF(OR(AND(ISNUMBER(B796),B796&lt;=0),AND(ISNUMBER(C796),C796&lt;=0),AND(ISNUMBER(D796),D796&lt;=0),AND(ISNUMBER(E796),E796&lt;=0)),"Use preços positivos","")))))))</f>
        <v/>
      </c>
    </row>
    <row r="797" spans="1:11" ht="22.95" customHeight="1">
      <c r="A797" s="28"/>
      <c r="B797" s="29"/>
      <c r="C797" s="29"/>
      <c r="D797" s="29"/>
      <c r="E797" s="30"/>
      <c r="F797" s="22" t="str">
        <f>IF(OR($A797="",B797="",B797&lt;=0,Séries!Q796=""),"",B797/Séries!Q796-1)</f>
        <v/>
      </c>
      <c r="G797" s="22" t="str">
        <f>IF(OR($A797="",C797="",C797&lt;=0,Séries!R796=""),"",C797/Séries!R796-1)</f>
        <v/>
      </c>
      <c r="H797" s="22" t="str">
        <f>IF(OR($A797="",D797="",D797&lt;=0,Séries!S796=""),"",D797/Séries!S796-1)</f>
        <v/>
      </c>
      <c r="I797" s="22" t="str">
        <f>IF(OR($A797="",E797="",E797&lt;=0,Séries!T796=""),"",E797/Séries!T796-1)</f>
        <v/>
      </c>
      <c r="J797" s="27"/>
      <c r="K797" s="1" t="str">
        <f>IF(COUNTA(A797:E797)=0,"",IF(A797="","Preencha a data",IF(NOT(ISNUMBER(A797)),"Data inválida",IF(OR(A797&lt;36526,A797&gt;73050,A797&lt;&gt;INT(A797)),"Data inválida",IF(A797&lt;=Séries!U796,"Data repetida / fora de ordem",IF(COUNTA(B797:E797)&lt;&gt;COUNT(B797:E797),"Use preços numéricos",IF(OR(AND(ISNUMBER(B797),B797&lt;=0),AND(ISNUMBER(C797),C797&lt;=0),AND(ISNUMBER(D797),D797&lt;=0),AND(ISNUMBER(E797),E797&lt;=0)),"Use preços positivos","")))))))</f>
        <v/>
      </c>
    </row>
    <row r="798" spans="1:11" ht="22.95" customHeight="1">
      <c r="A798" s="28"/>
      <c r="B798" s="29"/>
      <c r="C798" s="29"/>
      <c r="D798" s="29"/>
      <c r="E798" s="30"/>
      <c r="F798" s="22" t="str">
        <f>IF(OR($A798="",B798="",B798&lt;=0,Séries!Q797=""),"",B798/Séries!Q797-1)</f>
        <v/>
      </c>
      <c r="G798" s="22" t="str">
        <f>IF(OR($A798="",C798="",C798&lt;=0,Séries!R797=""),"",C798/Séries!R797-1)</f>
        <v/>
      </c>
      <c r="H798" s="22" t="str">
        <f>IF(OR($A798="",D798="",D798&lt;=0,Séries!S797=""),"",D798/Séries!S797-1)</f>
        <v/>
      </c>
      <c r="I798" s="22" t="str">
        <f>IF(OR($A798="",E798="",E798&lt;=0,Séries!T797=""),"",E798/Séries!T797-1)</f>
        <v/>
      </c>
      <c r="J798" s="27"/>
      <c r="K798" s="1" t="str">
        <f>IF(COUNTA(A798:E798)=0,"",IF(A798="","Preencha a data",IF(NOT(ISNUMBER(A798)),"Data inválida",IF(OR(A798&lt;36526,A798&gt;73050,A798&lt;&gt;INT(A798)),"Data inválida",IF(A798&lt;=Séries!U797,"Data repetida / fora de ordem",IF(COUNTA(B798:E798)&lt;&gt;COUNT(B798:E798),"Use preços numéricos",IF(OR(AND(ISNUMBER(B798),B798&lt;=0),AND(ISNUMBER(C798),C798&lt;=0),AND(ISNUMBER(D798),D798&lt;=0),AND(ISNUMBER(E798),E798&lt;=0)),"Use preços positivos","")))))))</f>
        <v/>
      </c>
    </row>
    <row r="799" spans="1:11" ht="22.95" customHeight="1">
      <c r="A799" s="28"/>
      <c r="B799" s="29"/>
      <c r="C799" s="29"/>
      <c r="D799" s="29"/>
      <c r="E799" s="30"/>
      <c r="F799" s="22" t="str">
        <f>IF(OR($A799="",B799="",B799&lt;=0,Séries!Q798=""),"",B799/Séries!Q798-1)</f>
        <v/>
      </c>
      <c r="G799" s="22" t="str">
        <f>IF(OR($A799="",C799="",C799&lt;=0,Séries!R798=""),"",C799/Séries!R798-1)</f>
        <v/>
      </c>
      <c r="H799" s="22" t="str">
        <f>IF(OR($A799="",D799="",D799&lt;=0,Séries!S798=""),"",D799/Séries!S798-1)</f>
        <v/>
      </c>
      <c r="I799" s="22" t="str">
        <f>IF(OR($A799="",E799="",E799&lt;=0,Séries!T798=""),"",E799/Séries!T798-1)</f>
        <v/>
      </c>
      <c r="J799" s="27"/>
      <c r="K799" s="1" t="str">
        <f>IF(COUNTA(A799:E799)=0,"",IF(A799="","Preencha a data",IF(NOT(ISNUMBER(A799)),"Data inválida",IF(OR(A799&lt;36526,A799&gt;73050,A799&lt;&gt;INT(A799)),"Data inválida",IF(A799&lt;=Séries!U798,"Data repetida / fora de ordem",IF(COUNTA(B799:E799)&lt;&gt;COUNT(B799:E799),"Use preços numéricos",IF(OR(AND(ISNUMBER(B799),B799&lt;=0),AND(ISNUMBER(C799),C799&lt;=0),AND(ISNUMBER(D799),D799&lt;=0),AND(ISNUMBER(E799),E799&lt;=0)),"Use preços positivos","")))))))</f>
        <v/>
      </c>
    </row>
    <row r="800" spans="1:11" ht="22.95" customHeight="1">
      <c r="A800" s="28"/>
      <c r="B800" s="29"/>
      <c r="C800" s="29"/>
      <c r="D800" s="29"/>
      <c r="E800" s="30"/>
      <c r="F800" s="22" t="str">
        <f>IF(OR($A800="",B800="",B800&lt;=0,Séries!Q799=""),"",B800/Séries!Q799-1)</f>
        <v/>
      </c>
      <c r="G800" s="22" t="str">
        <f>IF(OR($A800="",C800="",C800&lt;=0,Séries!R799=""),"",C800/Séries!R799-1)</f>
        <v/>
      </c>
      <c r="H800" s="22" t="str">
        <f>IF(OR($A800="",D800="",D800&lt;=0,Séries!S799=""),"",D800/Séries!S799-1)</f>
        <v/>
      </c>
      <c r="I800" s="22" t="str">
        <f>IF(OR($A800="",E800="",E800&lt;=0,Séries!T799=""),"",E800/Séries!T799-1)</f>
        <v/>
      </c>
      <c r="J800" s="27"/>
      <c r="K800" s="1" t="str">
        <f>IF(COUNTA(A800:E800)=0,"",IF(A800="","Preencha a data",IF(NOT(ISNUMBER(A800)),"Data inválida",IF(OR(A800&lt;36526,A800&gt;73050,A800&lt;&gt;INT(A800)),"Data inválida",IF(A800&lt;=Séries!U799,"Data repetida / fora de ordem",IF(COUNTA(B800:E800)&lt;&gt;COUNT(B800:E800),"Use preços numéricos",IF(OR(AND(ISNUMBER(B800),B800&lt;=0),AND(ISNUMBER(C800),C800&lt;=0),AND(ISNUMBER(D800),D800&lt;=0),AND(ISNUMBER(E800),E800&lt;=0)),"Use preços positivos","")))))))</f>
        <v/>
      </c>
    </row>
    <row r="801" spans="1:11" ht="22.95" customHeight="1">
      <c r="A801" s="28"/>
      <c r="B801" s="29"/>
      <c r="C801" s="29"/>
      <c r="D801" s="29"/>
      <c r="E801" s="30"/>
      <c r="F801" s="22" t="str">
        <f>IF(OR($A801="",B801="",B801&lt;=0,Séries!Q800=""),"",B801/Séries!Q800-1)</f>
        <v/>
      </c>
      <c r="G801" s="22" t="str">
        <f>IF(OR($A801="",C801="",C801&lt;=0,Séries!R800=""),"",C801/Séries!R800-1)</f>
        <v/>
      </c>
      <c r="H801" s="22" t="str">
        <f>IF(OR($A801="",D801="",D801&lt;=0,Séries!S800=""),"",D801/Séries!S800-1)</f>
        <v/>
      </c>
      <c r="I801" s="22" t="str">
        <f>IF(OR($A801="",E801="",E801&lt;=0,Séries!T800=""),"",E801/Séries!T800-1)</f>
        <v/>
      </c>
      <c r="J801" s="27"/>
      <c r="K801" s="1" t="str">
        <f>IF(COUNTA(A801:E801)=0,"",IF(A801="","Preencha a data",IF(NOT(ISNUMBER(A801)),"Data inválida",IF(OR(A801&lt;36526,A801&gt;73050,A801&lt;&gt;INT(A801)),"Data inválida",IF(A801&lt;=Séries!U800,"Data repetida / fora de ordem",IF(COUNTA(B801:E801)&lt;&gt;COUNT(B801:E801),"Use preços numéricos",IF(OR(AND(ISNUMBER(B801),B801&lt;=0),AND(ISNUMBER(C801),C801&lt;=0),AND(ISNUMBER(D801),D801&lt;=0),AND(ISNUMBER(E801),E801&lt;=0)),"Use preços positivos","")))))))</f>
        <v/>
      </c>
    </row>
    <row r="802" spans="1:11" ht="22.95" customHeight="1">
      <c r="A802" s="28"/>
      <c r="B802" s="29"/>
      <c r="C802" s="29"/>
      <c r="D802" s="29"/>
      <c r="E802" s="30"/>
      <c r="F802" s="22" t="str">
        <f>IF(OR($A802="",B802="",B802&lt;=0,Séries!Q801=""),"",B802/Séries!Q801-1)</f>
        <v/>
      </c>
      <c r="G802" s="22" t="str">
        <f>IF(OR($A802="",C802="",C802&lt;=0,Séries!R801=""),"",C802/Séries!R801-1)</f>
        <v/>
      </c>
      <c r="H802" s="22" t="str">
        <f>IF(OR($A802="",D802="",D802&lt;=0,Séries!S801=""),"",D802/Séries!S801-1)</f>
        <v/>
      </c>
      <c r="I802" s="22" t="str">
        <f>IF(OR($A802="",E802="",E802&lt;=0,Séries!T801=""),"",E802/Séries!T801-1)</f>
        <v/>
      </c>
      <c r="J802" s="27"/>
      <c r="K802" s="1" t="str">
        <f>IF(COUNTA(A802:E802)=0,"",IF(A802="","Preencha a data",IF(NOT(ISNUMBER(A802)),"Data inválida",IF(OR(A802&lt;36526,A802&gt;73050,A802&lt;&gt;INT(A802)),"Data inválida",IF(A802&lt;=Séries!U801,"Data repetida / fora de ordem",IF(COUNTA(B802:E802)&lt;&gt;COUNT(B802:E802),"Use preços numéricos",IF(OR(AND(ISNUMBER(B802),B802&lt;=0),AND(ISNUMBER(C802),C802&lt;=0),AND(ISNUMBER(D802),D802&lt;=0),AND(ISNUMBER(E802),E802&lt;=0)),"Use preços positivos","")))))))</f>
        <v/>
      </c>
    </row>
    <row r="803" spans="1:11" ht="22.95" customHeight="1">
      <c r="A803" s="28"/>
      <c r="B803" s="29"/>
      <c r="C803" s="29"/>
      <c r="D803" s="29"/>
      <c r="E803" s="30"/>
      <c r="F803" s="22" t="str">
        <f>IF(OR($A803="",B803="",B803&lt;=0,Séries!Q802=""),"",B803/Séries!Q802-1)</f>
        <v/>
      </c>
      <c r="G803" s="22" t="str">
        <f>IF(OR($A803="",C803="",C803&lt;=0,Séries!R802=""),"",C803/Séries!R802-1)</f>
        <v/>
      </c>
      <c r="H803" s="22" t="str">
        <f>IF(OR($A803="",D803="",D803&lt;=0,Séries!S802=""),"",D803/Séries!S802-1)</f>
        <v/>
      </c>
      <c r="I803" s="22" t="str">
        <f>IF(OR($A803="",E803="",E803&lt;=0,Séries!T802=""),"",E803/Séries!T802-1)</f>
        <v/>
      </c>
      <c r="J803" s="27"/>
      <c r="K803" s="1" t="str">
        <f>IF(COUNTA(A803:E803)=0,"",IF(A803="","Preencha a data",IF(NOT(ISNUMBER(A803)),"Data inválida",IF(OR(A803&lt;36526,A803&gt;73050,A803&lt;&gt;INT(A803)),"Data inválida",IF(A803&lt;=Séries!U802,"Data repetida / fora de ordem",IF(COUNTA(B803:E803)&lt;&gt;COUNT(B803:E803),"Use preços numéricos",IF(OR(AND(ISNUMBER(B803),B803&lt;=0),AND(ISNUMBER(C803),C803&lt;=0),AND(ISNUMBER(D803),D803&lt;=0),AND(ISNUMBER(E803),E803&lt;=0)),"Use preços positivos","")))))))</f>
        <v/>
      </c>
    </row>
    <row r="804" spans="1:11" ht="22.95" customHeight="1">
      <c r="A804" s="28"/>
      <c r="B804" s="29"/>
      <c r="C804" s="29"/>
      <c r="D804" s="29"/>
      <c r="E804" s="30"/>
      <c r="F804" s="22" t="str">
        <f>IF(OR($A804="",B804="",B804&lt;=0,Séries!Q803=""),"",B804/Séries!Q803-1)</f>
        <v/>
      </c>
      <c r="G804" s="22" t="str">
        <f>IF(OR($A804="",C804="",C804&lt;=0,Séries!R803=""),"",C804/Séries!R803-1)</f>
        <v/>
      </c>
      <c r="H804" s="22" t="str">
        <f>IF(OR($A804="",D804="",D804&lt;=0,Séries!S803=""),"",D804/Séries!S803-1)</f>
        <v/>
      </c>
      <c r="I804" s="22" t="str">
        <f>IF(OR($A804="",E804="",E804&lt;=0,Séries!T803=""),"",E804/Séries!T803-1)</f>
        <v/>
      </c>
      <c r="J804" s="27"/>
      <c r="K804" s="1" t="str">
        <f>IF(COUNTA(A804:E804)=0,"",IF(A804="","Preencha a data",IF(NOT(ISNUMBER(A804)),"Data inválida",IF(OR(A804&lt;36526,A804&gt;73050,A804&lt;&gt;INT(A804)),"Data inválida",IF(A804&lt;=Séries!U803,"Data repetida / fora de ordem",IF(COUNTA(B804:E804)&lt;&gt;COUNT(B804:E804),"Use preços numéricos",IF(OR(AND(ISNUMBER(B804),B804&lt;=0),AND(ISNUMBER(C804),C804&lt;=0),AND(ISNUMBER(D804),D804&lt;=0),AND(ISNUMBER(E804),E804&lt;=0)),"Use preços positivos","")))))))</f>
        <v/>
      </c>
    </row>
    <row r="805" spans="1:11" ht="22.95" customHeight="1">
      <c r="A805" s="28"/>
      <c r="B805" s="29"/>
      <c r="C805" s="29"/>
      <c r="D805" s="29"/>
      <c r="E805" s="30"/>
      <c r="F805" s="22" t="str">
        <f>IF(OR($A805="",B805="",B805&lt;=0,Séries!Q804=""),"",B805/Séries!Q804-1)</f>
        <v/>
      </c>
      <c r="G805" s="22" t="str">
        <f>IF(OR($A805="",C805="",C805&lt;=0,Séries!R804=""),"",C805/Séries!R804-1)</f>
        <v/>
      </c>
      <c r="H805" s="22" t="str">
        <f>IF(OR($A805="",D805="",D805&lt;=0,Séries!S804=""),"",D805/Séries!S804-1)</f>
        <v/>
      </c>
      <c r="I805" s="22" t="str">
        <f>IF(OR($A805="",E805="",E805&lt;=0,Séries!T804=""),"",E805/Séries!T804-1)</f>
        <v/>
      </c>
      <c r="J805" s="27"/>
      <c r="K805" s="1" t="str">
        <f>IF(COUNTA(A805:E805)=0,"",IF(A805="","Preencha a data",IF(NOT(ISNUMBER(A805)),"Data inválida",IF(OR(A805&lt;36526,A805&gt;73050,A805&lt;&gt;INT(A805)),"Data inválida",IF(A805&lt;=Séries!U804,"Data repetida / fora de ordem",IF(COUNTA(B805:E805)&lt;&gt;COUNT(B805:E805),"Use preços numéricos",IF(OR(AND(ISNUMBER(B805),B805&lt;=0),AND(ISNUMBER(C805),C805&lt;=0),AND(ISNUMBER(D805),D805&lt;=0),AND(ISNUMBER(E805),E805&lt;=0)),"Use preços positivos","")))))))</f>
        <v/>
      </c>
    </row>
    <row r="806" spans="1:11" ht="22.95" customHeight="1">
      <c r="A806" s="28"/>
      <c r="B806" s="29"/>
      <c r="C806" s="29"/>
      <c r="D806" s="29"/>
      <c r="E806" s="30"/>
      <c r="F806" s="22" t="str">
        <f>IF(OR($A806="",B806="",B806&lt;=0,Séries!Q805=""),"",B806/Séries!Q805-1)</f>
        <v/>
      </c>
      <c r="G806" s="22" t="str">
        <f>IF(OR($A806="",C806="",C806&lt;=0,Séries!R805=""),"",C806/Séries!R805-1)</f>
        <v/>
      </c>
      <c r="H806" s="22" t="str">
        <f>IF(OR($A806="",D806="",D806&lt;=0,Séries!S805=""),"",D806/Séries!S805-1)</f>
        <v/>
      </c>
      <c r="I806" s="22" t="str">
        <f>IF(OR($A806="",E806="",E806&lt;=0,Séries!T805=""),"",E806/Séries!T805-1)</f>
        <v/>
      </c>
      <c r="J806" s="27"/>
      <c r="K806" s="1" t="str">
        <f>IF(COUNTA(A806:E806)=0,"",IF(A806="","Preencha a data",IF(NOT(ISNUMBER(A806)),"Data inválida",IF(OR(A806&lt;36526,A806&gt;73050,A806&lt;&gt;INT(A806)),"Data inválida",IF(A806&lt;=Séries!U805,"Data repetida / fora de ordem",IF(COUNTA(B806:E806)&lt;&gt;COUNT(B806:E806),"Use preços numéricos",IF(OR(AND(ISNUMBER(B806),B806&lt;=0),AND(ISNUMBER(C806),C806&lt;=0),AND(ISNUMBER(D806),D806&lt;=0),AND(ISNUMBER(E806),E806&lt;=0)),"Use preços positivos","")))))))</f>
        <v/>
      </c>
    </row>
    <row r="807" spans="1:11" ht="22.95" customHeight="1">
      <c r="A807" s="28"/>
      <c r="B807" s="29"/>
      <c r="C807" s="29"/>
      <c r="D807" s="29"/>
      <c r="E807" s="30"/>
      <c r="F807" s="22" t="str">
        <f>IF(OR($A807="",B807="",B807&lt;=0,Séries!Q806=""),"",B807/Séries!Q806-1)</f>
        <v/>
      </c>
      <c r="G807" s="22" t="str">
        <f>IF(OR($A807="",C807="",C807&lt;=0,Séries!R806=""),"",C807/Séries!R806-1)</f>
        <v/>
      </c>
      <c r="H807" s="22" t="str">
        <f>IF(OR($A807="",D807="",D807&lt;=0,Séries!S806=""),"",D807/Séries!S806-1)</f>
        <v/>
      </c>
      <c r="I807" s="22" t="str">
        <f>IF(OR($A807="",E807="",E807&lt;=0,Séries!T806=""),"",E807/Séries!T806-1)</f>
        <v/>
      </c>
      <c r="J807" s="27"/>
      <c r="K807" s="1" t="str">
        <f>IF(COUNTA(A807:E807)=0,"",IF(A807="","Preencha a data",IF(NOT(ISNUMBER(A807)),"Data inválida",IF(OR(A807&lt;36526,A807&gt;73050,A807&lt;&gt;INT(A807)),"Data inválida",IF(A807&lt;=Séries!U806,"Data repetida / fora de ordem",IF(COUNTA(B807:E807)&lt;&gt;COUNT(B807:E807),"Use preços numéricos",IF(OR(AND(ISNUMBER(B807),B807&lt;=0),AND(ISNUMBER(C807),C807&lt;=0),AND(ISNUMBER(D807),D807&lt;=0),AND(ISNUMBER(E807),E807&lt;=0)),"Use preços positivos","")))))))</f>
        <v/>
      </c>
    </row>
    <row r="808" spans="1:11" ht="22.95" customHeight="1">
      <c r="A808" s="28"/>
      <c r="B808" s="29"/>
      <c r="C808" s="29"/>
      <c r="D808" s="29"/>
      <c r="E808" s="30"/>
      <c r="F808" s="22" t="str">
        <f>IF(OR($A808="",B808="",B808&lt;=0,Séries!Q807=""),"",B808/Séries!Q807-1)</f>
        <v/>
      </c>
      <c r="G808" s="22" t="str">
        <f>IF(OR($A808="",C808="",C808&lt;=0,Séries!R807=""),"",C808/Séries!R807-1)</f>
        <v/>
      </c>
      <c r="H808" s="22" t="str">
        <f>IF(OR($A808="",D808="",D808&lt;=0,Séries!S807=""),"",D808/Séries!S807-1)</f>
        <v/>
      </c>
      <c r="I808" s="22" t="str">
        <f>IF(OR($A808="",E808="",E808&lt;=0,Séries!T807=""),"",E808/Séries!T807-1)</f>
        <v/>
      </c>
      <c r="J808" s="27"/>
      <c r="K808" s="1" t="str">
        <f>IF(COUNTA(A808:E808)=0,"",IF(A808="","Preencha a data",IF(NOT(ISNUMBER(A808)),"Data inválida",IF(OR(A808&lt;36526,A808&gt;73050,A808&lt;&gt;INT(A808)),"Data inválida",IF(A808&lt;=Séries!U807,"Data repetida / fora de ordem",IF(COUNTA(B808:E808)&lt;&gt;COUNT(B808:E808),"Use preços numéricos",IF(OR(AND(ISNUMBER(B808),B808&lt;=0),AND(ISNUMBER(C808),C808&lt;=0),AND(ISNUMBER(D808),D808&lt;=0),AND(ISNUMBER(E808),E808&lt;=0)),"Use preços positivos","")))))))</f>
        <v/>
      </c>
    </row>
    <row r="809" spans="1:11" ht="22.95" customHeight="1">
      <c r="A809" s="28"/>
      <c r="B809" s="29"/>
      <c r="C809" s="29"/>
      <c r="D809" s="29"/>
      <c r="E809" s="30"/>
      <c r="F809" s="22" t="str">
        <f>IF(OR($A809="",B809="",B809&lt;=0,Séries!Q808=""),"",B809/Séries!Q808-1)</f>
        <v/>
      </c>
      <c r="G809" s="22" t="str">
        <f>IF(OR($A809="",C809="",C809&lt;=0,Séries!R808=""),"",C809/Séries!R808-1)</f>
        <v/>
      </c>
      <c r="H809" s="22" t="str">
        <f>IF(OR($A809="",D809="",D809&lt;=0,Séries!S808=""),"",D809/Séries!S808-1)</f>
        <v/>
      </c>
      <c r="I809" s="22" t="str">
        <f>IF(OR($A809="",E809="",E809&lt;=0,Séries!T808=""),"",E809/Séries!T808-1)</f>
        <v/>
      </c>
      <c r="J809" s="27"/>
      <c r="K809" s="1" t="str">
        <f>IF(COUNTA(A809:E809)=0,"",IF(A809="","Preencha a data",IF(NOT(ISNUMBER(A809)),"Data inválida",IF(OR(A809&lt;36526,A809&gt;73050,A809&lt;&gt;INT(A809)),"Data inválida",IF(A809&lt;=Séries!U808,"Data repetida / fora de ordem",IF(COUNTA(B809:E809)&lt;&gt;COUNT(B809:E809),"Use preços numéricos",IF(OR(AND(ISNUMBER(B809),B809&lt;=0),AND(ISNUMBER(C809),C809&lt;=0),AND(ISNUMBER(D809),D809&lt;=0),AND(ISNUMBER(E809),E809&lt;=0)),"Use preços positivos","")))))))</f>
        <v/>
      </c>
    </row>
    <row r="810" spans="1:11" ht="22.95" customHeight="1">
      <c r="A810" s="28"/>
      <c r="B810" s="29"/>
      <c r="C810" s="29"/>
      <c r="D810" s="29"/>
      <c r="E810" s="30"/>
      <c r="F810" s="22" t="str">
        <f>IF(OR($A810="",B810="",B810&lt;=0,Séries!Q809=""),"",B810/Séries!Q809-1)</f>
        <v/>
      </c>
      <c r="G810" s="22" t="str">
        <f>IF(OR($A810="",C810="",C810&lt;=0,Séries!R809=""),"",C810/Séries!R809-1)</f>
        <v/>
      </c>
      <c r="H810" s="22" t="str">
        <f>IF(OR($A810="",D810="",D810&lt;=0,Séries!S809=""),"",D810/Séries!S809-1)</f>
        <v/>
      </c>
      <c r="I810" s="22" t="str">
        <f>IF(OR($A810="",E810="",E810&lt;=0,Séries!T809=""),"",E810/Séries!T809-1)</f>
        <v/>
      </c>
      <c r="J810" s="27"/>
      <c r="K810" s="1" t="str">
        <f>IF(COUNTA(A810:E810)=0,"",IF(A810="","Preencha a data",IF(NOT(ISNUMBER(A810)),"Data inválida",IF(OR(A810&lt;36526,A810&gt;73050,A810&lt;&gt;INT(A810)),"Data inválida",IF(A810&lt;=Séries!U809,"Data repetida / fora de ordem",IF(COUNTA(B810:E810)&lt;&gt;COUNT(B810:E810),"Use preços numéricos",IF(OR(AND(ISNUMBER(B810),B810&lt;=0),AND(ISNUMBER(C810),C810&lt;=0),AND(ISNUMBER(D810),D810&lt;=0),AND(ISNUMBER(E810),E810&lt;=0)),"Use preços positivos","")))))))</f>
        <v/>
      </c>
    </row>
    <row r="811" spans="1:11" ht="22.95" customHeight="1">
      <c r="A811" s="28"/>
      <c r="B811" s="29"/>
      <c r="C811" s="29"/>
      <c r="D811" s="29"/>
      <c r="E811" s="30"/>
      <c r="F811" s="22" t="str">
        <f>IF(OR($A811="",B811="",B811&lt;=0,Séries!Q810=""),"",B811/Séries!Q810-1)</f>
        <v/>
      </c>
      <c r="G811" s="22" t="str">
        <f>IF(OR($A811="",C811="",C811&lt;=0,Séries!R810=""),"",C811/Séries!R810-1)</f>
        <v/>
      </c>
      <c r="H811" s="22" t="str">
        <f>IF(OR($A811="",D811="",D811&lt;=0,Séries!S810=""),"",D811/Séries!S810-1)</f>
        <v/>
      </c>
      <c r="I811" s="22" t="str">
        <f>IF(OR($A811="",E811="",E811&lt;=0,Séries!T810=""),"",E811/Séries!T810-1)</f>
        <v/>
      </c>
      <c r="J811" s="27"/>
      <c r="K811" s="1" t="str">
        <f>IF(COUNTA(A811:E811)=0,"",IF(A811="","Preencha a data",IF(NOT(ISNUMBER(A811)),"Data inválida",IF(OR(A811&lt;36526,A811&gt;73050,A811&lt;&gt;INT(A811)),"Data inválida",IF(A811&lt;=Séries!U810,"Data repetida / fora de ordem",IF(COUNTA(B811:E811)&lt;&gt;COUNT(B811:E811),"Use preços numéricos",IF(OR(AND(ISNUMBER(B811),B811&lt;=0),AND(ISNUMBER(C811),C811&lt;=0),AND(ISNUMBER(D811),D811&lt;=0),AND(ISNUMBER(E811),E811&lt;=0)),"Use preços positivos","")))))))</f>
        <v/>
      </c>
    </row>
    <row r="812" spans="1:11" ht="22.95" customHeight="1">
      <c r="A812" s="28"/>
      <c r="B812" s="29"/>
      <c r="C812" s="29"/>
      <c r="D812" s="29"/>
      <c r="E812" s="30"/>
      <c r="F812" s="22" t="str">
        <f>IF(OR($A812="",B812="",B812&lt;=0,Séries!Q811=""),"",B812/Séries!Q811-1)</f>
        <v/>
      </c>
      <c r="G812" s="22" t="str">
        <f>IF(OR($A812="",C812="",C812&lt;=0,Séries!R811=""),"",C812/Séries!R811-1)</f>
        <v/>
      </c>
      <c r="H812" s="22" t="str">
        <f>IF(OR($A812="",D812="",D812&lt;=0,Séries!S811=""),"",D812/Séries!S811-1)</f>
        <v/>
      </c>
      <c r="I812" s="22" t="str">
        <f>IF(OR($A812="",E812="",E812&lt;=0,Séries!T811=""),"",E812/Séries!T811-1)</f>
        <v/>
      </c>
      <c r="J812" s="27"/>
      <c r="K812" s="1" t="str">
        <f>IF(COUNTA(A812:E812)=0,"",IF(A812="","Preencha a data",IF(NOT(ISNUMBER(A812)),"Data inválida",IF(OR(A812&lt;36526,A812&gt;73050,A812&lt;&gt;INT(A812)),"Data inválida",IF(A812&lt;=Séries!U811,"Data repetida / fora de ordem",IF(COUNTA(B812:E812)&lt;&gt;COUNT(B812:E812),"Use preços numéricos",IF(OR(AND(ISNUMBER(B812),B812&lt;=0),AND(ISNUMBER(C812),C812&lt;=0),AND(ISNUMBER(D812),D812&lt;=0),AND(ISNUMBER(E812),E812&lt;=0)),"Use preços positivos","")))))))</f>
        <v/>
      </c>
    </row>
    <row r="813" spans="1:11" ht="22.95" customHeight="1">
      <c r="A813" s="28"/>
      <c r="B813" s="29"/>
      <c r="C813" s="29"/>
      <c r="D813" s="29"/>
      <c r="E813" s="30"/>
      <c r="F813" s="22" t="str">
        <f>IF(OR($A813="",B813="",B813&lt;=0,Séries!Q812=""),"",B813/Séries!Q812-1)</f>
        <v/>
      </c>
      <c r="G813" s="22" t="str">
        <f>IF(OR($A813="",C813="",C813&lt;=0,Séries!R812=""),"",C813/Séries!R812-1)</f>
        <v/>
      </c>
      <c r="H813" s="22" t="str">
        <f>IF(OR($A813="",D813="",D813&lt;=0,Séries!S812=""),"",D813/Séries!S812-1)</f>
        <v/>
      </c>
      <c r="I813" s="22" t="str">
        <f>IF(OR($A813="",E813="",E813&lt;=0,Séries!T812=""),"",E813/Séries!T812-1)</f>
        <v/>
      </c>
      <c r="J813" s="27"/>
      <c r="K813" s="1" t="str">
        <f>IF(COUNTA(A813:E813)=0,"",IF(A813="","Preencha a data",IF(NOT(ISNUMBER(A813)),"Data inválida",IF(OR(A813&lt;36526,A813&gt;73050,A813&lt;&gt;INT(A813)),"Data inválida",IF(A813&lt;=Séries!U812,"Data repetida / fora de ordem",IF(COUNTA(B813:E813)&lt;&gt;COUNT(B813:E813),"Use preços numéricos",IF(OR(AND(ISNUMBER(B813),B813&lt;=0),AND(ISNUMBER(C813),C813&lt;=0),AND(ISNUMBER(D813),D813&lt;=0),AND(ISNUMBER(E813),E813&lt;=0)),"Use preços positivos","")))))))</f>
        <v/>
      </c>
    </row>
    <row r="814" spans="1:11" ht="22.95" customHeight="1">
      <c r="A814" s="28"/>
      <c r="B814" s="29"/>
      <c r="C814" s="29"/>
      <c r="D814" s="29"/>
      <c r="E814" s="30"/>
      <c r="F814" s="22" t="str">
        <f>IF(OR($A814="",B814="",B814&lt;=0,Séries!Q813=""),"",B814/Séries!Q813-1)</f>
        <v/>
      </c>
      <c r="G814" s="22" t="str">
        <f>IF(OR($A814="",C814="",C814&lt;=0,Séries!R813=""),"",C814/Séries!R813-1)</f>
        <v/>
      </c>
      <c r="H814" s="22" t="str">
        <f>IF(OR($A814="",D814="",D814&lt;=0,Séries!S813=""),"",D814/Séries!S813-1)</f>
        <v/>
      </c>
      <c r="I814" s="22" t="str">
        <f>IF(OR($A814="",E814="",E814&lt;=0,Séries!T813=""),"",E814/Séries!T813-1)</f>
        <v/>
      </c>
      <c r="J814" s="27"/>
      <c r="K814" s="1" t="str">
        <f>IF(COUNTA(A814:E814)=0,"",IF(A814="","Preencha a data",IF(NOT(ISNUMBER(A814)),"Data inválida",IF(OR(A814&lt;36526,A814&gt;73050,A814&lt;&gt;INT(A814)),"Data inválida",IF(A814&lt;=Séries!U813,"Data repetida / fora de ordem",IF(COUNTA(B814:E814)&lt;&gt;COUNT(B814:E814),"Use preços numéricos",IF(OR(AND(ISNUMBER(B814),B814&lt;=0),AND(ISNUMBER(C814),C814&lt;=0),AND(ISNUMBER(D814),D814&lt;=0),AND(ISNUMBER(E814),E814&lt;=0)),"Use preços positivos","")))))))</f>
        <v/>
      </c>
    </row>
    <row r="815" spans="1:11" ht="22.95" customHeight="1">
      <c r="A815" s="28"/>
      <c r="B815" s="29"/>
      <c r="C815" s="29"/>
      <c r="D815" s="29"/>
      <c r="E815" s="30"/>
      <c r="F815" s="22" t="str">
        <f>IF(OR($A815="",B815="",B815&lt;=0,Séries!Q814=""),"",B815/Séries!Q814-1)</f>
        <v/>
      </c>
      <c r="G815" s="22" t="str">
        <f>IF(OR($A815="",C815="",C815&lt;=0,Séries!R814=""),"",C815/Séries!R814-1)</f>
        <v/>
      </c>
      <c r="H815" s="22" t="str">
        <f>IF(OR($A815="",D815="",D815&lt;=0,Séries!S814=""),"",D815/Séries!S814-1)</f>
        <v/>
      </c>
      <c r="I815" s="22" t="str">
        <f>IF(OR($A815="",E815="",E815&lt;=0,Séries!T814=""),"",E815/Séries!T814-1)</f>
        <v/>
      </c>
      <c r="J815" s="27"/>
      <c r="K815" s="1" t="str">
        <f>IF(COUNTA(A815:E815)=0,"",IF(A815="","Preencha a data",IF(NOT(ISNUMBER(A815)),"Data inválida",IF(OR(A815&lt;36526,A815&gt;73050,A815&lt;&gt;INT(A815)),"Data inválida",IF(A815&lt;=Séries!U814,"Data repetida / fora de ordem",IF(COUNTA(B815:E815)&lt;&gt;COUNT(B815:E815),"Use preços numéricos",IF(OR(AND(ISNUMBER(B815),B815&lt;=0),AND(ISNUMBER(C815),C815&lt;=0),AND(ISNUMBER(D815),D815&lt;=0),AND(ISNUMBER(E815),E815&lt;=0)),"Use preços positivos","")))))))</f>
        <v/>
      </c>
    </row>
    <row r="816" spans="1:11" ht="22.95" customHeight="1">
      <c r="A816" s="28"/>
      <c r="B816" s="29"/>
      <c r="C816" s="29"/>
      <c r="D816" s="29"/>
      <c r="E816" s="30"/>
      <c r="F816" s="22" t="str">
        <f>IF(OR($A816="",B816="",B816&lt;=0,Séries!Q815=""),"",B816/Séries!Q815-1)</f>
        <v/>
      </c>
      <c r="G816" s="22" t="str">
        <f>IF(OR($A816="",C816="",C816&lt;=0,Séries!R815=""),"",C816/Séries!R815-1)</f>
        <v/>
      </c>
      <c r="H816" s="22" t="str">
        <f>IF(OR($A816="",D816="",D816&lt;=0,Séries!S815=""),"",D816/Séries!S815-1)</f>
        <v/>
      </c>
      <c r="I816" s="22" t="str">
        <f>IF(OR($A816="",E816="",E816&lt;=0,Séries!T815=""),"",E816/Séries!T815-1)</f>
        <v/>
      </c>
      <c r="J816" s="27"/>
      <c r="K816" s="1" t="str">
        <f>IF(COUNTA(A816:E816)=0,"",IF(A816="","Preencha a data",IF(NOT(ISNUMBER(A816)),"Data inválida",IF(OR(A816&lt;36526,A816&gt;73050,A816&lt;&gt;INT(A816)),"Data inválida",IF(A816&lt;=Séries!U815,"Data repetida / fora de ordem",IF(COUNTA(B816:E816)&lt;&gt;COUNT(B816:E816),"Use preços numéricos",IF(OR(AND(ISNUMBER(B816),B816&lt;=0),AND(ISNUMBER(C816),C816&lt;=0),AND(ISNUMBER(D816),D816&lt;=0),AND(ISNUMBER(E816),E816&lt;=0)),"Use preços positivos","")))))))</f>
        <v/>
      </c>
    </row>
    <row r="817" spans="1:11" ht="22.95" customHeight="1">
      <c r="A817" s="28"/>
      <c r="B817" s="29"/>
      <c r="C817" s="29"/>
      <c r="D817" s="29"/>
      <c r="E817" s="30"/>
      <c r="F817" s="22" t="str">
        <f>IF(OR($A817="",B817="",B817&lt;=0,Séries!Q816=""),"",B817/Séries!Q816-1)</f>
        <v/>
      </c>
      <c r="G817" s="22" t="str">
        <f>IF(OR($A817="",C817="",C817&lt;=0,Séries!R816=""),"",C817/Séries!R816-1)</f>
        <v/>
      </c>
      <c r="H817" s="22" t="str">
        <f>IF(OR($A817="",D817="",D817&lt;=0,Séries!S816=""),"",D817/Séries!S816-1)</f>
        <v/>
      </c>
      <c r="I817" s="22" t="str">
        <f>IF(OR($A817="",E817="",E817&lt;=0,Séries!T816=""),"",E817/Séries!T816-1)</f>
        <v/>
      </c>
      <c r="J817" s="27"/>
      <c r="K817" s="1" t="str">
        <f>IF(COUNTA(A817:E817)=0,"",IF(A817="","Preencha a data",IF(NOT(ISNUMBER(A817)),"Data inválida",IF(OR(A817&lt;36526,A817&gt;73050,A817&lt;&gt;INT(A817)),"Data inválida",IF(A817&lt;=Séries!U816,"Data repetida / fora de ordem",IF(COUNTA(B817:E817)&lt;&gt;COUNT(B817:E817),"Use preços numéricos",IF(OR(AND(ISNUMBER(B817),B817&lt;=0),AND(ISNUMBER(C817),C817&lt;=0),AND(ISNUMBER(D817),D817&lt;=0),AND(ISNUMBER(E817),E817&lt;=0)),"Use preços positivos","")))))))</f>
        <v/>
      </c>
    </row>
    <row r="818" spans="1:11" ht="22.95" customHeight="1">
      <c r="A818" s="28"/>
      <c r="B818" s="29"/>
      <c r="C818" s="29"/>
      <c r="D818" s="29"/>
      <c r="E818" s="30"/>
      <c r="F818" s="22" t="str">
        <f>IF(OR($A818="",B818="",B818&lt;=0,Séries!Q817=""),"",B818/Séries!Q817-1)</f>
        <v/>
      </c>
      <c r="G818" s="22" t="str">
        <f>IF(OR($A818="",C818="",C818&lt;=0,Séries!R817=""),"",C818/Séries!R817-1)</f>
        <v/>
      </c>
      <c r="H818" s="22" t="str">
        <f>IF(OR($A818="",D818="",D818&lt;=0,Séries!S817=""),"",D818/Séries!S817-1)</f>
        <v/>
      </c>
      <c r="I818" s="22" t="str">
        <f>IF(OR($A818="",E818="",E818&lt;=0,Séries!T817=""),"",E818/Séries!T817-1)</f>
        <v/>
      </c>
      <c r="J818" s="27"/>
      <c r="K818" s="1" t="str">
        <f>IF(COUNTA(A818:E818)=0,"",IF(A818="","Preencha a data",IF(NOT(ISNUMBER(A818)),"Data inválida",IF(OR(A818&lt;36526,A818&gt;73050,A818&lt;&gt;INT(A818)),"Data inválida",IF(A818&lt;=Séries!U817,"Data repetida / fora de ordem",IF(COUNTA(B818:E818)&lt;&gt;COUNT(B818:E818),"Use preços numéricos",IF(OR(AND(ISNUMBER(B818),B818&lt;=0),AND(ISNUMBER(C818),C818&lt;=0),AND(ISNUMBER(D818),D818&lt;=0),AND(ISNUMBER(E818),E818&lt;=0)),"Use preços positivos","")))))))</f>
        <v/>
      </c>
    </row>
    <row r="819" spans="1:11" ht="22.95" customHeight="1">
      <c r="A819" s="28"/>
      <c r="B819" s="29"/>
      <c r="C819" s="29"/>
      <c r="D819" s="29"/>
      <c r="E819" s="30"/>
      <c r="F819" s="22" t="str">
        <f>IF(OR($A819="",B819="",B819&lt;=0,Séries!Q818=""),"",B819/Séries!Q818-1)</f>
        <v/>
      </c>
      <c r="G819" s="22" t="str">
        <f>IF(OR($A819="",C819="",C819&lt;=0,Séries!R818=""),"",C819/Séries!R818-1)</f>
        <v/>
      </c>
      <c r="H819" s="22" t="str">
        <f>IF(OR($A819="",D819="",D819&lt;=0,Séries!S818=""),"",D819/Séries!S818-1)</f>
        <v/>
      </c>
      <c r="I819" s="22" t="str">
        <f>IF(OR($A819="",E819="",E819&lt;=0,Séries!T818=""),"",E819/Séries!T818-1)</f>
        <v/>
      </c>
      <c r="J819" s="27"/>
      <c r="K819" s="1" t="str">
        <f>IF(COUNTA(A819:E819)=0,"",IF(A819="","Preencha a data",IF(NOT(ISNUMBER(A819)),"Data inválida",IF(OR(A819&lt;36526,A819&gt;73050,A819&lt;&gt;INT(A819)),"Data inválida",IF(A819&lt;=Séries!U818,"Data repetida / fora de ordem",IF(COUNTA(B819:E819)&lt;&gt;COUNT(B819:E819),"Use preços numéricos",IF(OR(AND(ISNUMBER(B819),B819&lt;=0),AND(ISNUMBER(C819),C819&lt;=0),AND(ISNUMBER(D819),D819&lt;=0),AND(ISNUMBER(E819),E819&lt;=0)),"Use preços positivos","")))))))</f>
        <v/>
      </c>
    </row>
    <row r="820" spans="1:11" ht="22.95" customHeight="1">
      <c r="A820" s="28"/>
      <c r="B820" s="29"/>
      <c r="C820" s="29"/>
      <c r="D820" s="29"/>
      <c r="E820" s="30"/>
      <c r="F820" s="22" t="str">
        <f>IF(OR($A820="",B820="",B820&lt;=0,Séries!Q819=""),"",B820/Séries!Q819-1)</f>
        <v/>
      </c>
      <c r="G820" s="22" t="str">
        <f>IF(OR($A820="",C820="",C820&lt;=0,Séries!R819=""),"",C820/Séries!R819-1)</f>
        <v/>
      </c>
      <c r="H820" s="22" t="str">
        <f>IF(OR($A820="",D820="",D820&lt;=0,Séries!S819=""),"",D820/Séries!S819-1)</f>
        <v/>
      </c>
      <c r="I820" s="22" t="str">
        <f>IF(OR($A820="",E820="",E820&lt;=0,Séries!T819=""),"",E820/Séries!T819-1)</f>
        <v/>
      </c>
      <c r="J820" s="27"/>
      <c r="K820" s="1" t="str">
        <f>IF(COUNTA(A820:E820)=0,"",IF(A820="","Preencha a data",IF(NOT(ISNUMBER(A820)),"Data inválida",IF(OR(A820&lt;36526,A820&gt;73050,A820&lt;&gt;INT(A820)),"Data inválida",IF(A820&lt;=Séries!U819,"Data repetida / fora de ordem",IF(COUNTA(B820:E820)&lt;&gt;COUNT(B820:E820),"Use preços numéricos",IF(OR(AND(ISNUMBER(B820),B820&lt;=0),AND(ISNUMBER(C820),C820&lt;=0),AND(ISNUMBER(D820),D820&lt;=0),AND(ISNUMBER(E820),E820&lt;=0)),"Use preços positivos","")))))))</f>
        <v/>
      </c>
    </row>
    <row r="821" spans="1:11" ht="22.95" customHeight="1">
      <c r="A821" s="28"/>
      <c r="B821" s="29"/>
      <c r="C821" s="29"/>
      <c r="D821" s="29"/>
      <c r="E821" s="30"/>
      <c r="F821" s="22" t="str">
        <f>IF(OR($A821="",B821="",B821&lt;=0,Séries!Q820=""),"",B821/Séries!Q820-1)</f>
        <v/>
      </c>
      <c r="G821" s="22" t="str">
        <f>IF(OR($A821="",C821="",C821&lt;=0,Séries!R820=""),"",C821/Séries!R820-1)</f>
        <v/>
      </c>
      <c r="H821" s="22" t="str">
        <f>IF(OR($A821="",D821="",D821&lt;=0,Séries!S820=""),"",D821/Séries!S820-1)</f>
        <v/>
      </c>
      <c r="I821" s="22" t="str">
        <f>IF(OR($A821="",E821="",E821&lt;=0,Séries!T820=""),"",E821/Séries!T820-1)</f>
        <v/>
      </c>
      <c r="J821" s="27"/>
      <c r="K821" s="1" t="str">
        <f>IF(COUNTA(A821:E821)=0,"",IF(A821="","Preencha a data",IF(NOT(ISNUMBER(A821)),"Data inválida",IF(OR(A821&lt;36526,A821&gt;73050,A821&lt;&gt;INT(A821)),"Data inválida",IF(A821&lt;=Séries!U820,"Data repetida / fora de ordem",IF(COUNTA(B821:E821)&lt;&gt;COUNT(B821:E821),"Use preços numéricos",IF(OR(AND(ISNUMBER(B821),B821&lt;=0),AND(ISNUMBER(C821),C821&lt;=0),AND(ISNUMBER(D821),D821&lt;=0),AND(ISNUMBER(E821),E821&lt;=0)),"Use preços positivos","")))))))</f>
        <v/>
      </c>
    </row>
    <row r="822" spans="1:11" ht="22.95" customHeight="1">
      <c r="A822" s="28"/>
      <c r="B822" s="29"/>
      <c r="C822" s="29"/>
      <c r="D822" s="29"/>
      <c r="E822" s="30"/>
      <c r="F822" s="22" t="str">
        <f>IF(OR($A822="",B822="",B822&lt;=0,Séries!Q821=""),"",B822/Séries!Q821-1)</f>
        <v/>
      </c>
      <c r="G822" s="22" t="str">
        <f>IF(OR($A822="",C822="",C822&lt;=0,Séries!R821=""),"",C822/Séries!R821-1)</f>
        <v/>
      </c>
      <c r="H822" s="22" t="str">
        <f>IF(OR($A822="",D822="",D822&lt;=0,Séries!S821=""),"",D822/Séries!S821-1)</f>
        <v/>
      </c>
      <c r="I822" s="22" t="str">
        <f>IF(OR($A822="",E822="",E822&lt;=0,Séries!T821=""),"",E822/Séries!T821-1)</f>
        <v/>
      </c>
      <c r="J822" s="27"/>
      <c r="K822" s="1" t="str">
        <f>IF(COUNTA(A822:E822)=0,"",IF(A822="","Preencha a data",IF(NOT(ISNUMBER(A822)),"Data inválida",IF(OR(A822&lt;36526,A822&gt;73050,A822&lt;&gt;INT(A822)),"Data inválida",IF(A822&lt;=Séries!U821,"Data repetida / fora de ordem",IF(COUNTA(B822:E822)&lt;&gt;COUNT(B822:E822),"Use preços numéricos",IF(OR(AND(ISNUMBER(B822),B822&lt;=0),AND(ISNUMBER(C822),C822&lt;=0),AND(ISNUMBER(D822),D822&lt;=0),AND(ISNUMBER(E822),E822&lt;=0)),"Use preços positivos","")))))))</f>
        <v/>
      </c>
    </row>
    <row r="823" spans="1:11" ht="22.95" customHeight="1">
      <c r="A823" s="28"/>
      <c r="B823" s="29"/>
      <c r="C823" s="29"/>
      <c r="D823" s="29"/>
      <c r="E823" s="30"/>
      <c r="F823" s="22" t="str">
        <f>IF(OR($A823="",B823="",B823&lt;=0,Séries!Q822=""),"",B823/Séries!Q822-1)</f>
        <v/>
      </c>
      <c r="G823" s="22" t="str">
        <f>IF(OR($A823="",C823="",C823&lt;=0,Séries!R822=""),"",C823/Séries!R822-1)</f>
        <v/>
      </c>
      <c r="H823" s="22" t="str">
        <f>IF(OR($A823="",D823="",D823&lt;=0,Séries!S822=""),"",D823/Séries!S822-1)</f>
        <v/>
      </c>
      <c r="I823" s="22" t="str">
        <f>IF(OR($A823="",E823="",E823&lt;=0,Séries!T822=""),"",E823/Séries!T822-1)</f>
        <v/>
      </c>
      <c r="J823" s="27"/>
      <c r="K823" s="1" t="str">
        <f>IF(COUNTA(A823:E823)=0,"",IF(A823="","Preencha a data",IF(NOT(ISNUMBER(A823)),"Data inválida",IF(OR(A823&lt;36526,A823&gt;73050,A823&lt;&gt;INT(A823)),"Data inválida",IF(A823&lt;=Séries!U822,"Data repetida / fora de ordem",IF(COUNTA(B823:E823)&lt;&gt;COUNT(B823:E823),"Use preços numéricos",IF(OR(AND(ISNUMBER(B823),B823&lt;=0),AND(ISNUMBER(C823),C823&lt;=0),AND(ISNUMBER(D823),D823&lt;=0),AND(ISNUMBER(E823),E823&lt;=0)),"Use preços positivos","")))))))</f>
        <v/>
      </c>
    </row>
    <row r="824" spans="1:11" ht="22.95" customHeight="1">
      <c r="A824" s="28"/>
      <c r="B824" s="29"/>
      <c r="C824" s="29"/>
      <c r="D824" s="29"/>
      <c r="E824" s="30"/>
      <c r="F824" s="22" t="str">
        <f>IF(OR($A824="",B824="",B824&lt;=0,Séries!Q823=""),"",B824/Séries!Q823-1)</f>
        <v/>
      </c>
      <c r="G824" s="22" t="str">
        <f>IF(OR($A824="",C824="",C824&lt;=0,Séries!R823=""),"",C824/Séries!R823-1)</f>
        <v/>
      </c>
      <c r="H824" s="22" t="str">
        <f>IF(OR($A824="",D824="",D824&lt;=0,Séries!S823=""),"",D824/Séries!S823-1)</f>
        <v/>
      </c>
      <c r="I824" s="22" t="str">
        <f>IF(OR($A824="",E824="",E824&lt;=0,Séries!T823=""),"",E824/Séries!T823-1)</f>
        <v/>
      </c>
      <c r="J824" s="27"/>
      <c r="K824" s="1" t="str">
        <f>IF(COUNTA(A824:E824)=0,"",IF(A824="","Preencha a data",IF(NOT(ISNUMBER(A824)),"Data inválida",IF(OR(A824&lt;36526,A824&gt;73050,A824&lt;&gt;INT(A824)),"Data inválida",IF(A824&lt;=Séries!U823,"Data repetida / fora de ordem",IF(COUNTA(B824:E824)&lt;&gt;COUNT(B824:E824),"Use preços numéricos",IF(OR(AND(ISNUMBER(B824),B824&lt;=0),AND(ISNUMBER(C824),C824&lt;=0),AND(ISNUMBER(D824),D824&lt;=0),AND(ISNUMBER(E824),E824&lt;=0)),"Use preços positivos","")))))))</f>
        <v/>
      </c>
    </row>
    <row r="825" spans="1:11" ht="22.95" customHeight="1">
      <c r="A825" s="28"/>
      <c r="B825" s="29"/>
      <c r="C825" s="29"/>
      <c r="D825" s="29"/>
      <c r="E825" s="30"/>
      <c r="F825" s="22" t="str">
        <f>IF(OR($A825="",B825="",B825&lt;=0,Séries!Q824=""),"",B825/Séries!Q824-1)</f>
        <v/>
      </c>
      <c r="G825" s="22" t="str">
        <f>IF(OR($A825="",C825="",C825&lt;=0,Séries!R824=""),"",C825/Séries!R824-1)</f>
        <v/>
      </c>
      <c r="H825" s="22" t="str">
        <f>IF(OR($A825="",D825="",D825&lt;=0,Séries!S824=""),"",D825/Séries!S824-1)</f>
        <v/>
      </c>
      <c r="I825" s="22" t="str">
        <f>IF(OR($A825="",E825="",E825&lt;=0,Séries!T824=""),"",E825/Séries!T824-1)</f>
        <v/>
      </c>
      <c r="J825" s="27"/>
      <c r="K825" s="1" t="str">
        <f>IF(COUNTA(A825:E825)=0,"",IF(A825="","Preencha a data",IF(NOT(ISNUMBER(A825)),"Data inválida",IF(OR(A825&lt;36526,A825&gt;73050,A825&lt;&gt;INT(A825)),"Data inválida",IF(A825&lt;=Séries!U824,"Data repetida / fora de ordem",IF(COUNTA(B825:E825)&lt;&gt;COUNT(B825:E825),"Use preços numéricos",IF(OR(AND(ISNUMBER(B825),B825&lt;=0),AND(ISNUMBER(C825),C825&lt;=0),AND(ISNUMBER(D825),D825&lt;=0),AND(ISNUMBER(E825),E825&lt;=0)),"Use preços positivos","")))))))</f>
        <v/>
      </c>
    </row>
    <row r="826" spans="1:11" ht="22.95" customHeight="1">
      <c r="A826" s="28"/>
      <c r="B826" s="29"/>
      <c r="C826" s="29"/>
      <c r="D826" s="29"/>
      <c r="E826" s="30"/>
      <c r="F826" s="22" t="str">
        <f>IF(OR($A826="",B826="",B826&lt;=0,Séries!Q825=""),"",B826/Séries!Q825-1)</f>
        <v/>
      </c>
      <c r="G826" s="22" t="str">
        <f>IF(OR($A826="",C826="",C826&lt;=0,Séries!R825=""),"",C826/Séries!R825-1)</f>
        <v/>
      </c>
      <c r="H826" s="22" t="str">
        <f>IF(OR($A826="",D826="",D826&lt;=0,Séries!S825=""),"",D826/Séries!S825-1)</f>
        <v/>
      </c>
      <c r="I826" s="22" t="str">
        <f>IF(OR($A826="",E826="",E826&lt;=0,Séries!T825=""),"",E826/Séries!T825-1)</f>
        <v/>
      </c>
      <c r="J826" s="27"/>
      <c r="K826" s="1" t="str">
        <f>IF(COUNTA(A826:E826)=0,"",IF(A826="","Preencha a data",IF(NOT(ISNUMBER(A826)),"Data inválida",IF(OR(A826&lt;36526,A826&gt;73050,A826&lt;&gt;INT(A826)),"Data inválida",IF(A826&lt;=Séries!U825,"Data repetida / fora de ordem",IF(COUNTA(B826:E826)&lt;&gt;COUNT(B826:E826),"Use preços numéricos",IF(OR(AND(ISNUMBER(B826),B826&lt;=0),AND(ISNUMBER(C826),C826&lt;=0),AND(ISNUMBER(D826),D826&lt;=0),AND(ISNUMBER(E826),E826&lt;=0)),"Use preços positivos","")))))))</f>
        <v/>
      </c>
    </row>
    <row r="827" spans="1:11" ht="22.95" customHeight="1">
      <c r="A827" s="28"/>
      <c r="B827" s="29"/>
      <c r="C827" s="29"/>
      <c r="D827" s="29"/>
      <c r="E827" s="30"/>
      <c r="F827" s="22" t="str">
        <f>IF(OR($A827="",B827="",B827&lt;=0,Séries!Q826=""),"",B827/Séries!Q826-1)</f>
        <v/>
      </c>
      <c r="G827" s="22" t="str">
        <f>IF(OR($A827="",C827="",C827&lt;=0,Séries!R826=""),"",C827/Séries!R826-1)</f>
        <v/>
      </c>
      <c r="H827" s="22" t="str">
        <f>IF(OR($A827="",D827="",D827&lt;=0,Séries!S826=""),"",D827/Séries!S826-1)</f>
        <v/>
      </c>
      <c r="I827" s="22" t="str">
        <f>IF(OR($A827="",E827="",E827&lt;=0,Séries!T826=""),"",E827/Séries!T826-1)</f>
        <v/>
      </c>
      <c r="J827" s="27"/>
      <c r="K827" s="1" t="str">
        <f>IF(COUNTA(A827:E827)=0,"",IF(A827="","Preencha a data",IF(NOT(ISNUMBER(A827)),"Data inválida",IF(OR(A827&lt;36526,A827&gt;73050,A827&lt;&gt;INT(A827)),"Data inválida",IF(A827&lt;=Séries!U826,"Data repetida / fora de ordem",IF(COUNTA(B827:E827)&lt;&gt;COUNT(B827:E827),"Use preços numéricos",IF(OR(AND(ISNUMBER(B827),B827&lt;=0),AND(ISNUMBER(C827),C827&lt;=0),AND(ISNUMBER(D827),D827&lt;=0),AND(ISNUMBER(E827),E827&lt;=0)),"Use preços positivos","")))))))</f>
        <v/>
      </c>
    </row>
    <row r="828" spans="1:11" ht="22.95" customHeight="1">
      <c r="A828" s="28"/>
      <c r="B828" s="29"/>
      <c r="C828" s="29"/>
      <c r="D828" s="29"/>
      <c r="E828" s="30"/>
      <c r="F828" s="22" t="str">
        <f>IF(OR($A828="",B828="",B828&lt;=0,Séries!Q827=""),"",B828/Séries!Q827-1)</f>
        <v/>
      </c>
      <c r="G828" s="22" t="str">
        <f>IF(OR($A828="",C828="",C828&lt;=0,Séries!R827=""),"",C828/Séries!R827-1)</f>
        <v/>
      </c>
      <c r="H828" s="22" t="str">
        <f>IF(OR($A828="",D828="",D828&lt;=0,Séries!S827=""),"",D828/Séries!S827-1)</f>
        <v/>
      </c>
      <c r="I828" s="22" t="str">
        <f>IF(OR($A828="",E828="",E828&lt;=0,Séries!T827=""),"",E828/Séries!T827-1)</f>
        <v/>
      </c>
      <c r="J828" s="27"/>
      <c r="K828" s="1" t="str">
        <f>IF(COUNTA(A828:E828)=0,"",IF(A828="","Preencha a data",IF(NOT(ISNUMBER(A828)),"Data inválida",IF(OR(A828&lt;36526,A828&gt;73050,A828&lt;&gt;INT(A828)),"Data inválida",IF(A828&lt;=Séries!U827,"Data repetida / fora de ordem",IF(COUNTA(B828:E828)&lt;&gt;COUNT(B828:E828),"Use preços numéricos",IF(OR(AND(ISNUMBER(B828),B828&lt;=0),AND(ISNUMBER(C828),C828&lt;=0),AND(ISNUMBER(D828),D828&lt;=0),AND(ISNUMBER(E828),E828&lt;=0)),"Use preços positivos","")))))))</f>
        <v/>
      </c>
    </row>
    <row r="829" spans="1:11" ht="22.95" customHeight="1">
      <c r="A829" s="28"/>
      <c r="B829" s="29"/>
      <c r="C829" s="29"/>
      <c r="D829" s="29"/>
      <c r="E829" s="30"/>
      <c r="F829" s="22" t="str">
        <f>IF(OR($A829="",B829="",B829&lt;=0,Séries!Q828=""),"",B829/Séries!Q828-1)</f>
        <v/>
      </c>
      <c r="G829" s="22" t="str">
        <f>IF(OR($A829="",C829="",C829&lt;=0,Séries!R828=""),"",C829/Séries!R828-1)</f>
        <v/>
      </c>
      <c r="H829" s="22" t="str">
        <f>IF(OR($A829="",D829="",D829&lt;=0,Séries!S828=""),"",D829/Séries!S828-1)</f>
        <v/>
      </c>
      <c r="I829" s="22" t="str">
        <f>IF(OR($A829="",E829="",E829&lt;=0,Séries!T828=""),"",E829/Séries!T828-1)</f>
        <v/>
      </c>
      <c r="J829" s="27"/>
      <c r="K829" s="1" t="str">
        <f>IF(COUNTA(A829:E829)=0,"",IF(A829="","Preencha a data",IF(NOT(ISNUMBER(A829)),"Data inválida",IF(OR(A829&lt;36526,A829&gt;73050,A829&lt;&gt;INT(A829)),"Data inválida",IF(A829&lt;=Séries!U828,"Data repetida / fora de ordem",IF(COUNTA(B829:E829)&lt;&gt;COUNT(B829:E829),"Use preços numéricos",IF(OR(AND(ISNUMBER(B829),B829&lt;=0),AND(ISNUMBER(C829),C829&lt;=0),AND(ISNUMBER(D829),D829&lt;=0),AND(ISNUMBER(E829),E829&lt;=0)),"Use preços positivos","")))))))</f>
        <v/>
      </c>
    </row>
    <row r="830" spans="1:11" ht="22.95" customHeight="1">
      <c r="A830" s="28"/>
      <c r="B830" s="29"/>
      <c r="C830" s="29"/>
      <c r="D830" s="29"/>
      <c r="E830" s="30"/>
      <c r="F830" s="22" t="str">
        <f>IF(OR($A830="",B830="",B830&lt;=0,Séries!Q829=""),"",B830/Séries!Q829-1)</f>
        <v/>
      </c>
      <c r="G830" s="22" t="str">
        <f>IF(OR($A830="",C830="",C830&lt;=0,Séries!R829=""),"",C830/Séries!R829-1)</f>
        <v/>
      </c>
      <c r="H830" s="22" t="str">
        <f>IF(OR($A830="",D830="",D830&lt;=0,Séries!S829=""),"",D830/Séries!S829-1)</f>
        <v/>
      </c>
      <c r="I830" s="22" t="str">
        <f>IF(OR($A830="",E830="",E830&lt;=0,Séries!T829=""),"",E830/Séries!T829-1)</f>
        <v/>
      </c>
      <c r="J830" s="27"/>
      <c r="K830" s="1" t="str">
        <f>IF(COUNTA(A830:E830)=0,"",IF(A830="","Preencha a data",IF(NOT(ISNUMBER(A830)),"Data inválida",IF(OR(A830&lt;36526,A830&gt;73050,A830&lt;&gt;INT(A830)),"Data inválida",IF(A830&lt;=Séries!U829,"Data repetida / fora de ordem",IF(COUNTA(B830:E830)&lt;&gt;COUNT(B830:E830),"Use preços numéricos",IF(OR(AND(ISNUMBER(B830),B830&lt;=0),AND(ISNUMBER(C830),C830&lt;=0),AND(ISNUMBER(D830),D830&lt;=0),AND(ISNUMBER(E830),E830&lt;=0)),"Use preços positivos","")))))))</f>
        <v/>
      </c>
    </row>
    <row r="831" spans="1:11" ht="22.95" customHeight="1">
      <c r="A831" s="28"/>
      <c r="B831" s="29"/>
      <c r="C831" s="29"/>
      <c r="D831" s="29"/>
      <c r="E831" s="30"/>
      <c r="F831" s="22" t="str">
        <f>IF(OR($A831="",B831="",B831&lt;=0,Séries!Q830=""),"",B831/Séries!Q830-1)</f>
        <v/>
      </c>
      <c r="G831" s="22" t="str">
        <f>IF(OR($A831="",C831="",C831&lt;=0,Séries!R830=""),"",C831/Séries!R830-1)</f>
        <v/>
      </c>
      <c r="H831" s="22" t="str">
        <f>IF(OR($A831="",D831="",D831&lt;=0,Séries!S830=""),"",D831/Séries!S830-1)</f>
        <v/>
      </c>
      <c r="I831" s="22" t="str">
        <f>IF(OR($A831="",E831="",E831&lt;=0,Séries!T830=""),"",E831/Séries!T830-1)</f>
        <v/>
      </c>
      <c r="J831" s="27"/>
      <c r="K831" s="1" t="str">
        <f>IF(COUNTA(A831:E831)=0,"",IF(A831="","Preencha a data",IF(NOT(ISNUMBER(A831)),"Data inválida",IF(OR(A831&lt;36526,A831&gt;73050,A831&lt;&gt;INT(A831)),"Data inválida",IF(A831&lt;=Séries!U830,"Data repetida / fora de ordem",IF(COUNTA(B831:E831)&lt;&gt;COUNT(B831:E831),"Use preços numéricos",IF(OR(AND(ISNUMBER(B831),B831&lt;=0),AND(ISNUMBER(C831),C831&lt;=0),AND(ISNUMBER(D831),D831&lt;=0),AND(ISNUMBER(E831),E831&lt;=0)),"Use preços positivos","")))))))</f>
        <v/>
      </c>
    </row>
    <row r="832" spans="1:11" ht="22.95" customHeight="1">
      <c r="A832" s="28"/>
      <c r="B832" s="29"/>
      <c r="C832" s="29"/>
      <c r="D832" s="29"/>
      <c r="E832" s="30"/>
      <c r="F832" s="22" t="str">
        <f>IF(OR($A832="",B832="",B832&lt;=0,Séries!Q831=""),"",B832/Séries!Q831-1)</f>
        <v/>
      </c>
      <c r="G832" s="22" t="str">
        <f>IF(OR($A832="",C832="",C832&lt;=0,Séries!R831=""),"",C832/Séries!R831-1)</f>
        <v/>
      </c>
      <c r="H832" s="22" t="str">
        <f>IF(OR($A832="",D832="",D832&lt;=0,Séries!S831=""),"",D832/Séries!S831-1)</f>
        <v/>
      </c>
      <c r="I832" s="22" t="str">
        <f>IF(OR($A832="",E832="",E832&lt;=0,Séries!T831=""),"",E832/Séries!T831-1)</f>
        <v/>
      </c>
      <c r="J832" s="27"/>
      <c r="K832" s="1" t="str">
        <f>IF(COUNTA(A832:E832)=0,"",IF(A832="","Preencha a data",IF(NOT(ISNUMBER(A832)),"Data inválida",IF(OR(A832&lt;36526,A832&gt;73050,A832&lt;&gt;INT(A832)),"Data inválida",IF(A832&lt;=Séries!U831,"Data repetida / fora de ordem",IF(COUNTA(B832:E832)&lt;&gt;COUNT(B832:E832),"Use preços numéricos",IF(OR(AND(ISNUMBER(B832),B832&lt;=0),AND(ISNUMBER(C832),C832&lt;=0),AND(ISNUMBER(D832),D832&lt;=0),AND(ISNUMBER(E832),E832&lt;=0)),"Use preços positivos","")))))))</f>
        <v/>
      </c>
    </row>
    <row r="833" spans="1:11" ht="22.95" customHeight="1">
      <c r="A833" s="28"/>
      <c r="B833" s="29"/>
      <c r="C833" s="29"/>
      <c r="D833" s="29"/>
      <c r="E833" s="30"/>
      <c r="F833" s="22" t="str">
        <f>IF(OR($A833="",B833="",B833&lt;=0,Séries!Q832=""),"",B833/Séries!Q832-1)</f>
        <v/>
      </c>
      <c r="G833" s="22" t="str">
        <f>IF(OR($A833="",C833="",C833&lt;=0,Séries!R832=""),"",C833/Séries!R832-1)</f>
        <v/>
      </c>
      <c r="H833" s="22" t="str">
        <f>IF(OR($A833="",D833="",D833&lt;=0,Séries!S832=""),"",D833/Séries!S832-1)</f>
        <v/>
      </c>
      <c r="I833" s="22" t="str">
        <f>IF(OR($A833="",E833="",E833&lt;=0,Séries!T832=""),"",E833/Séries!T832-1)</f>
        <v/>
      </c>
      <c r="J833" s="27"/>
      <c r="K833" s="1" t="str">
        <f>IF(COUNTA(A833:E833)=0,"",IF(A833="","Preencha a data",IF(NOT(ISNUMBER(A833)),"Data inválida",IF(OR(A833&lt;36526,A833&gt;73050,A833&lt;&gt;INT(A833)),"Data inválida",IF(A833&lt;=Séries!U832,"Data repetida / fora de ordem",IF(COUNTA(B833:E833)&lt;&gt;COUNT(B833:E833),"Use preços numéricos",IF(OR(AND(ISNUMBER(B833),B833&lt;=0),AND(ISNUMBER(C833),C833&lt;=0),AND(ISNUMBER(D833),D833&lt;=0),AND(ISNUMBER(E833),E833&lt;=0)),"Use preços positivos","")))))))</f>
        <v/>
      </c>
    </row>
    <row r="834" spans="1:11" ht="22.95" customHeight="1">
      <c r="A834" s="28"/>
      <c r="B834" s="29"/>
      <c r="C834" s="29"/>
      <c r="D834" s="29"/>
      <c r="E834" s="30"/>
      <c r="F834" s="22" t="str">
        <f>IF(OR($A834="",B834="",B834&lt;=0,Séries!Q833=""),"",B834/Séries!Q833-1)</f>
        <v/>
      </c>
      <c r="G834" s="22" t="str">
        <f>IF(OR($A834="",C834="",C834&lt;=0,Séries!R833=""),"",C834/Séries!R833-1)</f>
        <v/>
      </c>
      <c r="H834" s="22" t="str">
        <f>IF(OR($A834="",D834="",D834&lt;=0,Séries!S833=""),"",D834/Séries!S833-1)</f>
        <v/>
      </c>
      <c r="I834" s="22" t="str">
        <f>IF(OR($A834="",E834="",E834&lt;=0,Séries!T833=""),"",E834/Séries!T833-1)</f>
        <v/>
      </c>
      <c r="J834" s="27"/>
      <c r="K834" s="1" t="str">
        <f>IF(COUNTA(A834:E834)=0,"",IF(A834="","Preencha a data",IF(NOT(ISNUMBER(A834)),"Data inválida",IF(OR(A834&lt;36526,A834&gt;73050,A834&lt;&gt;INT(A834)),"Data inválida",IF(A834&lt;=Séries!U833,"Data repetida / fora de ordem",IF(COUNTA(B834:E834)&lt;&gt;COUNT(B834:E834),"Use preços numéricos",IF(OR(AND(ISNUMBER(B834),B834&lt;=0),AND(ISNUMBER(C834),C834&lt;=0),AND(ISNUMBER(D834),D834&lt;=0),AND(ISNUMBER(E834),E834&lt;=0)),"Use preços positivos","")))))))</f>
        <v/>
      </c>
    </row>
    <row r="835" spans="1:11" ht="22.95" customHeight="1">
      <c r="A835" s="28"/>
      <c r="B835" s="29"/>
      <c r="C835" s="29"/>
      <c r="D835" s="29"/>
      <c r="E835" s="30"/>
      <c r="F835" s="22" t="str">
        <f>IF(OR($A835="",B835="",B835&lt;=0,Séries!Q834=""),"",B835/Séries!Q834-1)</f>
        <v/>
      </c>
      <c r="G835" s="22" t="str">
        <f>IF(OR($A835="",C835="",C835&lt;=0,Séries!R834=""),"",C835/Séries!R834-1)</f>
        <v/>
      </c>
      <c r="H835" s="22" t="str">
        <f>IF(OR($A835="",D835="",D835&lt;=0,Séries!S834=""),"",D835/Séries!S834-1)</f>
        <v/>
      </c>
      <c r="I835" s="22" t="str">
        <f>IF(OR($A835="",E835="",E835&lt;=0,Séries!T834=""),"",E835/Séries!T834-1)</f>
        <v/>
      </c>
      <c r="J835" s="27"/>
      <c r="K835" s="1" t="str">
        <f>IF(COUNTA(A835:E835)=0,"",IF(A835="","Preencha a data",IF(NOT(ISNUMBER(A835)),"Data inválida",IF(OR(A835&lt;36526,A835&gt;73050,A835&lt;&gt;INT(A835)),"Data inválida",IF(A835&lt;=Séries!U834,"Data repetida / fora de ordem",IF(COUNTA(B835:E835)&lt;&gt;COUNT(B835:E835),"Use preços numéricos",IF(OR(AND(ISNUMBER(B835),B835&lt;=0),AND(ISNUMBER(C835),C835&lt;=0),AND(ISNUMBER(D835),D835&lt;=0),AND(ISNUMBER(E835),E835&lt;=0)),"Use preços positivos","")))))))</f>
        <v/>
      </c>
    </row>
    <row r="836" spans="1:11" ht="22.95" customHeight="1">
      <c r="A836" s="28"/>
      <c r="B836" s="29"/>
      <c r="C836" s="29"/>
      <c r="D836" s="29"/>
      <c r="E836" s="30"/>
      <c r="F836" s="22" t="str">
        <f>IF(OR($A836="",B836="",B836&lt;=0,Séries!Q835=""),"",B836/Séries!Q835-1)</f>
        <v/>
      </c>
      <c r="G836" s="22" t="str">
        <f>IF(OR($A836="",C836="",C836&lt;=0,Séries!R835=""),"",C836/Séries!R835-1)</f>
        <v/>
      </c>
      <c r="H836" s="22" t="str">
        <f>IF(OR($A836="",D836="",D836&lt;=0,Séries!S835=""),"",D836/Séries!S835-1)</f>
        <v/>
      </c>
      <c r="I836" s="22" t="str">
        <f>IF(OR($A836="",E836="",E836&lt;=0,Séries!T835=""),"",E836/Séries!T835-1)</f>
        <v/>
      </c>
      <c r="J836" s="27"/>
      <c r="K836" s="1" t="str">
        <f>IF(COUNTA(A836:E836)=0,"",IF(A836="","Preencha a data",IF(NOT(ISNUMBER(A836)),"Data inválida",IF(OR(A836&lt;36526,A836&gt;73050,A836&lt;&gt;INT(A836)),"Data inválida",IF(A836&lt;=Séries!U835,"Data repetida / fora de ordem",IF(COUNTA(B836:E836)&lt;&gt;COUNT(B836:E836),"Use preços numéricos",IF(OR(AND(ISNUMBER(B836),B836&lt;=0),AND(ISNUMBER(C836),C836&lt;=0),AND(ISNUMBER(D836),D836&lt;=0),AND(ISNUMBER(E836),E836&lt;=0)),"Use preços positivos","")))))))</f>
        <v/>
      </c>
    </row>
    <row r="837" spans="1:11" ht="22.95" customHeight="1">
      <c r="A837" s="28"/>
      <c r="B837" s="29"/>
      <c r="C837" s="29"/>
      <c r="D837" s="29"/>
      <c r="E837" s="30"/>
      <c r="F837" s="22" t="str">
        <f>IF(OR($A837="",B837="",B837&lt;=0,Séries!Q836=""),"",B837/Séries!Q836-1)</f>
        <v/>
      </c>
      <c r="G837" s="22" t="str">
        <f>IF(OR($A837="",C837="",C837&lt;=0,Séries!R836=""),"",C837/Séries!R836-1)</f>
        <v/>
      </c>
      <c r="H837" s="22" t="str">
        <f>IF(OR($A837="",D837="",D837&lt;=0,Séries!S836=""),"",D837/Séries!S836-1)</f>
        <v/>
      </c>
      <c r="I837" s="22" t="str">
        <f>IF(OR($A837="",E837="",E837&lt;=0,Séries!T836=""),"",E837/Séries!T836-1)</f>
        <v/>
      </c>
      <c r="J837" s="27"/>
      <c r="K837" s="1" t="str">
        <f>IF(COUNTA(A837:E837)=0,"",IF(A837="","Preencha a data",IF(NOT(ISNUMBER(A837)),"Data inválida",IF(OR(A837&lt;36526,A837&gt;73050,A837&lt;&gt;INT(A837)),"Data inválida",IF(A837&lt;=Séries!U836,"Data repetida / fora de ordem",IF(COUNTA(B837:E837)&lt;&gt;COUNT(B837:E837),"Use preços numéricos",IF(OR(AND(ISNUMBER(B837),B837&lt;=0),AND(ISNUMBER(C837),C837&lt;=0),AND(ISNUMBER(D837),D837&lt;=0),AND(ISNUMBER(E837),E837&lt;=0)),"Use preços positivos","")))))))</f>
        <v/>
      </c>
    </row>
    <row r="838" spans="1:11" ht="22.95" customHeight="1">
      <c r="A838" s="28"/>
      <c r="B838" s="29"/>
      <c r="C838" s="29"/>
      <c r="D838" s="29"/>
      <c r="E838" s="30"/>
      <c r="F838" s="22" t="str">
        <f>IF(OR($A838="",B838="",B838&lt;=0,Séries!Q837=""),"",B838/Séries!Q837-1)</f>
        <v/>
      </c>
      <c r="G838" s="22" t="str">
        <f>IF(OR($A838="",C838="",C838&lt;=0,Séries!R837=""),"",C838/Séries!R837-1)</f>
        <v/>
      </c>
      <c r="H838" s="22" t="str">
        <f>IF(OR($A838="",D838="",D838&lt;=0,Séries!S837=""),"",D838/Séries!S837-1)</f>
        <v/>
      </c>
      <c r="I838" s="22" t="str">
        <f>IF(OR($A838="",E838="",E838&lt;=0,Séries!T837=""),"",E838/Séries!T837-1)</f>
        <v/>
      </c>
      <c r="J838" s="27"/>
      <c r="K838" s="1" t="str">
        <f>IF(COUNTA(A838:E838)=0,"",IF(A838="","Preencha a data",IF(NOT(ISNUMBER(A838)),"Data inválida",IF(OR(A838&lt;36526,A838&gt;73050,A838&lt;&gt;INT(A838)),"Data inválida",IF(A838&lt;=Séries!U837,"Data repetida / fora de ordem",IF(COUNTA(B838:E838)&lt;&gt;COUNT(B838:E838),"Use preços numéricos",IF(OR(AND(ISNUMBER(B838),B838&lt;=0),AND(ISNUMBER(C838),C838&lt;=0),AND(ISNUMBER(D838),D838&lt;=0),AND(ISNUMBER(E838),E838&lt;=0)),"Use preços positivos","")))))))</f>
        <v/>
      </c>
    </row>
    <row r="839" spans="1:11" ht="22.95" customHeight="1">
      <c r="A839" s="28"/>
      <c r="B839" s="29"/>
      <c r="C839" s="29"/>
      <c r="D839" s="29"/>
      <c r="E839" s="30"/>
      <c r="F839" s="22" t="str">
        <f>IF(OR($A839="",B839="",B839&lt;=0,Séries!Q838=""),"",B839/Séries!Q838-1)</f>
        <v/>
      </c>
      <c r="G839" s="22" t="str">
        <f>IF(OR($A839="",C839="",C839&lt;=0,Séries!R838=""),"",C839/Séries!R838-1)</f>
        <v/>
      </c>
      <c r="H839" s="22" t="str">
        <f>IF(OR($A839="",D839="",D839&lt;=0,Séries!S838=""),"",D839/Séries!S838-1)</f>
        <v/>
      </c>
      <c r="I839" s="22" t="str">
        <f>IF(OR($A839="",E839="",E839&lt;=0,Séries!T838=""),"",E839/Séries!T838-1)</f>
        <v/>
      </c>
      <c r="J839" s="27"/>
      <c r="K839" s="1" t="str">
        <f>IF(COUNTA(A839:E839)=0,"",IF(A839="","Preencha a data",IF(NOT(ISNUMBER(A839)),"Data inválida",IF(OR(A839&lt;36526,A839&gt;73050,A839&lt;&gt;INT(A839)),"Data inválida",IF(A839&lt;=Séries!U838,"Data repetida / fora de ordem",IF(COUNTA(B839:E839)&lt;&gt;COUNT(B839:E839),"Use preços numéricos",IF(OR(AND(ISNUMBER(B839),B839&lt;=0),AND(ISNUMBER(C839),C839&lt;=0),AND(ISNUMBER(D839),D839&lt;=0),AND(ISNUMBER(E839),E839&lt;=0)),"Use preços positivos","")))))))</f>
        <v/>
      </c>
    </row>
    <row r="840" spans="1:11" ht="22.95" customHeight="1">
      <c r="A840" s="28"/>
      <c r="B840" s="29"/>
      <c r="C840" s="29"/>
      <c r="D840" s="29"/>
      <c r="E840" s="30"/>
      <c r="F840" s="22" t="str">
        <f>IF(OR($A840="",B840="",B840&lt;=0,Séries!Q839=""),"",B840/Séries!Q839-1)</f>
        <v/>
      </c>
      <c r="G840" s="22" t="str">
        <f>IF(OR($A840="",C840="",C840&lt;=0,Séries!R839=""),"",C840/Séries!R839-1)</f>
        <v/>
      </c>
      <c r="H840" s="22" t="str">
        <f>IF(OR($A840="",D840="",D840&lt;=0,Séries!S839=""),"",D840/Séries!S839-1)</f>
        <v/>
      </c>
      <c r="I840" s="22" t="str">
        <f>IF(OR($A840="",E840="",E840&lt;=0,Séries!T839=""),"",E840/Séries!T839-1)</f>
        <v/>
      </c>
      <c r="J840" s="27"/>
      <c r="K840" s="1" t="str">
        <f>IF(COUNTA(A840:E840)=0,"",IF(A840="","Preencha a data",IF(NOT(ISNUMBER(A840)),"Data inválida",IF(OR(A840&lt;36526,A840&gt;73050,A840&lt;&gt;INT(A840)),"Data inválida",IF(A840&lt;=Séries!U839,"Data repetida / fora de ordem",IF(COUNTA(B840:E840)&lt;&gt;COUNT(B840:E840),"Use preços numéricos",IF(OR(AND(ISNUMBER(B840),B840&lt;=0),AND(ISNUMBER(C840),C840&lt;=0),AND(ISNUMBER(D840),D840&lt;=0),AND(ISNUMBER(E840),E840&lt;=0)),"Use preços positivos","")))))))</f>
        <v/>
      </c>
    </row>
    <row r="841" spans="1:11" ht="22.95" customHeight="1">
      <c r="A841" s="28"/>
      <c r="B841" s="29"/>
      <c r="C841" s="29"/>
      <c r="D841" s="29"/>
      <c r="E841" s="30"/>
      <c r="F841" s="22" t="str">
        <f>IF(OR($A841="",B841="",B841&lt;=0,Séries!Q840=""),"",B841/Séries!Q840-1)</f>
        <v/>
      </c>
      <c r="G841" s="22" t="str">
        <f>IF(OR($A841="",C841="",C841&lt;=0,Séries!R840=""),"",C841/Séries!R840-1)</f>
        <v/>
      </c>
      <c r="H841" s="22" t="str">
        <f>IF(OR($A841="",D841="",D841&lt;=0,Séries!S840=""),"",D841/Séries!S840-1)</f>
        <v/>
      </c>
      <c r="I841" s="22" t="str">
        <f>IF(OR($A841="",E841="",E841&lt;=0,Séries!T840=""),"",E841/Séries!T840-1)</f>
        <v/>
      </c>
      <c r="J841" s="27"/>
      <c r="K841" s="1" t="str">
        <f>IF(COUNTA(A841:E841)=0,"",IF(A841="","Preencha a data",IF(NOT(ISNUMBER(A841)),"Data inválida",IF(OR(A841&lt;36526,A841&gt;73050,A841&lt;&gt;INT(A841)),"Data inválida",IF(A841&lt;=Séries!U840,"Data repetida / fora de ordem",IF(COUNTA(B841:E841)&lt;&gt;COUNT(B841:E841),"Use preços numéricos",IF(OR(AND(ISNUMBER(B841),B841&lt;=0),AND(ISNUMBER(C841),C841&lt;=0),AND(ISNUMBER(D841),D841&lt;=0),AND(ISNUMBER(E841),E841&lt;=0)),"Use preços positivos","")))))))</f>
        <v/>
      </c>
    </row>
    <row r="842" spans="1:11" ht="22.95" customHeight="1">
      <c r="A842" s="28"/>
      <c r="B842" s="29"/>
      <c r="C842" s="29"/>
      <c r="D842" s="29"/>
      <c r="E842" s="30"/>
      <c r="F842" s="22" t="str">
        <f>IF(OR($A842="",B842="",B842&lt;=0,Séries!Q841=""),"",B842/Séries!Q841-1)</f>
        <v/>
      </c>
      <c r="G842" s="22" t="str">
        <f>IF(OR($A842="",C842="",C842&lt;=0,Séries!R841=""),"",C842/Séries!R841-1)</f>
        <v/>
      </c>
      <c r="H842" s="22" t="str">
        <f>IF(OR($A842="",D842="",D842&lt;=0,Séries!S841=""),"",D842/Séries!S841-1)</f>
        <v/>
      </c>
      <c r="I842" s="22" t="str">
        <f>IF(OR($A842="",E842="",E842&lt;=0,Séries!T841=""),"",E842/Séries!T841-1)</f>
        <v/>
      </c>
      <c r="J842" s="27"/>
      <c r="K842" s="1" t="str">
        <f>IF(COUNTA(A842:E842)=0,"",IF(A842="","Preencha a data",IF(NOT(ISNUMBER(A842)),"Data inválida",IF(OR(A842&lt;36526,A842&gt;73050,A842&lt;&gt;INT(A842)),"Data inválida",IF(A842&lt;=Séries!U841,"Data repetida / fora de ordem",IF(COUNTA(B842:E842)&lt;&gt;COUNT(B842:E842),"Use preços numéricos",IF(OR(AND(ISNUMBER(B842),B842&lt;=0),AND(ISNUMBER(C842),C842&lt;=0),AND(ISNUMBER(D842),D842&lt;=0),AND(ISNUMBER(E842),E842&lt;=0)),"Use preços positivos","")))))))</f>
        <v/>
      </c>
    </row>
    <row r="843" spans="1:11" ht="22.95" customHeight="1">
      <c r="A843" s="28"/>
      <c r="B843" s="29"/>
      <c r="C843" s="29"/>
      <c r="D843" s="29"/>
      <c r="E843" s="30"/>
      <c r="F843" s="22" t="str">
        <f>IF(OR($A843="",B843="",B843&lt;=0,Séries!Q842=""),"",B843/Séries!Q842-1)</f>
        <v/>
      </c>
      <c r="G843" s="22" t="str">
        <f>IF(OR($A843="",C843="",C843&lt;=0,Séries!R842=""),"",C843/Séries!R842-1)</f>
        <v/>
      </c>
      <c r="H843" s="22" t="str">
        <f>IF(OR($A843="",D843="",D843&lt;=0,Séries!S842=""),"",D843/Séries!S842-1)</f>
        <v/>
      </c>
      <c r="I843" s="22" t="str">
        <f>IF(OR($A843="",E843="",E843&lt;=0,Séries!T842=""),"",E843/Séries!T842-1)</f>
        <v/>
      </c>
      <c r="J843" s="27"/>
      <c r="K843" s="1" t="str">
        <f>IF(COUNTA(A843:E843)=0,"",IF(A843="","Preencha a data",IF(NOT(ISNUMBER(A843)),"Data inválida",IF(OR(A843&lt;36526,A843&gt;73050,A843&lt;&gt;INT(A843)),"Data inválida",IF(A843&lt;=Séries!U842,"Data repetida / fora de ordem",IF(COUNTA(B843:E843)&lt;&gt;COUNT(B843:E843),"Use preços numéricos",IF(OR(AND(ISNUMBER(B843),B843&lt;=0),AND(ISNUMBER(C843),C843&lt;=0),AND(ISNUMBER(D843),D843&lt;=0),AND(ISNUMBER(E843),E843&lt;=0)),"Use preços positivos","")))))))</f>
        <v/>
      </c>
    </row>
    <row r="844" spans="1:11" ht="22.95" customHeight="1">
      <c r="A844" s="28"/>
      <c r="B844" s="29"/>
      <c r="C844" s="29"/>
      <c r="D844" s="29"/>
      <c r="E844" s="30"/>
      <c r="F844" s="22" t="str">
        <f>IF(OR($A844="",B844="",B844&lt;=0,Séries!Q843=""),"",B844/Séries!Q843-1)</f>
        <v/>
      </c>
      <c r="G844" s="22" t="str">
        <f>IF(OR($A844="",C844="",C844&lt;=0,Séries!R843=""),"",C844/Séries!R843-1)</f>
        <v/>
      </c>
      <c r="H844" s="22" t="str">
        <f>IF(OR($A844="",D844="",D844&lt;=0,Séries!S843=""),"",D844/Séries!S843-1)</f>
        <v/>
      </c>
      <c r="I844" s="22" t="str">
        <f>IF(OR($A844="",E844="",E844&lt;=0,Séries!T843=""),"",E844/Séries!T843-1)</f>
        <v/>
      </c>
      <c r="J844" s="27"/>
      <c r="K844" s="1" t="str">
        <f>IF(COUNTA(A844:E844)=0,"",IF(A844="","Preencha a data",IF(NOT(ISNUMBER(A844)),"Data inválida",IF(OR(A844&lt;36526,A844&gt;73050,A844&lt;&gt;INT(A844)),"Data inválida",IF(A844&lt;=Séries!U843,"Data repetida / fora de ordem",IF(COUNTA(B844:E844)&lt;&gt;COUNT(B844:E844),"Use preços numéricos",IF(OR(AND(ISNUMBER(B844),B844&lt;=0),AND(ISNUMBER(C844),C844&lt;=0),AND(ISNUMBER(D844),D844&lt;=0),AND(ISNUMBER(E844),E844&lt;=0)),"Use preços positivos","")))))))</f>
        <v/>
      </c>
    </row>
    <row r="845" spans="1:11" ht="22.95" customHeight="1">
      <c r="A845" s="28"/>
      <c r="B845" s="29"/>
      <c r="C845" s="29"/>
      <c r="D845" s="29"/>
      <c r="E845" s="30"/>
      <c r="F845" s="22" t="str">
        <f>IF(OR($A845="",B845="",B845&lt;=0,Séries!Q844=""),"",B845/Séries!Q844-1)</f>
        <v/>
      </c>
      <c r="G845" s="22" t="str">
        <f>IF(OR($A845="",C845="",C845&lt;=0,Séries!R844=""),"",C845/Séries!R844-1)</f>
        <v/>
      </c>
      <c r="H845" s="22" t="str">
        <f>IF(OR($A845="",D845="",D845&lt;=0,Séries!S844=""),"",D845/Séries!S844-1)</f>
        <v/>
      </c>
      <c r="I845" s="22" t="str">
        <f>IF(OR($A845="",E845="",E845&lt;=0,Séries!T844=""),"",E845/Séries!T844-1)</f>
        <v/>
      </c>
      <c r="J845" s="27"/>
      <c r="K845" s="1" t="str">
        <f>IF(COUNTA(A845:E845)=0,"",IF(A845="","Preencha a data",IF(NOT(ISNUMBER(A845)),"Data inválida",IF(OR(A845&lt;36526,A845&gt;73050,A845&lt;&gt;INT(A845)),"Data inválida",IF(A845&lt;=Séries!U844,"Data repetida / fora de ordem",IF(COUNTA(B845:E845)&lt;&gt;COUNT(B845:E845),"Use preços numéricos",IF(OR(AND(ISNUMBER(B845),B845&lt;=0),AND(ISNUMBER(C845),C845&lt;=0),AND(ISNUMBER(D845),D845&lt;=0),AND(ISNUMBER(E845),E845&lt;=0)),"Use preços positivos","")))))))</f>
        <v/>
      </c>
    </row>
    <row r="846" spans="1:11" ht="22.95" customHeight="1">
      <c r="A846" s="28"/>
      <c r="B846" s="29"/>
      <c r="C846" s="29"/>
      <c r="D846" s="29"/>
      <c r="E846" s="30"/>
      <c r="F846" s="22" t="str">
        <f>IF(OR($A846="",B846="",B846&lt;=0,Séries!Q845=""),"",B846/Séries!Q845-1)</f>
        <v/>
      </c>
      <c r="G846" s="22" t="str">
        <f>IF(OR($A846="",C846="",C846&lt;=0,Séries!R845=""),"",C846/Séries!R845-1)</f>
        <v/>
      </c>
      <c r="H846" s="22" t="str">
        <f>IF(OR($A846="",D846="",D846&lt;=0,Séries!S845=""),"",D846/Séries!S845-1)</f>
        <v/>
      </c>
      <c r="I846" s="22" t="str">
        <f>IF(OR($A846="",E846="",E846&lt;=0,Séries!T845=""),"",E846/Séries!T845-1)</f>
        <v/>
      </c>
      <c r="J846" s="27"/>
      <c r="K846" s="1" t="str">
        <f>IF(COUNTA(A846:E846)=0,"",IF(A846="","Preencha a data",IF(NOT(ISNUMBER(A846)),"Data inválida",IF(OR(A846&lt;36526,A846&gt;73050,A846&lt;&gt;INT(A846)),"Data inválida",IF(A846&lt;=Séries!U845,"Data repetida / fora de ordem",IF(COUNTA(B846:E846)&lt;&gt;COUNT(B846:E846),"Use preços numéricos",IF(OR(AND(ISNUMBER(B846),B846&lt;=0),AND(ISNUMBER(C846),C846&lt;=0),AND(ISNUMBER(D846),D846&lt;=0),AND(ISNUMBER(E846),E846&lt;=0)),"Use preços positivos","")))))))</f>
        <v/>
      </c>
    </row>
    <row r="847" spans="1:11" ht="22.95" customHeight="1">
      <c r="A847" s="28"/>
      <c r="B847" s="29"/>
      <c r="C847" s="29"/>
      <c r="D847" s="29"/>
      <c r="E847" s="30"/>
      <c r="F847" s="22" t="str">
        <f>IF(OR($A847="",B847="",B847&lt;=0,Séries!Q846=""),"",B847/Séries!Q846-1)</f>
        <v/>
      </c>
      <c r="G847" s="22" t="str">
        <f>IF(OR($A847="",C847="",C847&lt;=0,Séries!R846=""),"",C847/Séries!R846-1)</f>
        <v/>
      </c>
      <c r="H847" s="22" t="str">
        <f>IF(OR($A847="",D847="",D847&lt;=0,Séries!S846=""),"",D847/Séries!S846-1)</f>
        <v/>
      </c>
      <c r="I847" s="22" t="str">
        <f>IF(OR($A847="",E847="",E847&lt;=0,Séries!T846=""),"",E847/Séries!T846-1)</f>
        <v/>
      </c>
      <c r="J847" s="27"/>
      <c r="K847" s="1" t="str">
        <f>IF(COUNTA(A847:E847)=0,"",IF(A847="","Preencha a data",IF(NOT(ISNUMBER(A847)),"Data inválida",IF(OR(A847&lt;36526,A847&gt;73050,A847&lt;&gt;INT(A847)),"Data inválida",IF(A847&lt;=Séries!U846,"Data repetida / fora de ordem",IF(COUNTA(B847:E847)&lt;&gt;COUNT(B847:E847),"Use preços numéricos",IF(OR(AND(ISNUMBER(B847),B847&lt;=0),AND(ISNUMBER(C847),C847&lt;=0),AND(ISNUMBER(D847),D847&lt;=0),AND(ISNUMBER(E847),E847&lt;=0)),"Use preços positivos","")))))))</f>
        <v/>
      </c>
    </row>
    <row r="848" spans="1:11" ht="22.95" customHeight="1">
      <c r="A848" s="28"/>
      <c r="B848" s="29"/>
      <c r="C848" s="29"/>
      <c r="D848" s="29"/>
      <c r="E848" s="30"/>
      <c r="F848" s="22" t="str">
        <f>IF(OR($A848="",B848="",B848&lt;=0,Séries!Q847=""),"",B848/Séries!Q847-1)</f>
        <v/>
      </c>
      <c r="G848" s="22" t="str">
        <f>IF(OR($A848="",C848="",C848&lt;=0,Séries!R847=""),"",C848/Séries!R847-1)</f>
        <v/>
      </c>
      <c r="H848" s="22" t="str">
        <f>IF(OR($A848="",D848="",D848&lt;=0,Séries!S847=""),"",D848/Séries!S847-1)</f>
        <v/>
      </c>
      <c r="I848" s="22" t="str">
        <f>IF(OR($A848="",E848="",E848&lt;=0,Séries!T847=""),"",E848/Séries!T847-1)</f>
        <v/>
      </c>
      <c r="J848" s="27"/>
      <c r="K848" s="1" t="str">
        <f>IF(COUNTA(A848:E848)=0,"",IF(A848="","Preencha a data",IF(NOT(ISNUMBER(A848)),"Data inválida",IF(OR(A848&lt;36526,A848&gt;73050,A848&lt;&gt;INT(A848)),"Data inválida",IF(A848&lt;=Séries!U847,"Data repetida / fora de ordem",IF(COUNTA(B848:E848)&lt;&gt;COUNT(B848:E848),"Use preços numéricos",IF(OR(AND(ISNUMBER(B848),B848&lt;=0),AND(ISNUMBER(C848),C848&lt;=0),AND(ISNUMBER(D848),D848&lt;=0),AND(ISNUMBER(E848),E848&lt;=0)),"Use preços positivos","")))))))</f>
        <v/>
      </c>
    </row>
    <row r="849" spans="1:11" ht="22.95" customHeight="1">
      <c r="A849" s="28"/>
      <c r="B849" s="29"/>
      <c r="C849" s="29"/>
      <c r="D849" s="29"/>
      <c r="E849" s="30"/>
      <c r="F849" s="22" t="str">
        <f>IF(OR($A849="",B849="",B849&lt;=0,Séries!Q848=""),"",B849/Séries!Q848-1)</f>
        <v/>
      </c>
      <c r="G849" s="22" t="str">
        <f>IF(OR($A849="",C849="",C849&lt;=0,Séries!R848=""),"",C849/Séries!R848-1)</f>
        <v/>
      </c>
      <c r="H849" s="22" t="str">
        <f>IF(OR($A849="",D849="",D849&lt;=0,Séries!S848=""),"",D849/Séries!S848-1)</f>
        <v/>
      </c>
      <c r="I849" s="22" t="str">
        <f>IF(OR($A849="",E849="",E849&lt;=0,Séries!T848=""),"",E849/Séries!T848-1)</f>
        <v/>
      </c>
      <c r="J849" s="27"/>
      <c r="K849" s="1" t="str">
        <f>IF(COUNTA(A849:E849)=0,"",IF(A849="","Preencha a data",IF(NOT(ISNUMBER(A849)),"Data inválida",IF(OR(A849&lt;36526,A849&gt;73050,A849&lt;&gt;INT(A849)),"Data inválida",IF(A849&lt;=Séries!U848,"Data repetida / fora de ordem",IF(COUNTA(B849:E849)&lt;&gt;COUNT(B849:E849),"Use preços numéricos",IF(OR(AND(ISNUMBER(B849),B849&lt;=0),AND(ISNUMBER(C849),C849&lt;=0),AND(ISNUMBER(D849),D849&lt;=0),AND(ISNUMBER(E849),E849&lt;=0)),"Use preços positivos","")))))))</f>
        <v/>
      </c>
    </row>
    <row r="850" spans="1:11" ht="22.95" customHeight="1">
      <c r="A850" s="28"/>
      <c r="B850" s="29"/>
      <c r="C850" s="29"/>
      <c r="D850" s="29"/>
      <c r="E850" s="30"/>
      <c r="F850" s="22" t="str">
        <f>IF(OR($A850="",B850="",B850&lt;=0,Séries!Q849=""),"",B850/Séries!Q849-1)</f>
        <v/>
      </c>
      <c r="G850" s="22" t="str">
        <f>IF(OR($A850="",C850="",C850&lt;=0,Séries!R849=""),"",C850/Séries!R849-1)</f>
        <v/>
      </c>
      <c r="H850" s="22" t="str">
        <f>IF(OR($A850="",D850="",D850&lt;=0,Séries!S849=""),"",D850/Séries!S849-1)</f>
        <v/>
      </c>
      <c r="I850" s="22" t="str">
        <f>IF(OR($A850="",E850="",E850&lt;=0,Séries!T849=""),"",E850/Séries!T849-1)</f>
        <v/>
      </c>
      <c r="J850" s="27"/>
      <c r="K850" s="1" t="str">
        <f>IF(COUNTA(A850:E850)=0,"",IF(A850="","Preencha a data",IF(NOT(ISNUMBER(A850)),"Data inválida",IF(OR(A850&lt;36526,A850&gt;73050,A850&lt;&gt;INT(A850)),"Data inválida",IF(A850&lt;=Séries!U849,"Data repetida / fora de ordem",IF(COUNTA(B850:E850)&lt;&gt;COUNT(B850:E850),"Use preços numéricos",IF(OR(AND(ISNUMBER(B850),B850&lt;=0),AND(ISNUMBER(C850),C850&lt;=0),AND(ISNUMBER(D850),D850&lt;=0),AND(ISNUMBER(E850),E850&lt;=0)),"Use preços positivos","")))))))</f>
        <v/>
      </c>
    </row>
    <row r="851" spans="1:11" ht="22.95" customHeight="1">
      <c r="A851" s="28"/>
      <c r="B851" s="29"/>
      <c r="C851" s="29"/>
      <c r="D851" s="29"/>
      <c r="E851" s="30"/>
      <c r="F851" s="22" t="str">
        <f>IF(OR($A851="",B851="",B851&lt;=0,Séries!Q850=""),"",B851/Séries!Q850-1)</f>
        <v/>
      </c>
      <c r="G851" s="22" t="str">
        <f>IF(OR($A851="",C851="",C851&lt;=0,Séries!R850=""),"",C851/Séries!R850-1)</f>
        <v/>
      </c>
      <c r="H851" s="22" t="str">
        <f>IF(OR($A851="",D851="",D851&lt;=0,Séries!S850=""),"",D851/Séries!S850-1)</f>
        <v/>
      </c>
      <c r="I851" s="22" t="str">
        <f>IF(OR($A851="",E851="",E851&lt;=0,Séries!T850=""),"",E851/Séries!T850-1)</f>
        <v/>
      </c>
      <c r="J851" s="27"/>
      <c r="K851" s="1" t="str">
        <f>IF(COUNTA(A851:E851)=0,"",IF(A851="","Preencha a data",IF(NOT(ISNUMBER(A851)),"Data inválida",IF(OR(A851&lt;36526,A851&gt;73050,A851&lt;&gt;INT(A851)),"Data inválida",IF(A851&lt;=Séries!U850,"Data repetida / fora de ordem",IF(COUNTA(B851:E851)&lt;&gt;COUNT(B851:E851),"Use preços numéricos",IF(OR(AND(ISNUMBER(B851),B851&lt;=0),AND(ISNUMBER(C851),C851&lt;=0),AND(ISNUMBER(D851),D851&lt;=0),AND(ISNUMBER(E851),E851&lt;=0)),"Use preços positivos","")))))))</f>
        <v/>
      </c>
    </row>
    <row r="852" spans="1:11" ht="22.95" customHeight="1">
      <c r="A852" s="28"/>
      <c r="B852" s="29"/>
      <c r="C852" s="29"/>
      <c r="D852" s="29"/>
      <c r="E852" s="30"/>
      <c r="F852" s="22" t="str">
        <f>IF(OR($A852="",B852="",B852&lt;=0,Séries!Q851=""),"",B852/Séries!Q851-1)</f>
        <v/>
      </c>
      <c r="G852" s="22" t="str">
        <f>IF(OR($A852="",C852="",C852&lt;=0,Séries!R851=""),"",C852/Séries!R851-1)</f>
        <v/>
      </c>
      <c r="H852" s="22" t="str">
        <f>IF(OR($A852="",D852="",D852&lt;=0,Séries!S851=""),"",D852/Séries!S851-1)</f>
        <v/>
      </c>
      <c r="I852" s="22" t="str">
        <f>IF(OR($A852="",E852="",E852&lt;=0,Séries!T851=""),"",E852/Séries!T851-1)</f>
        <v/>
      </c>
      <c r="J852" s="27"/>
      <c r="K852" s="1" t="str">
        <f>IF(COUNTA(A852:E852)=0,"",IF(A852="","Preencha a data",IF(NOT(ISNUMBER(A852)),"Data inválida",IF(OR(A852&lt;36526,A852&gt;73050,A852&lt;&gt;INT(A852)),"Data inválida",IF(A852&lt;=Séries!U851,"Data repetida / fora de ordem",IF(COUNTA(B852:E852)&lt;&gt;COUNT(B852:E852),"Use preços numéricos",IF(OR(AND(ISNUMBER(B852),B852&lt;=0),AND(ISNUMBER(C852),C852&lt;=0),AND(ISNUMBER(D852),D852&lt;=0),AND(ISNUMBER(E852),E852&lt;=0)),"Use preços positivos","")))))))</f>
        <v/>
      </c>
    </row>
    <row r="853" spans="1:11" ht="22.95" customHeight="1">
      <c r="A853" s="28"/>
      <c r="B853" s="29"/>
      <c r="C853" s="29"/>
      <c r="D853" s="29"/>
      <c r="E853" s="30"/>
      <c r="F853" s="22" t="str">
        <f>IF(OR($A853="",B853="",B853&lt;=0,Séries!Q852=""),"",B853/Séries!Q852-1)</f>
        <v/>
      </c>
      <c r="G853" s="22" t="str">
        <f>IF(OR($A853="",C853="",C853&lt;=0,Séries!R852=""),"",C853/Séries!R852-1)</f>
        <v/>
      </c>
      <c r="H853" s="22" t="str">
        <f>IF(OR($A853="",D853="",D853&lt;=0,Séries!S852=""),"",D853/Séries!S852-1)</f>
        <v/>
      </c>
      <c r="I853" s="22" t="str">
        <f>IF(OR($A853="",E853="",E853&lt;=0,Séries!T852=""),"",E853/Séries!T852-1)</f>
        <v/>
      </c>
      <c r="J853" s="27"/>
      <c r="K853" s="1" t="str">
        <f>IF(COUNTA(A853:E853)=0,"",IF(A853="","Preencha a data",IF(NOT(ISNUMBER(A853)),"Data inválida",IF(OR(A853&lt;36526,A853&gt;73050,A853&lt;&gt;INT(A853)),"Data inválida",IF(A853&lt;=Séries!U852,"Data repetida / fora de ordem",IF(COUNTA(B853:E853)&lt;&gt;COUNT(B853:E853),"Use preços numéricos",IF(OR(AND(ISNUMBER(B853),B853&lt;=0),AND(ISNUMBER(C853),C853&lt;=0),AND(ISNUMBER(D853),D853&lt;=0),AND(ISNUMBER(E853),E853&lt;=0)),"Use preços positivos","")))))))</f>
        <v/>
      </c>
    </row>
    <row r="854" spans="1:11" ht="22.95" customHeight="1">
      <c r="A854" s="28"/>
      <c r="B854" s="29"/>
      <c r="C854" s="29"/>
      <c r="D854" s="29"/>
      <c r="E854" s="30"/>
      <c r="F854" s="22" t="str">
        <f>IF(OR($A854="",B854="",B854&lt;=0,Séries!Q853=""),"",B854/Séries!Q853-1)</f>
        <v/>
      </c>
      <c r="G854" s="22" t="str">
        <f>IF(OR($A854="",C854="",C854&lt;=0,Séries!R853=""),"",C854/Séries!R853-1)</f>
        <v/>
      </c>
      <c r="H854" s="22" t="str">
        <f>IF(OR($A854="",D854="",D854&lt;=0,Séries!S853=""),"",D854/Séries!S853-1)</f>
        <v/>
      </c>
      <c r="I854" s="22" t="str">
        <f>IF(OR($A854="",E854="",E854&lt;=0,Séries!T853=""),"",E854/Séries!T853-1)</f>
        <v/>
      </c>
      <c r="J854" s="27"/>
      <c r="K854" s="1" t="str">
        <f>IF(COUNTA(A854:E854)=0,"",IF(A854="","Preencha a data",IF(NOT(ISNUMBER(A854)),"Data inválida",IF(OR(A854&lt;36526,A854&gt;73050,A854&lt;&gt;INT(A854)),"Data inválida",IF(A854&lt;=Séries!U853,"Data repetida / fora de ordem",IF(COUNTA(B854:E854)&lt;&gt;COUNT(B854:E854),"Use preços numéricos",IF(OR(AND(ISNUMBER(B854),B854&lt;=0),AND(ISNUMBER(C854),C854&lt;=0),AND(ISNUMBER(D854),D854&lt;=0),AND(ISNUMBER(E854),E854&lt;=0)),"Use preços positivos","")))))))</f>
        <v/>
      </c>
    </row>
    <row r="855" spans="1:11" ht="22.95" customHeight="1">
      <c r="A855" s="28"/>
      <c r="B855" s="29"/>
      <c r="C855" s="29"/>
      <c r="D855" s="29"/>
      <c r="E855" s="30"/>
      <c r="F855" s="22" t="str">
        <f>IF(OR($A855="",B855="",B855&lt;=0,Séries!Q854=""),"",B855/Séries!Q854-1)</f>
        <v/>
      </c>
      <c r="G855" s="22" t="str">
        <f>IF(OR($A855="",C855="",C855&lt;=0,Séries!R854=""),"",C855/Séries!R854-1)</f>
        <v/>
      </c>
      <c r="H855" s="22" t="str">
        <f>IF(OR($A855="",D855="",D855&lt;=0,Séries!S854=""),"",D855/Séries!S854-1)</f>
        <v/>
      </c>
      <c r="I855" s="22" t="str">
        <f>IF(OR($A855="",E855="",E855&lt;=0,Séries!T854=""),"",E855/Séries!T854-1)</f>
        <v/>
      </c>
      <c r="J855" s="27"/>
      <c r="K855" s="1" t="str">
        <f>IF(COUNTA(A855:E855)=0,"",IF(A855="","Preencha a data",IF(NOT(ISNUMBER(A855)),"Data inválida",IF(OR(A855&lt;36526,A855&gt;73050,A855&lt;&gt;INT(A855)),"Data inválida",IF(A855&lt;=Séries!U854,"Data repetida / fora de ordem",IF(COUNTA(B855:E855)&lt;&gt;COUNT(B855:E855),"Use preços numéricos",IF(OR(AND(ISNUMBER(B855),B855&lt;=0),AND(ISNUMBER(C855),C855&lt;=0),AND(ISNUMBER(D855),D855&lt;=0),AND(ISNUMBER(E855),E855&lt;=0)),"Use preços positivos","")))))))</f>
        <v/>
      </c>
    </row>
    <row r="856" spans="1:11" ht="22.95" customHeight="1">
      <c r="A856" s="28"/>
      <c r="B856" s="29"/>
      <c r="C856" s="29"/>
      <c r="D856" s="29"/>
      <c r="E856" s="30"/>
      <c r="F856" s="22" t="str">
        <f>IF(OR($A856="",B856="",B856&lt;=0,Séries!Q855=""),"",B856/Séries!Q855-1)</f>
        <v/>
      </c>
      <c r="G856" s="22" t="str">
        <f>IF(OR($A856="",C856="",C856&lt;=0,Séries!R855=""),"",C856/Séries!R855-1)</f>
        <v/>
      </c>
      <c r="H856" s="22" t="str">
        <f>IF(OR($A856="",D856="",D856&lt;=0,Séries!S855=""),"",D856/Séries!S855-1)</f>
        <v/>
      </c>
      <c r="I856" s="22" t="str">
        <f>IF(OR($A856="",E856="",E856&lt;=0,Séries!T855=""),"",E856/Séries!T855-1)</f>
        <v/>
      </c>
      <c r="J856" s="27"/>
      <c r="K856" s="1" t="str">
        <f>IF(COUNTA(A856:E856)=0,"",IF(A856="","Preencha a data",IF(NOT(ISNUMBER(A856)),"Data inválida",IF(OR(A856&lt;36526,A856&gt;73050,A856&lt;&gt;INT(A856)),"Data inválida",IF(A856&lt;=Séries!U855,"Data repetida / fora de ordem",IF(COUNTA(B856:E856)&lt;&gt;COUNT(B856:E856),"Use preços numéricos",IF(OR(AND(ISNUMBER(B856),B856&lt;=0),AND(ISNUMBER(C856),C856&lt;=0),AND(ISNUMBER(D856),D856&lt;=0),AND(ISNUMBER(E856),E856&lt;=0)),"Use preços positivos","")))))))</f>
        <v/>
      </c>
    </row>
    <row r="857" spans="1:11" ht="22.95" customHeight="1">
      <c r="A857" s="28"/>
      <c r="B857" s="29"/>
      <c r="C857" s="29"/>
      <c r="D857" s="29"/>
      <c r="E857" s="30"/>
      <c r="F857" s="22" t="str">
        <f>IF(OR($A857="",B857="",B857&lt;=0,Séries!Q856=""),"",B857/Séries!Q856-1)</f>
        <v/>
      </c>
      <c r="G857" s="22" t="str">
        <f>IF(OR($A857="",C857="",C857&lt;=0,Séries!R856=""),"",C857/Séries!R856-1)</f>
        <v/>
      </c>
      <c r="H857" s="22" t="str">
        <f>IF(OR($A857="",D857="",D857&lt;=0,Séries!S856=""),"",D857/Séries!S856-1)</f>
        <v/>
      </c>
      <c r="I857" s="22" t="str">
        <f>IF(OR($A857="",E857="",E857&lt;=0,Séries!T856=""),"",E857/Séries!T856-1)</f>
        <v/>
      </c>
      <c r="J857" s="27"/>
      <c r="K857" s="1" t="str">
        <f>IF(COUNTA(A857:E857)=0,"",IF(A857="","Preencha a data",IF(NOT(ISNUMBER(A857)),"Data inválida",IF(OR(A857&lt;36526,A857&gt;73050,A857&lt;&gt;INT(A857)),"Data inválida",IF(A857&lt;=Séries!U856,"Data repetida / fora de ordem",IF(COUNTA(B857:E857)&lt;&gt;COUNT(B857:E857),"Use preços numéricos",IF(OR(AND(ISNUMBER(B857),B857&lt;=0),AND(ISNUMBER(C857),C857&lt;=0),AND(ISNUMBER(D857),D857&lt;=0),AND(ISNUMBER(E857),E857&lt;=0)),"Use preços positivos","")))))))</f>
        <v/>
      </c>
    </row>
    <row r="858" spans="1:11" ht="22.95" customHeight="1">
      <c r="A858" s="28"/>
      <c r="B858" s="29"/>
      <c r="C858" s="29"/>
      <c r="D858" s="29"/>
      <c r="E858" s="30"/>
      <c r="F858" s="22" t="str">
        <f>IF(OR($A858="",B858="",B858&lt;=0,Séries!Q857=""),"",B858/Séries!Q857-1)</f>
        <v/>
      </c>
      <c r="G858" s="22" t="str">
        <f>IF(OR($A858="",C858="",C858&lt;=0,Séries!R857=""),"",C858/Séries!R857-1)</f>
        <v/>
      </c>
      <c r="H858" s="22" t="str">
        <f>IF(OR($A858="",D858="",D858&lt;=0,Séries!S857=""),"",D858/Séries!S857-1)</f>
        <v/>
      </c>
      <c r="I858" s="22" t="str">
        <f>IF(OR($A858="",E858="",E858&lt;=0,Séries!T857=""),"",E858/Séries!T857-1)</f>
        <v/>
      </c>
      <c r="J858" s="27"/>
      <c r="K858" s="1" t="str">
        <f>IF(COUNTA(A858:E858)=0,"",IF(A858="","Preencha a data",IF(NOT(ISNUMBER(A858)),"Data inválida",IF(OR(A858&lt;36526,A858&gt;73050,A858&lt;&gt;INT(A858)),"Data inválida",IF(A858&lt;=Séries!U857,"Data repetida / fora de ordem",IF(COUNTA(B858:E858)&lt;&gt;COUNT(B858:E858),"Use preços numéricos",IF(OR(AND(ISNUMBER(B858),B858&lt;=0),AND(ISNUMBER(C858),C858&lt;=0),AND(ISNUMBER(D858),D858&lt;=0),AND(ISNUMBER(E858),E858&lt;=0)),"Use preços positivos","")))))))</f>
        <v/>
      </c>
    </row>
    <row r="859" spans="1:11" ht="22.95" customHeight="1">
      <c r="A859" s="28"/>
      <c r="B859" s="29"/>
      <c r="C859" s="29"/>
      <c r="D859" s="29"/>
      <c r="E859" s="30"/>
      <c r="F859" s="22" t="str">
        <f>IF(OR($A859="",B859="",B859&lt;=0,Séries!Q858=""),"",B859/Séries!Q858-1)</f>
        <v/>
      </c>
      <c r="G859" s="22" t="str">
        <f>IF(OR($A859="",C859="",C859&lt;=0,Séries!R858=""),"",C859/Séries!R858-1)</f>
        <v/>
      </c>
      <c r="H859" s="22" t="str">
        <f>IF(OR($A859="",D859="",D859&lt;=0,Séries!S858=""),"",D859/Séries!S858-1)</f>
        <v/>
      </c>
      <c r="I859" s="22" t="str">
        <f>IF(OR($A859="",E859="",E859&lt;=0,Séries!T858=""),"",E859/Séries!T858-1)</f>
        <v/>
      </c>
      <c r="J859" s="27"/>
      <c r="K859" s="1" t="str">
        <f>IF(COUNTA(A859:E859)=0,"",IF(A859="","Preencha a data",IF(NOT(ISNUMBER(A859)),"Data inválida",IF(OR(A859&lt;36526,A859&gt;73050,A859&lt;&gt;INT(A859)),"Data inválida",IF(A859&lt;=Séries!U858,"Data repetida / fora de ordem",IF(COUNTA(B859:E859)&lt;&gt;COUNT(B859:E859),"Use preços numéricos",IF(OR(AND(ISNUMBER(B859),B859&lt;=0),AND(ISNUMBER(C859),C859&lt;=0),AND(ISNUMBER(D859),D859&lt;=0),AND(ISNUMBER(E859),E859&lt;=0)),"Use preços positivos","")))))))</f>
        <v/>
      </c>
    </row>
    <row r="860" spans="1:11" ht="22.95" customHeight="1">
      <c r="A860" s="28"/>
      <c r="B860" s="29"/>
      <c r="C860" s="29"/>
      <c r="D860" s="29"/>
      <c r="E860" s="30"/>
      <c r="F860" s="22" t="str">
        <f>IF(OR($A860="",B860="",B860&lt;=0,Séries!Q859=""),"",B860/Séries!Q859-1)</f>
        <v/>
      </c>
      <c r="G860" s="22" t="str">
        <f>IF(OR($A860="",C860="",C860&lt;=0,Séries!R859=""),"",C860/Séries!R859-1)</f>
        <v/>
      </c>
      <c r="H860" s="22" t="str">
        <f>IF(OR($A860="",D860="",D860&lt;=0,Séries!S859=""),"",D860/Séries!S859-1)</f>
        <v/>
      </c>
      <c r="I860" s="22" t="str">
        <f>IF(OR($A860="",E860="",E860&lt;=0,Séries!T859=""),"",E860/Séries!T859-1)</f>
        <v/>
      </c>
      <c r="J860" s="27"/>
      <c r="K860" s="1" t="str">
        <f>IF(COUNTA(A860:E860)=0,"",IF(A860="","Preencha a data",IF(NOT(ISNUMBER(A860)),"Data inválida",IF(OR(A860&lt;36526,A860&gt;73050,A860&lt;&gt;INT(A860)),"Data inválida",IF(A860&lt;=Séries!U859,"Data repetida / fora de ordem",IF(COUNTA(B860:E860)&lt;&gt;COUNT(B860:E860),"Use preços numéricos",IF(OR(AND(ISNUMBER(B860),B860&lt;=0),AND(ISNUMBER(C860),C860&lt;=0),AND(ISNUMBER(D860),D860&lt;=0),AND(ISNUMBER(E860),E860&lt;=0)),"Use preços positivos","")))))))</f>
        <v/>
      </c>
    </row>
    <row r="861" spans="1:11" ht="22.95" customHeight="1">
      <c r="A861" s="28"/>
      <c r="B861" s="29"/>
      <c r="C861" s="29"/>
      <c r="D861" s="29"/>
      <c r="E861" s="30"/>
      <c r="F861" s="22" t="str">
        <f>IF(OR($A861="",B861="",B861&lt;=0,Séries!Q860=""),"",B861/Séries!Q860-1)</f>
        <v/>
      </c>
      <c r="G861" s="22" t="str">
        <f>IF(OR($A861="",C861="",C861&lt;=0,Séries!R860=""),"",C861/Séries!R860-1)</f>
        <v/>
      </c>
      <c r="H861" s="22" t="str">
        <f>IF(OR($A861="",D861="",D861&lt;=0,Séries!S860=""),"",D861/Séries!S860-1)</f>
        <v/>
      </c>
      <c r="I861" s="22" t="str">
        <f>IF(OR($A861="",E861="",E861&lt;=0,Séries!T860=""),"",E861/Séries!T860-1)</f>
        <v/>
      </c>
      <c r="J861" s="27"/>
      <c r="K861" s="1" t="str">
        <f>IF(COUNTA(A861:E861)=0,"",IF(A861="","Preencha a data",IF(NOT(ISNUMBER(A861)),"Data inválida",IF(OR(A861&lt;36526,A861&gt;73050,A861&lt;&gt;INT(A861)),"Data inválida",IF(A861&lt;=Séries!U860,"Data repetida / fora de ordem",IF(COUNTA(B861:E861)&lt;&gt;COUNT(B861:E861),"Use preços numéricos",IF(OR(AND(ISNUMBER(B861),B861&lt;=0),AND(ISNUMBER(C861),C861&lt;=0),AND(ISNUMBER(D861),D861&lt;=0),AND(ISNUMBER(E861),E861&lt;=0)),"Use preços positivos","")))))))</f>
        <v/>
      </c>
    </row>
    <row r="862" spans="1:11" ht="22.95" customHeight="1">
      <c r="A862" s="28"/>
      <c r="B862" s="29"/>
      <c r="C862" s="29"/>
      <c r="D862" s="29"/>
      <c r="E862" s="30"/>
      <c r="F862" s="22" t="str">
        <f>IF(OR($A862="",B862="",B862&lt;=0,Séries!Q861=""),"",B862/Séries!Q861-1)</f>
        <v/>
      </c>
      <c r="G862" s="22" t="str">
        <f>IF(OR($A862="",C862="",C862&lt;=0,Séries!R861=""),"",C862/Séries!R861-1)</f>
        <v/>
      </c>
      <c r="H862" s="22" t="str">
        <f>IF(OR($A862="",D862="",D862&lt;=0,Séries!S861=""),"",D862/Séries!S861-1)</f>
        <v/>
      </c>
      <c r="I862" s="22" t="str">
        <f>IF(OR($A862="",E862="",E862&lt;=0,Séries!T861=""),"",E862/Séries!T861-1)</f>
        <v/>
      </c>
      <c r="J862" s="27"/>
      <c r="K862" s="1" t="str">
        <f>IF(COUNTA(A862:E862)=0,"",IF(A862="","Preencha a data",IF(NOT(ISNUMBER(A862)),"Data inválida",IF(OR(A862&lt;36526,A862&gt;73050,A862&lt;&gt;INT(A862)),"Data inválida",IF(A862&lt;=Séries!U861,"Data repetida / fora de ordem",IF(COUNTA(B862:E862)&lt;&gt;COUNT(B862:E862),"Use preços numéricos",IF(OR(AND(ISNUMBER(B862),B862&lt;=0),AND(ISNUMBER(C862),C862&lt;=0),AND(ISNUMBER(D862),D862&lt;=0),AND(ISNUMBER(E862),E862&lt;=0)),"Use preços positivos","")))))))</f>
        <v/>
      </c>
    </row>
    <row r="863" spans="1:11" ht="22.95" customHeight="1">
      <c r="A863" s="28"/>
      <c r="B863" s="29"/>
      <c r="C863" s="29"/>
      <c r="D863" s="29"/>
      <c r="E863" s="30"/>
      <c r="F863" s="22" t="str">
        <f>IF(OR($A863="",B863="",B863&lt;=0,Séries!Q862=""),"",B863/Séries!Q862-1)</f>
        <v/>
      </c>
      <c r="G863" s="22" t="str">
        <f>IF(OR($A863="",C863="",C863&lt;=0,Séries!R862=""),"",C863/Séries!R862-1)</f>
        <v/>
      </c>
      <c r="H863" s="22" t="str">
        <f>IF(OR($A863="",D863="",D863&lt;=0,Séries!S862=""),"",D863/Séries!S862-1)</f>
        <v/>
      </c>
      <c r="I863" s="22" t="str">
        <f>IF(OR($A863="",E863="",E863&lt;=0,Séries!T862=""),"",E863/Séries!T862-1)</f>
        <v/>
      </c>
      <c r="J863" s="27"/>
      <c r="K863" s="1" t="str">
        <f>IF(COUNTA(A863:E863)=0,"",IF(A863="","Preencha a data",IF(NOT(ISNUMBER(A863)),"Data inválida",IF(OR(A863&lt;36526,A863&gt;73050,A863&lt;&gt;INT(A863)),"Data inválida",IF(A863&lt;=Séries!U862,"Data repetida / fora de ordem",IF(COUNTA(B863:E863)&lt;&gt;COUNT(B863:E863),"Use preços numéricos",IF(OR(AND(ISNUMBER(B863),B863&lt;=0),AND(ISNUMBER(C863),C863&lt;=0),AND(ISNUMBER(D863),D863&lt;=0),AND(ISNUMBER(E863),E863&lt;=0)),"Use preços positivos","")))))))</f>
        <v/>
      </c>
    </row>
    <row r="864" spans="1:11" ht="22.95" customHeight="1">
      <c r="A864" s="28"/>
      <c r="B864" s="29"/>
      <c r="C864" s="29"/>
      <c r="D864" s="29"/>
      <c r="E864" s="30"/>
      <c r="F864" s="22" t="str">
        <f>IF(OR($A864="",B864="",B864&lt;=0,Séries!Q863=""),"",B864/Séries!Q863-1)</f>
        <v/>
      </c>
      <c r="G864" s="22" t="str">
        <f>IF(OR($A864="",C864="",C864&lt;=0,Séries!R863=""),"",C864/Séries!R863-1)</f>
        <v/>
      </c>
      <c r="H864" s="22" t="str">
        <f>IF(OR($A864="",D864="",D864&lt;=0,Séries!S863=""),"",D864/Séries!S863-1)</f>
        <v/>
      </c>
      <c r="I864" s="22" t="str">
        <f>IF(OR($A864="",E864="",E864&lt;=0,Séries!T863=""),"",E864/Séries!T863-1)</f>
        <v/>
      </c>
      <c r="J864" s="27"/>
      <c r="K864" s="1" t="str">
        <f>IF(COUNTA(A864:E864)=0,"",IF(A864="","Preencha a data",IF(NOT(ISNUMBER(A864)),"Data inválida",IF(OR(A864&lt;36526,A864&gt;73050,A864&lt;&gt;INT(A864)),"Data inválida",IF(A864&lt;=Séries!U863,"Data repetida / fora de ordem",IF(COUNTA(B864:E864)&lt;&gt;COUNT(B864:E864),"Use preços numéricos",IF(OR(AND(ISNUMBER(B864),B864&lt;=0),AND(ISNUMBER(C864),C864&lt;=0),AND(ISNUMBER(D864),D864&lt;=0),AND(ISNUMBER(E864),E864&lt;=0)),"Use preços positivos","")))))))</f>
        <v/>
      </c>
    </row>
    <row r="865" spans="1:11" ht="22.95" customHeight="1">
      <c r="A865" s="28"/>
      <c r="B865" s="29"/>
      <c r="C865" s="29"/>
      <c r="D865" s="29"/>
      <c r="E865" s="30"/>
      <c r="F865" s="22" t="str">
        <f>IF(OR($A865="",B865="",B865&lt;=0,Séries!Q864=""),"",B865/Séries!Q864-1)</f>
        <v/>
      </c>
      <c r="G865" s="22" t="str">
        <f>IF(OR($A865="",C865="",C865&lt;=0,Séries!R864=""),"",C865/Séries!R864-1)</f>
        <v/>
      </c>
      <c r="H865" s="22" t="str">
        <f>IF(OR($A865="",D865="",D865&lt;=0,Séries!S864=""),"",D865/Séries!S864-1)</f>
        <v/>
      </c>
      <c r="I865" s="22" t="str">
        <f>IF(OR($A865="",E865="",E865&lt;=0,Séries!T864=""),"",E865/Séries!T864-1)</f>
        <v/>
      </c>
      <c r="J865" s="27"/>
      <c r="K865" s="1" t="str">
        <f>IF(COUNTA(A865:E865)=0,"",IF(A865="","Preencha a data",IF(NOT(ISNUMBER(A865)),"Data inválida",IF(OR(A865&lt;36526,A865&gt;73050,A865&lt;&gt;INT(A865)),"Data inválida",IF(A865&lt;=Séries!U864,"Data repetida / fora de ordem",IF(COUNTA(B865:E865)&lt;&gt;COUNT(B865:E865),"Use preços numéricos",IF(OR(AND(ISNUMBER(B865),B865&lt;=0),AND(ISNUMBER(C865),C865&lt;=0),AND(ISNUMBER(D865),D865&lt;=0),AND(ISNUMBER(E865),E865&lt;=0)),"Use preços positivos","")))))))</f>
        <v/>
      </c>
    </row>
    <row r="866" spans="1:11" ht="22.95" customHeight="1">
      <c r="A866" s="28"/>
      <c r="B866" s="29"/>
      <c r="C866" s="29"/>
      <c r="D866" s="29"/>
      <c r="E866" s="30"/>
      <c r="F866" s="22" t="str">
        <f>IF(OR($A866="",B866="",B866&lt;=0,Séries!Q865=""),"",B866/Séries!Q865-1)</f>
        <v/>
      </c>
      <c r="G866" s="22" t="str">
        <f>IF(OR($A866="",C866="",C866&lt;=0,Séries!R865=""),"",C866/Séries!R865-1)</f>
        <v/>
      </c>
      <c r="H866" s="22" t="str">
        <f>IF(OR($A866="",D866="",D866&lt;=0,Séries!S865=""),"",D866/Séries!S865-1)</f>
        <v/>
      </c>
      <c r="I866" s="22" t="str">
        <f>IF(OR($A866="",E866="",E866&lt;=0,Séries!T865=""),"",E866/Séries!T865-1)</f>
        <v/>
      </c>
      <c r="J866" s="27"/>
      <c r="K866" s="1" t="str">
        <f>IF(COUNTA(A866:E866)=0,"",IF(A866="","Preencha a data",IF(NOT(ISNUMBER(A866)),"Data inválida",IF(OR(A866&lt;36526,A866&gt;73050,A866&lt;&gt;INT(A866)),"Data inválida",IF(A866&lt;=Séries!U865,"Data repetida / fora de ordem",IF(COUNTA(B866:E866)&lt;&gt;COUNT(B866:E866),"Use preços numéricos",IF(OR(AND(ISNUMBER(B866),B866&lt;=0),AND(ISNUMBER(C866),C866&lt;=0),AND(ISNUMBER(D866),D866&lt;=0),AND(ISNUMBER(E866),E866&lt;=0)),"Use preços positivos","")))))))</f>
        <v/>
      </c>
    </row>
    <row r="867" spans="1:11" ht="22.95" customHeight="1">
      <c r="A867" s="28"/>
      <c r="B867" s="29"/>
      <c r="C867" s="29"/>
      <c r="D867" s="29"/>
      <c r="E867" s="30"/>
      <c r="F867" s="22" t="str">
        <f>IF(OR($A867="",B867="",B867&lt;=0,Séries!Q866=""),"",B867/Séries!Q866-1)</f>
        <v/>
      </c>
      <c r="G867" s="22" t="str">
        <f>IF(OR($A867="",C867="",C867&lt;=0,Séries!R866=""),"",C867/Séries!R866-1)</f>
        <v/>
      </c>
      <c r="H867" s="22" t="str">
        <f>IF(OR($A867="",D867="",D867&lt;=0,Séries!S866=""),"",D867/Séries!S866-1)</f>
        <v/>
      </c>
      <c r="I867" s="22" t="str">
        <f>IF(OR($A867="",E867="",E867&lt;=0,Séries!T866=""),"",E867/Séries!T866-1)</f>
        <v/>
      </c>
      <c r="J867" s="27"/>
      <c r="K867" s="1" t="str">
        <f>IF(COUNTA(A867:E867)=0,"",IF(A867="","Preencha a data",IF(NOT(ISNUMBER(A867)),"Data inválida",IF(OR(A867&lt;36526,A867&gt;73050,A867&lt;&gt;INT(A867)),"Data inválida",IF(A867&lt;=Séries!U866,"Data repetida / fora de ordem",IF(COUNTA(B867:E867)&lt;&gt;COUNT(B867:E867),"Use preços numéricos",IF(OR(AND(ISNUMBER(B867),B867&lt;=0),AND(ISNUMBER(C867),C867&lt;=0),AND(ISNUMBER(D867),D867&lt;=0),AND(ISNUMBER(E867),E867&lt;=0)),"Use preços positivos","")))))))</f>
        <v/>
      </c>
    </row>
    <row r="868" spans="1:11" ht="22.95" customHeight="1">
      <c r="A868" s="28"/>
      <c r="B868" s="29"/>
      <c r="C868" s="29"/>
      <c r="D868" s="29"/>
      <c r="E868" s="30"/>
      <c r="F868" s="22" t="str">
        <f>IF(OR($A868="",B868="",B868&lt;=0,Séries!Q867=""),"",B868/Séries!Q867-1)</f>
        <v/>
      </c>
      <c r="G868" s="22" t="str">
        <f>IF(OR($A868="",C868="",C868&lt;=0,Séries!R867=""),"",C868/Séries!R867-1)</f>
        <v/>
      </c>
      <c r="H868" s="22" t="str">
        <f>IF(OR($A868="",D868="",D868&lt;=0,Séries!S867=""),"",D868/Séries!S867-1)</f>
        <v/>
      </c>
      <c r="I868" s="22" t="str">
        <f>IF(OR($A868="",E868="",E868&lt;=0,Séries!T867=""),"",E868/Séries!T867-1)</f>
        <v/>
      </c>
      <c r="J868" s="27"/>
      <c r="K868" s="1" t="str">
        <f>IF(COUNTA(A868:E868)=0,"",IF(A868="","Preencha a data",IF(NOT(ISNUMBER(A868)),"Data inválida",IF(OR(A868&lt;36526,A868&gt;73050,A868&lt;&gt;INT(A868)),"Data inválida",IF(A868&lt;=Séries!U867,"Data repetida / fora de ordem",IF(COUNTA(B868:E868)&lt;&gt;COUNT(B868:E868),"Use preços numéricos",IF(OR(AND(ISNUMBER(B868),B868&lt;=0),AND(ISNUMBER(C868),C868&lt;=0),AND(ISNUMBER(D868),D868&lt;=0),AND(ISNUMBER(E868),E868&lt;=0)),"Use preços positivos","")))))))</f>
        <v/>
      </c>
    </row>
    <row r="869" spans="1:11" ht="22.95" customHeight="1">
      <c r="A869" s="28"/>
      <c r="B869" s="29"/>
      <c r="C869" s="29"/>
      <c r="D869" s="29"/>
      <c r="E869" s="30"/>
      <c r="F869" s="22" t="str">
        <f>IF(OR($A869="",B869="",B869&lt;=0,Séries!Q868=""),"",B869/Séries!Q868-1)</f>
        <v/>
      </c>
      <c r="G869" s="22" t="str">
        <f>IF(OR($A869="",C869="",C869&lt;=0,Séries!R868=""),"",C869/Séries!R868-1)</f>
        <v/>
      </c>
      <c r="H869" s="22" t="str">
        <f>IF(OR($A869="",D869="",D869&lt;=0,Séries!S868=""),"",D869/Séries!S868-1)</f>
        <v/>
      </c>
      <c r="I869" s="22" t="str">
        <f>IF(OR($A869="",E869="",E869&lt;=0,Séries!T868=""),"",E869/Séries!T868-1)</f>
        <v/>
      </c>
      <c r="J869" s="27"/>
      <c r="K869" s="1" t="str">
        <f>IF(COUNTA(A869:E869)=0,"",IF(A869="","Preencha a data",IF(NOT(ISNUMBER(A869)),"Data inválida",IF(OR(A869&lt;36526,A869&gt;73050,A869&lt;&gt;INT(A869)),"Data inválida",IF(A869&lt;=Séries!U868,"Data repetida / fora de ordem",IF(COUNTA(B869:E869)&lt;&gt;COUNT(B869:E869),"Use preços numéricos",IF(OR(AND(ISNUMBER(B869),B869&lt;=0),AND(ISNUMBER(C869),C869&lt;=0),AND(ISNUMBER(D869),D869&lt;=0),AND(ISNUMBER(E869),E869&lt;=0)),"Use preços positivos","")))))))</f>
        <v/>
      </c>
    </row>
    <row r="870" spans="1:11" ht="22.95" customHeight="1">
      <c r="A870" s="28"/>
      <c r="B870" s="29"/>
      <c r="C870" s="29"/>
      <c r="D870" s="29"/>
      <c r="E870" s="30"/>
      <c r="F870" s="22" t="str">
        <f>IF(OR($A870="",B870="",B870&lt;=0,Séries!Q869=""),"",B870/Séries!Q869-1)</f>
        <v/>
      </c>
      <c r="G870" s="22" t="str">
        <f>IF(OR($A870="",C870="",C870&lt;=0,Séries!R869=""),"",C870/Séries!R869-1)</f>
        <v/>
      </c>
      <c r="H870" s="22" t="str">
        <f>IF(OR($A870="",D870="",D870&lt;=0,Séries!S869=""),"",D870/Séries!S869-1)</f>
        <v/>
      </c>
      <c r="I870" s="22" t="str">
        <f>IF(OR($A870="",E870="",E870&lt;=0,Séries!T869=""),"",E870/Séries!T869-1)</f>
        <v/>
      </c>
      <c r="J870" s="27"/>
      <c r="K870" s="1" t="str">
        <f>IF(COUNTA(A870:E870)=0,"",IF(A870="","Preencha a data",IF(NOT(ISNUMBER(A870)),"Data inválida",IF(OR(A870&lt;36526,A870&gt;73050,A870&lt;&gt;INT(A870)),"Data inválida",IF(A870&lt;=Séries!U869,"Data repetida / fora de ordem",IF(COUNTA(B870:E870)&lt;&gt;COUNT(B870:E870),"Use preços numéricos",IF(OR(AND(ISNUMBER(B870),B870&lt;=0),AND(ISNUMBER(C870),C870&lt;=0),AND(ISNUMBER(D870),D870&lt;=0),AND(ISNUMBER(E870),E870&lt;=0)),"Use preços positivos","")))))))</f>
        <v/>
      </c>
    </row>
    <row r="871" spans="1:11" ht="22.95" customHeight="1">
      <c r="A871" s="28"/>
      <c r="B871" s="29"/>
      <c r="C871" s="29"/>
      <c r="D871" s="29"/>
      <c r="E871" s="30"/>
      <c r="F871" s="22" t="str">
        <f>IF(OR($A871="",B871="",B871&lt;=0,Séries!Q870=""),"",B871/Séries!Q870-1)</f>
        <v/>
      </c>
      <c r="G871" s="22" t="str">
        <f>IF(OR($A871="",C871="",C871&lt;=0,Séries!R870=""),"",C871/Séries!R870-1)</f>
        <v/>
      </c>
      <c r="H871" s="22" t="str">
        <f>IF(OR($A871="",D871="",D871&lt;=0,Séries!S870=""),"",D871/Séries!S870-1)</f>
        <v/>
      </c>
      <c r="I871" s="22" t="str">
        <f>IF(OR($A871="",E871="",E871&lt;=0,Séries!T870=""),"",E871/Séries!T870-1)</f>
        <v/>
      </c>
      <c r="J871" s="27"/>
      <c r="K871" s="1" t="str">
        <f>IF(COUNTA(A871:E871)=0,"",IF(A871="","Preencha a data",IF(NOT(ISNUMBER(A871)),"Data inválida",IF(OR(A871&lt;36526,A871&gt;73050,A871&lt;&gt;INT(A871)),"Data inválida",IF(A871&lt;=Séries!U870,"Data repetida / fora de ordem",IF(COUNTA(B871:E871)&lt;&gt;COUNT(B871:E871),"Use preços numéricos",IF(OR(AND(ISNUMBER(B871),B871&lt;=0),AND(ISNUMBER(C871),C871&lt;=0),AND(ISNUMBER(D871),D871&lt;=0),AND(ISNUMBER(E871),E871&lt;=0)),"Use preços positivos","")))))))</f>
        <v/>
      </c>
    </row>
    <row r="872" spans="1:11" ht="22.95" customHeight="1">
      <c r="A872" s="28"/>
      <c r="B872" s="29"/>
      <c r="C872" s="29"/>
      <c r="D872" s="29"/>
      <c r="E872" s="30"/>
      <c r="F872" s="22" t="str">
        <f>IF(OR($A872="",B872="",B872&lt;=0,Séries!Q871=""),"",B872/Séries!Q871-1)</f>
        <v/>
      </c>
      <c r="G872" s="22" t="str">
        <f>IF(OR($A872="",C872="",C872&lt;=0,Séries!R871=""),"",C872/Séries!R871-1)</f>
        <v/>
      </c>
      <c r="H872" s="22" t="str">
        <f>IF(OR($A872="",D872="",D872&lt;=0,Séries!S871=""),"",D872/Séries!S871-1)</f>
        <v/>
      </c>
      <c r="I872" s="22" t="str">
        <f>IF(OR($A872="",E872="",E872&lt;=0,Séries!T871=""),"",E872/Séries!T871-1)</f>
        <v/>
      </c>
      <c r="J872" s="27"/>
      <c r="K872" s="1" t="str">
        <f>IF(COUNTA(A872:E872)=0,"",IF(A872="","Preencha a data",IF(NOT(ISNUMBER(A872)),"Data inválida",IF(OR(A872&lt;36526,A872&gt;73050,A872&lt;&gt;INT(A872)),"Data inválida",IF(A872&lt;=Séries!U871,"Data repetida / fora de ordem",IF(COUNTA(B872:E872)&lt;&gt;COUNT(B872:E872),"Use preços numéricos",IF(OR(AND(ISNUMBER(B872),B872&lt;=0),AND(ISNUMBER(C872),C872&lt;=0),AND(ISNUMBER(D872),D872&lt;=0),AND(ISNUMBER(E872),E872&lt;=0)),"Use preços positivos","")))))))</f>
        <v/>
      </c>
    </row>
    <row r="873" spans="1:11" ht="22.95" customHeight="1">
      <c r="A873" s="28"/>
      <c r="B873" s="29"/>
      <c r="C873" s="29"/>
      <c r="D873" s="29"/>
      <c r="E873" s="30"/>
      <c r="F873" s="22" t="str">
        <f>IF(OR($A873="",B873="",B873&lt;=0,Séries!Q872=""),"",B873/Séries!Q872-1)</f>
        <v/>
      </c>
      <c r="G873" s="22" t="str">
        <f>IF(OR($A873="",C873="",C873&lt;=0,Séries!R872=""),"",C873/Séries!R872-1)</f>
        <v/>
      </c>
      <c r="H873" s="22" t="str">
        <f>IF(OR($A873="",D873="",D873&lt;=0,Séries!S872=""),"",D873/Séries!S872-1)</f>
        <v/>
      </c>
      <c r="I873" s="22" t="str">
        <f>IF(OR($A873="",E873="",E873&lt;=0,Séries!T872=""),"",E873/Séries!T872-1)</f>
        <v/>
      </c>
      <c r="J873" s="27"/>
      <c r="K873" s="1" t="str">
        <f>IF(COUNTA(A873:E873)=0,"",IF(A873="","Preencha a data",IF(NOT(ISNUMBER(A873)),"Data inválida",IF(OR(A873&lt;36526,A873&gt;73050,A873&lt;&gt;INT(A873)),"Data inválida",IF(A873&lt;=Séries!U872,"Data repetida / fora de ordem",IF(COUNTA(B873:E873)&lt;&gt;COUNT(B873:E873),"Use preços numéricos",IF(OR(AND(ISNUMBER(B873),B873&lt;=0),AND(ISNUMBER(C873),C873&lt;=0),AND(ISNUMBER(D873),D873&lt;=0),AND(ISNUMBER(E873),E873&lt;=0)),"Use preços positivos","")))))))</f>
        <v/>
      </c>
    </row>
    <row r="874" spans="1:11" ht="22.95" customHeight="1">
      <c r="A874" s="28"/>
      <c r="B874" s="29"/>
      <c r="C874" s="29"/>
      <c r="D874" s="29"/>
      <c r="E874" s="30"/>
      <c r="F874" s="22" t="str">
        <f>IF(OR($A874="",B874="",B874&lt;=0,Séries!Q873=""),"",B874/Séries!Q873-1)</f>
        <v/>
      </c>
      <c r="G874" s="22" t="str">
        <f>IF(OR($A874="",C874="",C874&lt;=0,Séries!R873=""),"",C874/Séries!R873-1)</f>
        <v/>
      </c>
      <c r="H874" s="22" t="str">
        <f>IF(OR($A874="",D874="",D874&lt;=0,Séries!S873=""),"",D874/Séries!S873-1)</f>
        <v/>
      </c>
      <c r="I874" s="22" t="str">
        <f>IF(OR($A874="",E874="",E874&lt;=0,Séries!T873=""),"",E874/Séries!T873-1)</f>
        <v/>
      </c>
      <c r="J874" s="27"/>
      <c r="K874" s="1" t="str">
        <f>IF(COUNTA(A874:E874)=0,"",IF(A874="","Preencha a data",IF(NOT(ISNUMBER(A874)),"Data inválida",IF(OR(A874&lt;36526,A874&gt;73050,A874&lt;&gt;INT(A874)),"Data inválida",IF(A874&lt;=Séries!U873,"Data repetida / fora de ordem",IF(COUNTA(B874:E874)&lt;&gt;COUNT(B874:E874),"Use preços numéricos",IF(OR(AND(ISNUMBER(B874),B874&lt;=0),AND(ISNUMBER(C874),C874&lt;=0),AND(ISNUMBER(D874),D874&lt;=0),AND(ISNUMBER(E874),E874&lt;=0)),"Use preços positivos","")))))))</f>
        <v/>
      </c>
    </row>
    <row r="875" spans="1:11" ht="22.95" customHeight="1">
      <c r="A875" s="28"/>
      <c r="B875" s="29"/>
      <c r="C875" s="29"/>
      <c r="D875" s="29"/>
      <c r="E875" s="30"/>
      <c r="F875" s="22" t="str">
        <f>IF(OR($A875="",B875="",B875&lt;=0,Séries!Q874=""),"",B875/Séries!Q874-1)</f>
        <v/>
      </c>
      <c r="G875" s="22" t="str">
        <f>IF(OR($A875="",C875="",C875&lt;=0,Séries!R874=""),"",C875/Séries!R874-1)</f>
        <v/>
      </c>
      <c r="H875" s="22" t="str">
        <f>IF(OR($A875="",D875="",D875&lt;=0,Séries!S874=""),"",D875/Séries!S874-1)</f>
        <v/>
      </c>
      <c r="I875" s="22" t="str">
        <f>IF(OR($A875="",E875="",E875&lt;=0,Séries!T874=""),"",E875/Séries!T874-1)</f>
        <v/>
      </c>
      <c r="J875" s="27"/>
      <c r="K875" s="1" t="str">
        <f>IF(COUNTA(A875:E875)=0,"",IF(A875="","Preencha a data",IF(NOT(ISNUMBER(A875)),"Data inválida",IF(OR(A875&lt;36526,A875&gt;73050,A875&lt;&gt;INT(A875)),"Data inválida",IF(A875&lt;=Séries!U874,"Data repetida / fora de ordem",IF(COUNTA(B875:E875)&lt;&gt;COUNT(B875:E875),"Use preços numéricos",IF(OR(AND(ISNUMBER(B875),B875&lt;=0),AND(ISNUMBER(C875),C875&lt;=0),AND(ISNUMBER(D875),D875&lt;=0),AND(ISNUMBER(E875),E875&lt;=0)),"Use preços positivos","")))))))</f>
        <v/>
      </c>
    </row>
    <row r="876" spans="1:11" ht="22.95" customHeight="1">
      <c r="A876" s="28"/>
      <c r="B876" s="29"/>
      <c r="C876" s="29"/>
      <c r="D876" s="29"/>
      <c r="E876" s="30"/>
      <c r="F876" s="22" t="str">
        <f>IF(OR($A876="",B876="",B876&lt;=0,Séries!Q875=""),"",B876/Séries!Q875-1)</f>
        <v/>
      </c>
      <c r="G876" s="22" t="str">
        <f>IF(OR($A876="",C876="",C876&lt;=0,Séries!R875=""),"",C876/Séries!R875-1)</f>
        <v/>
      </c>
      <c r="H876" s="22" t="str">
        <f>IF(OR($A876="",D876="",D876&lt;=0,Séries!S875=""),"",D876/Séries!S875-1)</f>
        <v/>
      </c>
      <c r="I876" s="22" t="str">
        <f>IF(OR($A876="",E876="",E876&lt;=0,Séries!T875=""),"",E876/Séries!T875-1)</f>
        <v/>
      </c>
      <c r="J876" s="27"/>
      <c r="K876" s="1" t="str">
        <f>IF(COUNTA(A876:E876)=0,"",IF(A876="","Preencha a data",IF(NOT(ISNUMBER(A876)),"Data inválida",IF(OR(A876&lt;36526,A876&gt;73050,A876&lt;&gt;INT(A876)),"Data inválida",IF(A876&lt;=Séries!U875,"Data repetida / fora de ordem",IF(COUNTA(B876:E876)&lt;&gt;COUNT(B876:E876),"Use preços numéricos",IF(OR(AND(ISNUMBER(B876),B876&lt;=0),AND(ISNUMBER(C876),C876&lt;=0),AND(ISNUMBER(D876),D876&lt;=0),AND(ISNUMBER(E876),E876&lt;=0)),"Use preços positivos","")))))))</f>
        <v/>
      </c>
    </row>
    <row r="877" spans="1:11" ht="22.95" customHeight="1">
      <c r="A877" s="28"/>
      <c r="B877" s="29"/>
      <c r="C877" s="29"/>
      <c r="D877" s="29"/>
      <c r="E877" s="30"/>
      <c r="F877" s="22" t="str">
        <f>IF(OR($A877="",B877="",B877&lt;=0,Séries!Q876=""),"",B877/Séries!Q876-1)</f>
        <v/>
      </c>
      <c r="G877" s="22" t="str">
        <f>IF(OR($A877="",C877="",C877&lt;=0,Séries!R876=""),"",C877/Séries!R876-1)</f>
        <v/>
      </c>
      <c r="H877" s="22" t="str">
        <f>IF(OR($A877="",D877="",D877&lt;=0,Séries!S876=""),"",D877/Séries!S876-1)</f>
        <v/>
      </c>
      <c r="I877" s="22" t="str">
        <f>IF(OR($A877="",E877="",E877&lt;=0,Séries!T876=""),"",E877/Séries!T876-1)</f>
        <v/>
      </c>
      <c r="J877" s="27"/>
      <c r="K877" s="1" t="str">
        <f>IF(COUNTA(A877:E877)=0,"",IF(A877="","Preencha a data",IF(NOT(ISNUMBER(A877)),"Data inválida",IF(OR(A877&lt;36526,A877&gt;73050,A877&lt;&gt;INT(A877)),"Data inválida",IF(A877&lt;=Séries!U876,"Data repetida / fora de ordem",IF(COUNTA(B877:E877)&lt;&gt;COUNT(B877:E877),"Use preços numéricos",IF(OR(AND(ISNUMBER(B877),B877&lt;=0),AND(ISNUMBER(C877),C877&lt;=0),AND(ISNUMBER(D877),D877&lt;=0),AND(ISNUMBER(E877),E877&lt;=0)),"Use preços positivos","")))))))</f>
        <v/>
      </c>
    </row>
    <row r="878" spans="1:11" ht="22.95" customHeight="1">
      <c r="A878" s="28"/>
      <c r="B878" s="29"/>
      <c r="C878" s="29"/>
      <c r="D878" s="29"/>
      <c r="E878" s="30"/>
      <c r="F878" s="22" t="str">
        <f>IF(OR($A878="",B878="",B878&lt;=0,Séries!Q877=""),"",B878/Séries!Q877-1)</f>
        <v/>
      </c>
      <c r="G878" s="22" t="str">
        <f>IF(OR($A878="",C878="",C878&lt;=0,Séries!R877=""),"",C878/Séries!R877-1)</f>
        <v/>
      </c>
      <c r="H878" s="22" t="str">
        <f>IF(OR($A878="",D878="",D878&lt;=0,Séries!S877=""),"",D878/Séries!S877-1)</f>
        <v/>
      </c>
      <c r="I878" s="22" t="str">
        <f>IF(OR($A878="",E878="",E878&lt;=0,Séries!T877=""),"",E878/Séries!T877-1)</f>
        <v/>
      </c>
      <c r="J878" s="27"/>
      <c r="K878" s="1" t="str">
        <f>IF(COUNTA(A878:E878)=0,"",IF(A878="","Preencha a data",IF(NOT(ISNUMBER(A878)),"Data inválida",IF(OR(A878&lt;36526,A878&gt;73050,A878&lt;&gt;INT(A878)),"Data inválida",IF(A878&lt;=Séries!U877,"Data repetida / fora de ordem",IF(COUNTA(B878:E878)&lt;&gt;COUNT(B878:E878),"Use preços numéricos",IF(OR(AND(ISNUMBER(B878),B878&lt;=0),AND(ISNUMBER(C878),C878&lt;=0),AND(ISNUMBER(D878),D878&lt;=0),AND(ISNUMBER(E878),E878&lt;=0)),"Use preços positivos","")))))))</f>
        <v/>
      </c>
    </row>
    <row r="879" spans="1:11" ht="22.95" customHeight="1">
      <c r="A879" s="28"/>
      <c r="B879" s="29"/>
      <c r="C879" s="29"/>
      <c r="D879" s="29"/>
      <c r="E879" s="30"/>
      <c r="F879" s="22" t="str">
        <f>IF(OR($A879="",B879="",B879&lt;=0,Séries!Q878=""),"",B879/Séries!Q878-1)</f>
        <v/>
      </c>
      <c r="G879" s="22" t="str">
        <f>IF(OR($A879="",C879="",C879&lt;=0,Séries!R878=""),"",C879/Séries!R878-1)</f>
        <v/>
      </c>
      <c r="H879" s="22" t="str">
        <f>IF(OR($A879="",D879="",D879&lt;=0,Séries!S878=""),"",D879/Séries!S878-1)</f>
        <v/>
      </c>
      <c r="I879" s="22" t="str">
        <f>IF(OR($A879="",E879="",E879&lt;=0,Séries!T878=""),"",E879/Séries!T878-1)</f>
        <v/>
      </c>
      <c r="J879" s="27"/>
      <c r="K879" s="1" t="str">
        <f>IF(COUNTA(A879:E879)=0,"",IF(A879="","Preencha a data",IF(NOT(ISNUMBER(A879)),"Data inválida",IF(OR(A879&lt;36526,A879&gt;73050,A879&lt;&gt;INT(A879)),"Data inválida",IF(A879&lt;=Séries!U878,"Data repetida / fora de ordem",IF(COUNTA(B879:E879)&lt;&gt;COUNT(B879:E879),"Use preços numéricos",IF(OR(AND(ISNUMBER(B879),B879&lt;=0),AND(ISNUMBER(C879),C879&lt;=0),AND(ISNUMBER(D879),D879&lt;=0),AND(ISNUMBER(E879),E879&lt;=0)),"Use preços positivos","")))))))</f>
        <v/>
      </c>
    </row>
    <row r="880" spans="1:11" ht="22.95" customHeight="1">
      <c r="A880" s="28"/>
      <c r="B880" s="29"/>
      <c r="C880" s="29"/>
      <c r="D880" s="29"/>
      <c r="E880" s="30"/>
      <c r="F880" s="22" t="str">
        <f>IF(OR($A880="",B880="",B880&lt;=0,Séries!Q879=""),"",B880/Séries!Q879-1)</f>
        <v/>
      </c>
      <c r="G880" s="22" t="str">
        <f>IF(OR($A880="",C880="",C880&lt;=0,Séries!R879=""),"",C880/Séries!R879-1)</f>
        <v/>
      </c>
      <c r="H880" s="22" t="str">
        <f>IF(OR($A880="",D880="",D880&lt;=0,Séries!S879=""),"",D880/Séries!S879-1)</f>
        <v/>
      </c>
      <c r="I880" s="22" t="str">
        <f>IF(OR($A880="",E880="",E880&lt;=0,Séries!T879=""),"",E880/Séries!T879-1)</f>
        <v/>
      </c>
      <c r="J880" s="27"/>
      <c r="K880" s="1" t="str">
        <f>IF(COUNTA(A880:E880)=0,"",IF(A880="","Preencha a data",IF(NOT(ISNUMBER(A880)),"Data inválida",IF(OR(A880&lt;36526,A880&gt;73050,A880&lt;&gt;INT(A880)),"Data inválida",IF(A880&lt;=Séries!U879,"Data repetida / fora de ordem",IF(COUNTA(B880:E880)&lt;&gt;COUNT(B880:E880),"Use preços numéricos",IF(OR(AND(ISNUMBER(B880),B880&lt;=0),AND(ISNUMBER(C880),C880&lt;=0),AND(ISNUMBER(D880),D880&lt;=0),AND(ISNUMBER(E880),E880&lt;=0)),"Use preços positivos","")))))))</f>
        <v/>
      </c>
    </row>
    <row r="881" spans="1:11" ht="22.95" customHeight="1">
      <c r="A881" s="28"/>
      <c r="B881" s="29"/>
      <c r="C881" s="29"/>
      <c r="D881" s="29"/>
      <c r="E881" s="30"/>
      <c r="F881" s="22" t="str">
        <f>IF(OR($A881="",B881="",B881&lt;=0,Séries!Q880=""),"",B881/Séries!Q880-1)</f>
        <v/>
      </c>
      <c r="G881" s="22" t="str">
        <f>IF(OR($A881="",C881="",C881&lt;=0,Séries!R880=""),"",C881/Séries!R880-1)</f>
        <v/>
      </c>
      <c r="H881" s="22" t="str">
        <f>IF(OR($A881="",D881="",D881&lt;=0,Séries!S880=""),"",D881/Séries!S880-1)</f>
        <v/>
      </c>
      <c r="I881" s="22" t="str">
        <f>IF(OR($A881="",E881="",E881&lt;=0,Séries!T880=""),"",E881/Séries!T880-1)</f>
        <v/>
      </c>
      <c r="J881" s="27"/>
      <c r="K881" s="1" t="str">
        <f>IF(COUNTA(A881:E881)=0,"",IF(A881="","Preencha a data",IF(NOT(ISNUMBER(A881)),"Data inválida",IF(OR(A881&lt;36526,A881&gt;73050,A881&lt;&gt;INT(A881)),"Data inválida",IF(A881&lt;=Séries!U880,"Data repetida / fora de ordem",IF(COUNTA(B881:E881)&lt;&gt;COUNT(B881:E881),"Use preços numéricos",IF(OR(AND(ISNUMBER(B881),B881&lt;=0),AND(ISNUMBER(C881),C881&lt;=0),AND(ISNUMBER(D881),D881&lt;=0),AND(ISNUMBER(E881),E881&lt;=0)),"Use preços positivos","")))))))</f>
        <v/>
      </c>
    </row>
    <row r="882" spans="1:11" ht="22.95" customHeight="1">
      <c r="A882" s="28"/>
      <c r="B882" s="29"/>
      <c r="C882" s="29"/>
      <c r="D882" s="29"/>
      <c r="E882" s="30"/>
      <c r="F882" s="22" t="str">
        <f>IF(OR($A882="",B882="",B882&lt;=0,Séries!Q881=""),"",B882/Séries!Q881-1)</f>
        <v/>
      </c>
      <c r="G882" s="22" t="str">
        <f>IF(OR($A882="",C882="",C882&lt;=0,Séries!R881=""),"",C882/Séries!R881-1)</f>
        <v/>
      </c>
      <c r="H882" s="22" t="str">
        <f>IF(OR($A882="",D882="",D882&lt;=0,Séries!S881=""),"",D882/Séries!S881-1)</f>
        <v/>
      </c>
      <c r="I882" s="22" t="str">
        <f>IF(OR($A882="",E882="",E882&lt;=0,Séries!T881=""),"",E882/Séries!T881-1)</f>
        <v/>
      </c>
      <c r="J882" s="27"/>
      <c r="K882" s="1" t="str">
        <f>IF(COUNTA(A882:E882)=0,"",IF(A882="","Preencha a data",IF(NOT(ISNUMBER(A882)),"Data inválida",IF(OR(A882&lt;36526,A882&gt;73050,A882&lt;&gt;INT(A882)),"Data inválida",IF(A882&lt;=Séries!U881,"Data repetida / fora de ordem",IF(COUNTA(B882:E882)&lt;&gt;COUNT(B882:E882),"Use preços numéricos",IF(OR(AND(ISNUMBER(B882),B882&lt;=0),AND(ISNUMBER(C882),C882&lt;=0),AND(ISNUMBER(D882),D882&lt;=0),AND(ISNUMBER(E882),E882&lt;=0)),"Use preços positivos","")))))))</f>
        <v/>
      </c>
    </row>
    <row r="883" spans="1:11" ht="22.95" customHeight="1">
      <c r="A883" s="28"/>
      <c r="B883" s="29"/>
      <c r="C883" s="29"/>
      <c r="D883" s="29"/>
      <c r="E883" s="30"/>
      <c r="F883" s="22" t="str">
        <f>IF(OR($A883="",B883="",B883&lt;=0,Séries!Q882=""),"",B883/Séries!Q882-1)</f>
        <v/>
      </c>
      <c r="G883" s="22" t="str">
        <f>IF(OR($A883="",C883="",C883&lt;=0,Séries!R882=""),"",C883/Séries!R882-1)</f>
        <v/>
      </c>
      <c r="H883" s="22" t="str">
        <f>IF(OR($A883="",D883="",D883&lt;=0,Séries!S882=""),"",D883/Séries!S882-1)</f>
        <v/>
      </c>
      <c r="I883" s="22" t="str">
        <f>IF(OR($A883="",E883="",E883&lt;=0,Séries!T882=""),"",E883/Séries!T882-1)</f>
        <v/>
      </c>
      <c r="J883" s="27"/>
      <c r="K883" s="1" t="str">
        <f>IF(COUNTA(A883:E883)=0,"",IF(A883="","Preencha a data",IF(NOT(ISNUMBER(A883)),"Data inválida",IF(OR(A883&lt;36526,A883&gt;73050,A883&lt;&gt;INT(A883)),"Data inválida",IF(A883&lt;=Séries!U882,"Data repetida / fora de ordem",IF(COUNTA(B883:E883)&lt;&gt;COUNT(B883:E883),"Use preços numéricos",IF(OR(AND(ISNUMBER(B883),B883&lt;=0),AND(ISNUMBER(C883),C883&lt;=0),AND(ISNUMBER(D883),D883&lt;=0),AND(ISNUMBER(E883),E883&lt;=0)),"Use preços positivos","")))))))</f>
        <v/>
      </c>
    </row>
    <row r="884" spans="1:11" ht="22.95" customHeight="1">
      <c r="A884" s="28"/>
      <c r="B884" s="29"/>
      <c r="C884" s="29"/>
      <c r="D884" s="29"/>
      <c r="E884" s="30"/>
      <c r="F884" s="22" t="str">
        <f>IF(OR($A884="",B884="",B884&lt;=0,Séries!Q883=""),"",B884/Séries!Q883-1)</f>
        <v/>
      </c>
      <c r="G884" s="22" t="str">
        <f>IF(OR($A884="",C884="",C884&lt;=0,Séries!R883=""),"",C884/Séries!R883-1)</f>
        <v/>
      </c>
      <c r="H884" s="22" t="str">
        <f>IF(OR($A884="",D884="",D884&lt;=0,Séries!S883=""),"",D884/Séries!S883-1)</f>
        <v/>
      </c>
      <c r="I884" s="22" t="str">
        <f>IF(OR($A884="",E884="",E884&lt;=0,Séries!T883=""),"",E884/Séries!T883-1)</f>
        <v/>
      </c>
      <c r="J884" s="27"/>
      <c r="K884" s="1" t="str">
        <f>IF(COUNTA(A884:E884)=0,"",IF(A884="","Preencha a data",IF(NOT(ISNUMBER(A884)),"Data inválida",IF(OR(A884&lt;36526,A884&gt;73050,A884&lt;&gt;INT(A884)),"Data inválida",IF(A884&lt;=Séries!U883,"Data repetida / fora de ordem",IF(COUNTA(B884:E884)&lt;&gt;COUNT(B884:E884),"Use preços numéricos",IF(OR(AND(ISNUMBER(B884),B884&lt;=0),AND(ISNUMBER(C884),C884&lt;=0),AND(ISNUMBER(D884),D884&lt;=0),AND(ISNUMBER(E884),E884&lt;=0)),"Use preços positivos","")))))))</f>
        <v/>
      </c>
    </row>
    <row r="885" spans="1:11" ht="22.95" customHeight="1">
      <c r="A885" s="28"/>
      <c r="B885" s="29"/>
      <c r="C885" s="29"/>
      <c r="D885" s="29"/>
      <c r="E885" s="30"/>
      <c r="F885" s="22" t="str">
        <f>IF(OR($A885="",B885="",B885&lt;=0,Séries!Q884=""),"",B885/Séries!Q884-1)</f>
        <v/>
      </c>
      <c r="G885" s="22" t="str">
        <f>IF(OR($A885="",C885="",C885&lt;=0,Séries!R884=""),"",C885/Séries!R884-1)</f>
        <v/>
      </c>
      <c r="H885" s="22" t="str">
        <f>IF(OR($A885="",D885="",D885&lt;=0,Séries!S884=""),"",D885/Séries!S884-1)</f>
        <v/>
      </c>
      <c r="I885" s="22" t="str">
        <f>IF(OR($A885="",E885="",E885&lt;=0,Séries!T884=""),"",E885/Séries!T884-1)</f>
        <v/>
      </c>
      <c r="J885" s="27"/>
      <c r="K885" s="1" t="str">
        <f>IF(COUNTA(A885:E885)=0,"",IF(A885="","Preencha a data",IF(NOT(ISNUMBER(A885)),"Data inválida",IF(OR(A885&lt;36526,A885&gt;73050,A885&lt;&gt;INT(A885)),"Data inválida",IF(A885&lt;=Séries!U884,"Data repetida / fora de ordem",IF(COUNTA(B885:E885)&lt;&gt;COUNT(B885:E885),"Use preços numéricos",IF(OR(AND(ISNUMBER(B885),B885&lt;=0),AND(ISNUMBER(C885),C885&lt;=0),AND(ISNUMBER(D885),D885&lt;=0),AND(ISNUMBER(E885),E885&lt;=0)),"Use preços positivos","")))))))</f>
        <v/>
      </c>
    </row>
    <row r="886" spans="1:11" ht="22.95" customHeight="1">
      <c r="A886" s="28"/>
      <c r="B886" s="29"/>
      <c r="C886" s="29"/>
      <c r="D886" s="29"/>
      <c r="E886" s="30"/>
      <c r="F886" s="22" t="str">
        <f>IF(OR($A886="",B886="",B886&lt;=0,Séries!Q885=""),"",B886/Séries!Q885-1)</f>
        <v/>
      </c>
      <c r="G886" s="22" t="str">
        <f>IF(OR($A886="",C886="",C886&lt;=0,Séries!R885=""),"",C886/Séries!R885-1)</f>
        <v/>
      </c>
      <c r="H886" s="22" t="str">
        <f>IF(OR($A886="",D886="",D886&lt;=0,Séries!S885=""),"",D886/Séries!S885-1)</f>
        <v/>
      </c>
      <c r="I886" s="22" t="str">
        <f>IF(OR($A886="",E886="",E886&lt;=0,Séries!T885=""),"",E886/Séries!T885-1)</f>
        <v/>
      </c>
      <c r="J886" s="27"/>
      <c r="K886" s="1" t="str">
        <f>IF(COUNTA(A886:E886)=0,"",IF(A886="","Preencha a data",IF(NOT(ISNUMBER(A886)),"Data inválida",IF(OR(A886&lt;36526,A886&gt;73050,A886&lt;&gt;INT(A886)),"Data inválida",IF(A886&lt;=Séries!U885,"Data repetida / fora de ordem",IF(COUNTA(B886:E886)&lt;&gt;COUNT(B886:E886),"Use preços numéricos",IF(OR(AND(ISNUMBER(B886),B886&lt;=0),AND(ISNUMBER(C886),C886&lt;=0),AND(ISNUMBER(D886),D886&lt;=0),AND(ISNUMBER(E886),E886&lt;=0)),"Use preços positivos","")))))))</f>
        <v/>
      </c>
    </row>
    <row r="887" spans="1:11" ht="22.95" customHeight="1">
      <c r="A887" s="28"/>
      <c r="B887" s="29"/>
      <c r="C887" s="29"/>
      <c r="D887" s="29"/>
      <c r="E887" s="30"/>
      <c r="F887" s="22" t="str">
        <f>IF(OR($A887="",B887="",B887&lt;=0,Séries!Q886=""),"",B887/Séries!Q886-1)</f>
        <v/>
      </c>
      <c r="G887" s="22" t="str">
        <f>IF(OR($A887="",C887="",C887&lt;=0,Séries!R886=""),"",C887/Séries!R886-1)</f>
        <v/>
      </c>
      <c r="H887" s="22" t="str">
        <f>IF(OR($A887="",D887="",D887&lt;=0,Séries!S886=""),"",D887/Séries!S886-1)</f>
        <v/>
      </c>
      <c r="I887" s="22" t="str">
        <f>IF(OR($A887="",E887="",E887&lt;=0,Séries!T886=""),"",E887/Séries!T886-1)</f>
        <v/>
      </c>
      <c r="J887" s="27"/>
      <c r="K887" s="1" t="str">
        <f>IF(COUNTA(A887:E887)=0,"",IF(A887="","Preencha a data",IF(NOT(ISNUMBER(A887)),"Data inválida",IF(OR(A887&lt;36526,A887&gt;73050,A887&lt;&gt;INT(A887)),"Data inválida",IF(A887&lt;=Séries!U886,"Data repetida / fora de ordem",IF(COUNTA(B887:E887)&lt;&gt;COUNT(B887:E887),"Use preços numéricos",IF(OR(AND(ISNUMBER(B887),B887&lt;=0),AND(ISNUMBER(C887),C887&lt;=0),AND(ISNUMBER(D887),D887&lt;=0),AND(ISNUMBER(E887),E887&lt;=0)),"Use preços positivos","")))))))</f>
        <v/>
      </c>
    </row>
    <row r="888" spans="1:11" ht="22.95" customHeight="1">
      <c r="A888" s="28"/>
      <c r="B888" s="29"/>
      <c r="C888" s="29"/>
      <c r="D888" s="29"/>
      <c r="E888" s="30"/>
      <c r="F888" s="22" t="str">
        <f>IF(OR($A888="",B888="",B888&lt;=0,Séries!Q887=""),"",B888/Séries!Q887-1)</f>
        <v/>
      </c>
      <c r="G888" s="22" t="str">
        <f>IF(OR($A888="",C888="",C888&lt;=0,Séries!R887=""),"",C888/Séries!R887-1)</f>
        <v/>
      </c>
      <c r="H888" s="22" t="str">
        <f>IF(OR($A888="",D888="",D888&lt;=0,Séries!S887=""),"",D888/Séries!S887-1)</f>
        <v/>
      </c>
      <c r="I888" s="22" t="str">
        <f>IF(OR($A888="",E888="",E888&lt;=0,Séries!T887=""),"",E888/Séries!T887-1)</f>
        <v/>
      </c>
      <c r="J888" s="27"/>
      <c r="K888" s="1" t="str">
        <f>IF(COUNTA(A888:E888)=0,"",IF(A888="","Preencha a data",IF(NOT(ISNUMBER(A888)),"Data inválida",IF(OR(A888&lt;36526,A888&gt;73050,A888&lt;&gt;INT(A888)),"Data inválida",IF(A888&lt;=Séries!U887,"Data repetida / fora de ordem",IF(COUNTA(B888:E888)&lt;&gt;COUNT(B888:E888),"Use preços numéricos",IF(OR(AND(ISNUMBER(B888),B888&lt;=0),AND(ISNUMBER(C888),C888&lt;=0),AND(ISNUMBER(D888),D888&lt;=0),AND(ISNUMBER(E888),E888&lt;=0)),"Use preços positivos","")))))))</f>
        <v/>
      </c>
    </row>
    <row r="889" spans="1:11" ht="22.95" customHeight="1">
      <c r="A889" s="28"/>
      <c r="B889" s="29"/>
      <c r="C889" s="29"/>
      <c r="D889" s="29"/>
      <c r="E889" s="30"/>
      <c r="F889" s="22" t="str">
        <f>IF(OR($A889="",B889="",B889&lt;=0,Séries!Q888=""),"",B889/Séries!Q888-1)</f>
        <v/>
      </c>
      <c r="G889" s="22" t="str">
        <f>IF(OR($A889="",C889="",C889&lt;=0,Séries!R888=""),"",C889/Séries!R888-1)</f>
        <v/>
      </c>
      <c r="H889" s="22" t="str">
        <f>IF(OR($A889="",D889="",D889&lt;=0,Séries!S888=""),"",D889/Séries!S888-1)</f>
        <v/>
      </c>
      <c r="I889" s="22" t="str">
        <f>IF(OR($A889="",E889="",E889&lt;=0,Séries!T888=""),"",E889/Séries!T888-1)</f>
        <v/>
      </c>
      <c r="J889" s="27"/>
      <c r="K889" s="1" t="str">
        <f>IF(COUNTA(A889:E889)=0,"",IF(A889="","Preencha a data",IF(NOT(ISNUMBER(A889)),"Data inválida",IF(OR(A889&lt;36526,A889&gt;73050,A889&lt;&gt;INT(A889)),"Data inválida",IF(A889&lt;=Séries!U888,"Data repetida / fora de ordem",IF(COUNTA(B889:E889)&lt;&gt;COUNT(B889:E889),"Use preços numéricos",IF(OR(AND(ISNUMBER(B889),B889&lt;=0),AND(ISNUMBER(C889),C889&lt;=0),AND(ISNUMBER(D889),D889&lt;=0),AND(ISNUMBER(E889),E889&lt;=0)),"Use preços positivos","")))))))</f>
        <v/>
      </c>
    </row>
    <row r="890" spans="1:11" ht="22.95" customHeight="1">
      <c r="A890" s="28"/>
      <c r="B890" s="29"/>
      <c r="C890" s="29"/>
      <c r="D890" s="29"/>
      <c r="E890" s="30"/>
      <c r="F890" s="22" t="str">
        <f>IF(OR($A890="",B890="",B890&lt;=0,Séries!Q889=""),"",B890/Séries!Q889-1)</f>
        <v/>
      </c>
      <c r="G890" s="22" t="str">
        <f>IF(OR($A890="",C890="",C890&lt;=0,Séries!R889=""),"",C890/Séries!R889-1)</f>
        <v/>
      </c>
      <c r="H890" s="22" t="str">
        <f>IF(OR($A890="",D890="",D890&lt;=0,Séries!S889=""),"",D890/Séries!S889-1)</f>
        <v/>
      </c>
      <c r="I890" s="22" t="str">
        <f>IF(OR($A890="",E890="",E890&lt;=0,Séries!T889=""),"",E890/Séries!T889-1)</f>
        <v/>
      </c>
      <c r="J890" s="27"/>
      <c r="K890" s="1" t="str">
        <f>IF(COUNTA(A890:E890)=0,"",IF(A890="","Preencha a data",IF(NOT(ISNUMBER(A890)),"Data inválida",IF(OR(A890&lt;36526,A890&gt;73050,A890&lt;&gt;INT(A890)),"Data inválida",IF(A890&lt;=Séries!U889,"Data repetida / fora de ordem",IF(COUNTA(B890:E890)&lt;&gt;COUNT(B890:E890),"Use preços numéricos",IF(OR(AND(ISNUMBER(B890),B890&lt;=0),AND(ISNUMBER(C890),C890&lt;=0),AND(ISNUMBER(D890),D890&lt;=0),AND(ISNUMBER(E890),E890&lt;=0)),"Use preços positivos","")))))))</f>
        <v/>
      </c>
    </row>
    <row r="891" spans="1:11" ht="22.95" customHeight="1">
      <c r="A891" s="28"/>
      <c r="B891" s="29"/>
      <c r="C891" s="29"/>
      <c r="D891" s="29"/>
      <c r="E891" s="30"/>
      <c r="F891" s="22" t="str">
        <f>IF(OR($A891="",B891="",B891&lt;=0,Séries!Q890=""),"",B891/Séries!Q890-1)</f>
        <v/>
      </c>
      <c r="G891" s="22" t="str">
        <f>IF(OR($A891="",C891="",C891&lt;=0,Séries!R890=""),"",C891/Séries!R890-1)</f>
        <v/>
      </c>
      <c r="H891" s="22" t="str">
        <f>IF(OR($A891="",D891="",D891&lt;=0,Séries!S890=""),"",D891/Séries!S890-1)</f>
        <v/>
      </c>
      <c r="I891" s="22" t="str">
        <f>IF(OR($A891="",E891="",E891&lt;=0,Séries!T890=""),"",E891/Séries!T890-1)</f>
        <v/>
      </c>
      <c r="J891" s="27"/>
      <c r="K891" s="1" t="str">
        <f>IF(COUNTA(A891:E891)=0,"",IF(A891="","Preencha a data",IF(NOT(ISNUMBER(A891)),"Data inválida",IF(OR(A891&lt;36526,A891&gt;73050,A891&lt;&gt;INT(A891)),"Data inválida",IF(A891&lt;=Séries!U890,"Data repetida / fora de ordem",IF(COUNTA(B891:E891)&lt;&gt;COUNT(B891:E891),"Use preços numéricos",IF(OR(AND(ISNUMBER(B891),B891&lt;=0),AND(ISNUMBER(C891),C891&lt;=0),AND(ISNUMBER(D891),D891&lt;=0),AND(ISNUMBER(E891),E891&lt;=0)),"Use preços positivos","")))))))</f>
        <v/>
      </c>
    </row>
    <row r="892" spans="1:11" ht="22.95" customHeight="1">
      <c r="A892" s="28"/>
      <c r="B892" s="29"/>
      <c r="C892" s="29"/>
      <c r="D892" s="29"/>
      <c r="E892" s="30"/>
      <c r="F892" s="22" t="str">
        <f>IF(OR($A892="",B892="",B892&lt;=0,Séries!Q891=""),"",B892/Séries!Q891-1)</f>
        <v/>
      </c>
      <c r="G892" s="22" t="str">
        <f>IF(OR($A892="",C892="",C892&lt;=0,Séries!R891=""),"",C892/Séries!R891-1)</f>
        <v/>
      </c>
      <c r="H892" s="22" t="str">
        <f>IF(OR($A892="",D892="",D892&lt;=0,Séries!S891=""),"",D892/Séries!S891-1)</f>
        <v/>
      </c>
      <c r="I892" s="22" t="str">
        <f>IF(OR($A892="",E892="",E892&lt;=0,Séries!T891=""),"",E892/Séries!T891-1)</f>
        <v/>
      </c>
      <c r="J892" s="27"/>
      <c r="K892" s="1" t="str">
        <f>IF(COUNTA(A892:E892)=0,"",IF(A892="","Preencha a data",IF(NOT(ISNUMBER(A892)),"Data inválida",IF(OR(A892&lt;36526,A892&gt;73050,A892&lt;&gt;INT(A892)),"Data inválida",IF(A892&lt;=Séries!U891,"Data repetida / fora de ordem",IF(COUNTA(B892:E892)&lt;&gt;COUNT(B892:E892),"Use preços numéricos",IF(OR(AND(ISNUMBER(B892),B892&lt;=0),AND(ISNUMBER(C892),C892&lt;=0),AND(ISNUMBER(D892),D892&lt;=0),AND(ISNUMBER(E892),E892&lt;=0)),"Use preços positivos","")))))))</f>
        <v/>
      </c>
    </row>
    <row r="893" spans="1:11" ht="22.95" customHeight="1">
      <c r="A893" s="28"/>
      <c r="B893" s="29"/>
      <c r="C893" s="29"/>
      <c r="D893" s="29"/>
      <c r="E893" s="30"/>
      <c r="F893" s="22" t="str">
        <f>IF(OR($A893="",B893="",B893&lt;=0,Séries!Q892=""),"",B893/Séries!Q892-1)</f>
        <v/>
      </c>
      <c r="G893" s="22" t="str">
        <f>IF(OR($A893="",C893="",C893&lt;=0,Séries!R892=""),"",C893/Séries!R892-1)</f>
        <v/>
      </c>
      <c r="H893" s="22" t="str">
        <f>IF(OR($A893="",D893="",D893&lt;=0,Séries!S892=""),"",D893/Séries!S892-1)</f>
        <v/>
      </c>
      <c r="I893" s="22" t="str">
        <f>IF(OR($A893="",E893="",E893&lt;=0,Séries!T892=""),"",E893/Séries!T892-1)</f>
        <v/>
      </c>
      <c r="J893" s="27"/>
      <c r="K893" s="1" t="str">
        <f>IF(COUNTA(A893:E893)=0,"",IF(A893="","Preencha a data",IF(NOT(ISNUMBER(A893)),"Data inválida",IF(OR(A893&lt;36526,A893&gt;73050,A893&lt;&gt;INT(A893)),"Data inválida",IF(A893&lt;=Séries!U892,"Data repetida / fora de ordem",IF(COUNTA(B893:E893)&lt;&gt;COUNT(B893:E893),"Use preços numéricos",IF(OR(AND(ISNUMBER(B893),B893&lt;=0),AND(ISNUMBER(C893),C893&lt;=0),AND(ISNUMBER(D893),D893&lt;=0),AND(ISNUMBER(E893),E893&lt;=0)),"Use preços positivos","")))))))</f>
        <v/>
      </c>
    </row>
    <row r="894" spans="1:11" ht="22.95" customHeight="1">
      <c r="A894" s="28"/>
      <c r="B894" s="29"/>
      <c r="C894" s="29"/>
      <c r="D894" s="29"/>
      <c r="E894" s="30"/>
      <c r="F894" s="22" t="str">
        <f>IF(OR($A894="",B894="",B894&lt;=0,Séries!Q893=""),"",B894/Séries!Q893-1)</f>
        <v/>
      </c>
      <c r="G894" s="22" t="str">
        <f>IF(OR($A894="",C894="",C894&lt;=0,Séries!R893=""),"",C894/Séries!R893-1)</f>
        <v/>
      </c>
      <c r="H894" s="22" t="str">
        <f>IF(OR($A894="",D894="",D894&lt;=0,Séries!S893=""),"",D894/Séries!S893-1)</f>
        <v/>
      </c>
      <c r="I894" s="22" t="str">
        <f>IF(OR($A894="",E894="",E894&lt;=0,Séries!T893=""),"",E894/Séries!T893-1)</f>
        <v/>
      </c>
      <c r="J894" s="27"/>
      <c r="K894" s="1" t="str">
        <f>IF(COUNTA(A894:E894)=0,"",IF(A894="","Preencha a data",IF(NOT(ISNUMBER(A894)),"Data inválida",IF(OR(A894&lt;36526,A894&gt;73050,A894&lt;&gt;INT(A894)),"Data inválida",IF(A894&lt;=Séries!U893,"Data repetida / fora de ordem",IF(COUNTA(B894:E894)&lt;&gt;COUNT(B894:E894),"Use preços numéricos",IF(OR(AND(ISNUMBER(B894),B894&lt;=0),AND(ISNUMBER(C894),C894&lt;=0),AND(ISNUMBER(D894),D894&lt;=0),AND(ISNUMBER(E894),E894&lt;=0)),"Use preços positivos","")))))))</f>
        <v/>
      </c>
    </row>
    <row r="895" spans="1:11" ht="22.95" customHeight="1">
      <c r="A895" s="28"/>
      <c r="B895" s="29"/>
      <c r="C895" s="29"/>
      <c r="D895" s="29"/>
      <c r="E895" s="30"/>
      <c r="F895" s="22" t="str">
        <f>IF(OR($A895="",B895="",B895&lt;=0,Séries!Q894=""),"",B895/Séries!Q894-1)</f>
        <v/>
      </c>
      <c r="G895" s="22" t="str">
        <f>IF(OR($A895="",C895="",C895&lt;=0,Séries!R894=""),"",C895/Séries!R894-1)</f>
        <v/>
      </c>
      <c r="H895" s="22" t="str">
        <f>IF(OR($A895="",D895="",D895&lt;=0,Séries!S894=""),"",D895/Séries!S894-1)</f>
        <v/>
      </c>
      <c r="I895" s="22" t="str">
        <f>IF(OR($A895="",E895="",E895&lt;=0,Séries!T894=""),"",E895/Séries!T894-1)</f>
        <v/>
      </c>
      <c r="J895" s="27"/>
      <c r="K895" s="1" t="str">
        <f>IF(COUNTA(A895:E895)=0,"",IF(A895="","Preencha a data",IF(NOT(ISNUMBER(A895)),"Data inválida",IF(OR(A895&lt;36526,A895&gt;73050,A895&lt;&gt;INT(A895)),"Data inválida",IF(A895&lt;=Séries!U894,"Data repetida / fora de ordem",IF(COUNTA(B895:E895)&lt;&gt;COUNT(B895:E895),"Use preços numéricos",IF(OR(AND(ISNUMBER(B895),B895&lt;=0),AND(ISNUMBER(C895),C895&lt;=0),AND(ISNUMBER(D895),D895&lt;=0),AND(ISNUMBER(E895),E895&lt;=0)),"Use preços positivos","")))))))</f>
        <v/>
      </c>
    </row>
    <row r="896" spans="1:11" ht="22.95" customHeight="1">
      <c r="A896" s="28"/>
      <c r="B896" s="29"/>
      <c r="C896" s="29"/>
      <c r="D896" s="29"/>
      <c r="E896" s="30"/>
      <c r="F896" s="22" t="str">
        <f>IF(OR($A896="",B896="",B896&lt;=0,Séries!Q895=""),"",B896/Séries!Q895-1)</f>
        <v/>
      </c>
      <c r="G896" s="22" t="str">
        <f>IF(OR($A896="",C896="",C896&lt;=0,Séries!R895=""),"",C896/Séries!R895-1)</f>
        <v/>
      </c>
      <c r="H896" s="22" t="str">
        <f>IF(OR($A896="",D896="",D896&lt;=0,Séries!S895=""),"",D896/Séries!S895-1)</f>
        <v/>
      </c>
      <c r="I896" s="22" t="str">
        <f>IF(OR($A896="",E896="",E896&lt;=0,Séries!T895=""),"",E896/Séries!T895-1)</f>
        <v/>
      </c>
      <c r="J896" s="27"/>
      <c r="K896" s="1" t="str">
        <f>IF(COUNTA(A896:E896)=0,"",IF(A896="","Preencha a data",IF(NOT(ISNUMBER(A896)),"Data inválida",IF(OR(A896&lt;36526,A896&gt;73050,A896&lt;&gt;INT(A896)),"Data inválida",IF(A896&lt;=Séries!U895,"Data repetida / fora de ordem",IF(COUNTA(B896:E896)&lt;&gt;COUNT(B896:E896),"Use preços numéricos",IF(OR(AND(ISNUMBER(B896),B896&lt;=0),AND(ISNUMBER(C896),C896&lt;=0),AND(ISNUMBER(D896),D896&lt;=0),AND(ISNUMBER(E896),E896&lt;=0)),"Use preços positivos","")))))))</f>
        <v/>
      </c>
    </row>
    <row r="897" spans="1:11" ht="22.95" customHeight="1">
      <c r="A897" s="28"/>
      <c r="B897" s="29"/>
      <c r="C897" s="29"/>
      <c r="D897" s="29"/>
      <c r="E897" s="30"/>
      <c r="F897" s="22" t="str">
        <f>IF(OR($A897="",B897="",B897&lt;=0,Séries!Q896=""),"",B897/Séries!Q896-1)</f>
        <v/>
      </c>
      <c r="G897" s="22" t="str">
        <f>IF(OR($A897="",C897="",C897&lt;=0,Séries!R896=""),"",C897/Séries!R896-1)</f>
        <v/>
      </c>
      <c r="H897" s="22" t="str">
        <f>IF(OR($A897="",D897="",D897&lt;=0,Séries!S896=""),"",D897/Séries!S896-1)</f>
        <v/>
      </c>
      <c r="I897" s="22" t="str">
        <f>IF(OR($A897="",E897="",E897&lt;=0,Séries!T896=""),"",E897/Séries!T896-1)</f>
        <v/>
      </c>
      <c r="J897" s="27"/>
      <c r="K897" s="1" t="str">
        <f>IF(COUNTA(A897:E897)=0,"",IF(A897="","Preencha a data",IF(NOT(ISNUMBER(A897)),"Data inválida",IF(OR(A897&lt;36526,A897&gt;73050,A897&lt;&gt;INT(A897)),"Data inválida",IF(A897&lt;=Séries!U896,"Data repetida / fora de ordem",IF(COUNTA(B897:E897)&lt;&gt;COUNT(B897:E897),"Use preços numéricos",IF(OR(AND(ISNUMBER(B897),B897&lt;=0),AND(ISNUMBER(C897),C897&lt;=0),AND(ISNUMBER(D897),D897&lt;=0),AND(ISNUMBER(E897),E897&lt;=0)),"Use preços positivos","")))))))</f>
        <v/>
      </c>
    </row>
    <row r="898" spans="1:11" ht="22.95" customHeight="1">
      <c r="A898" s="28"/>
      <c r="B898" s="29"/>
      <c r="C898" s="29"/>
      <c r="D898" s="29"/>
      <c r="E898" s="30"/>
      <c r="F898" s="22" t="str">
        <f>IF(OR($A898="",B898="",B898&lt;=0,Séries!Q897=""),"",B898/Séries!Q897-1)</f>
        <v/>
      </c>
      <c r="G898" s="22" t="str">
        <f>IF(OR($A898="",C898="",C898&lt;=0,Séries!R897=""),"",C898/Séries!R897-1)</f>
        <v/>
      </c>
      <c r="H898" s="22" t="str">
        <f>IF(OR($A898="",D898="",D898&lt;=0,Séries!S897=""),"",D898/Séries!S897-1)</f>
        <v/>
      </c>
      <c r="I898" s="22" t="str">
        <f>IF(OR($A898="",E898="",E898&lt;=0,Séries!T897=""),"",E898/Séries!T897-1)</f>
        <v/>
      </c>
      <c r="J898" s="27"/>
      <c r="K898" s="1" t="str">
        <f>IF(COUNTA(A898:E898)=0,"",IF(A898="","Preencha a data",IF(NOT(ISNUMBER(A898)),"Data inválida",IF(OR(A898&lt;36526,A898&gt;73050,A898&lt;&gt;INT(A898)),"Data inválida",IF(A898&lt;=Séries!U897,"Data repetida / fora de ordem",IF(COUNTA(B898:E898)&lt;&gt;COUNT(B898:E898),"Use preços numéricos",IF(OR(AND(ISNUMBER(B898),B898&lt;=0),AND(ISNUMBER(C898),C898&lt;=0),AND(ISNUMBER(D898),D898&lt;=0),AND(ISNUMBER(E898),E898&lt;=0)),"Use preços positivos","")))))))</f>
        <v/>
      </c>
    </row>
    <row r="899" spans="1:11" ht="22.95" customHeight="1">
      <c r="A899" s="28"/>
      <c r="B899" s="29"/>
      <c r="C899" s="29"/>
      <c r="D899" s="29"/>
      <c r="E899" s="30"/>
      <c r="F899" s="22" t="str">
        <f>IF(OR($A899="",B899="",B899&lt;=0,Séries!Q898=""),"",B899/Séries!Q898-1)</f>
        <v/>
      </c>
      <c r="G899" s="22" t="str">
        <f>IF(OR($A899="",C899="",C899&lt;=0,Séries!R898=""),"",C899/Séries!R898-1)</f>
        <v/>
      </c>
      <c r="H899" s="22" t="str">
        <f>IF(OR($A899="",D899="",D899&lt;=0,Séries!S898=""),"",D899/Séries!S898-1)</f>
        <v/>
      </c>
      <c r="I899" s="22" t="str">
        <f>IF(OR($A899="",E899="",E899&lt;=0,Séries!T898=""),"",E899/Séries!T898-1)</f>
        <v/>
      </c>
      <c r="J899" s="27"/>
      <c r="K899" s="1" t="str">
        <f>IF(COUNTA(A899:E899)=0,"",IF(A899="","Preencha a data",IF(NOT(ISNUMBER(A899)),"Data inválida",IF(OR(A899&lt;36526,A899&gt;73050,A899&lt;&gt;INT(A899)),"Data inválida",IF(A899&lt;=Séries!U898,"Data repetida / fora de ordem",IF(COUNTA(B899:E899)&lt;&gt;COUNT(B899:E899),"Use preços numéricos",IF(OR(AND(ISNUMBER(B899),B899&lt;=0),AND(ISNUMBER(C899),C899&lt;=0),AND(ISNUMBER(D899),D899&lt;=0),AND(ISNUMBER(E899),E899&lt;=0)),"Use preços positivos","")))))))</f>
        <v/>
      </c>
    </row>
    <row r="900" spans="1:11" ht="22.95" customHeight="1">
      <c r="A900" s="28"/>
      <c r="B900" s="29"/>
      <c r="C900" s="29"/>
      <c r="D900" s="29"/>
      <c r="E900" s="30"/>
      <c r="F900" s="22" t="str">
        <f>IF(OR($A900="",B900="",B900&lt;=0,Séries!Q899=""),"",B900/Séries!Q899-1)</f>
        <v/>
      </c>
      <c r="G900" s="22" t="str">
        <f>IF(OR($A900="",C900="",C900&lt;=0,Séries!R899=""),"",C900/Séries!R899-1)</f>
        <v/>
      </c>
      <c r="H900" s="22" t="str">
        <f>IF(OR($A900="",D900="",D900&lt;=0,Séries!S899=""),"",D900/Séries!S899-1)</f>
        <v/>
      </c>
      <c r="I900" s="22" t="str">
        <f>IF(OR($A900="",E900="",E900&lt;=0,Séries!T899=""),"",E900/Séries!T899-1)</f>
        <v/>
      </c>
      <c r="J900" s="27"/>
      <c r="K900" s="1" t="str">
        <f>IF(COUNTA(A900:E900)=0,"",IF(A900="","Preencha a data",IF(NOT(ISNUMBER(A900)),"Data inválida",IF(OR(A900&lt;36526,A900&gt;73050,A900&lt;&gt;INT(A900)),"Data inválida",IF(A900&lt;=Séries!U899,"Data repetida / fora de ordem",IF(COUNTA(B900:E900)&lt;&gt;COUNT(B900:E900),"Use preços numéricos",IF(OR(AND(ISNUMBER(B900),B900&lt;=0),AND(ISNUMBER(C900),C900&lt;=0),AND(ISNUMBER(D900),D900&lt;=0),AND(ISNUMBER(E900),E900&lt;=0)),"Use preços positivos","")))))))</f>
        <v/>
      </c>
    </row>
    <row r="901" spans="1:11" ht="22.95" customHeight="1">
      <c r="A901" s="28"/>
      <c r="B901" s="29"/>
      <c r="C901" s="29"/>
      <c r="D901" s="29"/>
      <c r="E901" s="30"/>
      <c r="F901" s="22" t="str">
        <f>IF(OR($A901="",B901="",B901&lt;=0,Séries!Q900=""),"",B901/Séries!Q900-1)</f>
        <v/>
      </c>
      <c r="G901" s="22" t="str">
        <f>IF(OR($A901="",C901="",C901&lt;=0,Séries!R900=""),"",C901/Séries!R900-1)</f>
        <v/>
      </c>
      <c r="H901" s="22" t="str">
        <f>IF(OR($A901="",D901="",D901&lt;=0,Séries!S900=""),"",D901/Séries!S900-1)</f>
        <v/>
      </c>
      <c r="I901" s="22" t="str">
        <f>IF(OR($A901="",E901="",E901&lt;=0,Séries!T900=""),"",E901/Séries!T900-1)</f>
        <v/>
      </c>
      <c r="J901" s="27"/>
      <c r="K901" s="1" t="str">
        <f>IF(COUNTA(A901:E901)=0,"",IF(A901="","Preencha a data",IF(NOT(ISNUMBER(A901)),"Data inválida",IF(OR(A901&lt;36526,A901&gt;73050,A901&lt;&gt;INT(A901)),"Data inválida",IF(A901&lt;=Séries!U900,"Data repetida / fora de ordem",IF(COUNTA(B901:E901)&lt;&gt;COUNT(B901:E901),"Use preços numéricos",IF(OR(AND(ISNUMBER(B901),B901&lt;=0),AND(ISNUMBER(C901),C901&lt;=0),AND(ISNUMBER(D901),D901&lt;=0),AND(ISNUMBER(E901),E901&lt;=0)),"Use preços positivos","")))))))</f>
        <v/>
      </c>
    </row>
    <row r="902" spans="1:11" ht="22.95" customHeight="1">
      <c r="A902" s="28"/>
      <c r="B902" s="29"/>
      <c r="C902" s="29"/>
      <c r="D902" s="29"/>
      <c r="E902" s="30"/>
      <c r="F902" s="22" t="str">
        <f>IF(OR($A902="",B902="",B902&lt;=0,Séries!Q901=""),"",B902/Séries!Q901-1)</f>
        <v/>
      </c>
      <c r="G902" s="22" t="str">
        <f>IF(OR($A902="",C902="",C902&lt;=0,Séries!R901=""),"",C902/Séries!R901-1)</f>
        <v/>
      </c>
      <c r="H902" s="22" t="str">
        <f>IF(OR($A902="",D902="",D902&lt;=0,Séries!S901=""),"",D902/Séries!S901-1)</f>
        <v/>
      </c>
      <c r="I902" s="22" t="str">
        <f>IF(OR($A902="",E902="",E902&lt;=0,Séries!T901=""),"",E902/Séries!T901-1)</f>
        <v/>
      </c>
      <c r="J902" s="27"/>
      <c r="K902" s="1" t="str">
        <f>IF(COUNTA(A902:E902)=0,"",IF(A902="","Preencha a data",IF(NOT(ISNUMBER(A902)),"Data inválida",IF(OR(A902&lt;36526,A902&gt;73050,A902&lt;&gt;INT(A902)),"Data inválida",IF(A902&lt;=Séries!U901,"Data repetida / fora de ordem",IF(COUNTA(B902:E902)&lt;&gt;COUNT(B902:E902),"Use preços numéricos",IF(OR(AND(ISNUMBER(B902),B902&lt;=0),AND(ISNUMBER(C902),C902&lt;=0),AND(ISNUMBER(D902),D902&lt;=0),AND(ISNUMBER(E902),E902&lt;=0)),"Use preços positivos","")))))))</f>
        <v/>
      </c>
    </row>
    <row r="903" spans="1:11" ht="22.95" customHeight="1">
      <c r="A903" s="28"/>
      <c r="B903" s="29"/>
      <c r="C903" s="29"/>
      <c r="D903" s="29"/>
      <c r="E903" s="30"/>
      <c r="F903" s="22" t="str">
        <f>IF(OR($A903="",B903="",B903&lt;=0,Séries!Q902=""),"",B903/Séries!Q902-1)</f>
        <v/>
      </c>
      <c r="G903" s="22" t="str">
        <f>IF(OR($A903="",C903="",C903&lt;=0,Séries!R902=""),"",C903/Séries!R902-1)</f>
        <v/>
      </c>
      <c r="H903" s="22" t="str">
        <f>IF(OR($A903="",D903="",D903&lt;=0,Séries!S902=""),"",D903/Séries!S902-1)</f>
        <v/>
      </c>
      <c r="I903" s="22" t="str">
        <f>IF(OR($A903="",E903="",E903&lt;=0,Séries!T902=""),"",E903/Séries!T902-1)</f>
        <v/>
      </c>
      <c r="J903" s="27"/>
      <c r="K903" s="1" t="str">
        <f>IF(COUNTA(A903:E903)=0,"",IF(A903="","Preencha a data",IF(NOT(ISNUMBER(A903)),"Data inválida",IF(OR(A903&lt;36526,A903&gt;73050,A903&lt;&gt;INT(A903)),"Data inválida",IF(A903&lt;=Séries!U902,"Data repetida / fora de ordem",IF(COUNTA(B903:E903)&lt;&gt;COUNT(B903:E903),"Use preços numéricos",IF(OR(AND(ISNUMBER(B903),B903&lt;=0),AND(ISNUMBER(C903),C903&lt;=0),AND(ISNUMBER(D903),D903&lt;=0),AND(ISNUMBER(E903),E903&lt;=0)),"Use preços positivos","")))))))</f>
        <v/>
      </c>
    </row>
    <row r="904" spans="1:11" ht="22.95" customHeight="1">
      <c r="A904" s="28"/>
      <c r="B904" s="29"/>
      <c r="C904" s="29"/>
      <c r="D904" s="29"/>
      <c r="E904" s="30"/>
      <c r="F904" s="22" t="str">
        <f>IF(OR($A904="",B904="",B904&lt;=0,Séries!Q903=""),"",B904/Séries!Q903-1)</f>
        <v/>
      </c>
      <c r="G904" s="22" t="str">
        <f>IF(OR($A904="",C904="",C904&lt;=0,Séries!R903=""),"",C904/Séries!R903-1)</f>
        <v/>
      </c>
      <c r="H904" s="22" t="str">
        <f>IF(OR($A904="",D904="",D904&lt;=0,Séries!S903=""),"",D904/Séries!S903-1)</f>
        <v/>
      </c>
      <c r="I904" s="22" t="str">
        <f>IF(OR($A904="",E904="",E904&lt;=0,Séries!T903=""),"",E904/Séries!T903-1)</f>
        <v/>
      </c>
      <c r="J904" s="27"/>
      <c r="K904" s="1" t="str">
        <f>IF(COUNTA(A904:E904)=0,"",IF(A904="","Preencha a data",IF(NOT(ISNUMBER(A904)),"Data inválida",IF(OR(A904&lt;36526,A904&gt;73050,A904&lt;&gt;INT(A904)),"Data inválida",IF(A904&lt;=Séries!U903,"Data repetida / fora de ordem",IF(COUNTA(B904:E904)&lt;&gt;COUNT(B904:E904),"Use preços numéricos",IF(OR(AND(ISNUMBER(B904),B904&lt;=0),AND(ISNUMBER(C904),C904&lt;=0),AND(ISNUMBER(D904),D904&lt;=0),AND(ISNUMBER(E904),E904&lt;=0)),"Use preços positivos","")))))))</f>
        <v/>
      </c>
    </row>
    <row r="905" spans="1:11" ht="22.95" customHeight="1">
      <c r="A905" s="28"/>
      <c r="B905" s="29"/>
      <c r="C905" s="29"/>
      <c r="D905" s="29"/>
      <c r="E905" s="30"/>
      <c r="F905" s="22" t="str">
        <f>IF(OR($A905="",B905="",B905&lt;=0,Séries!Q904=""),"",B905/Séries!Q904-1)</f>
        <v/>
      </c>
      <c r="G905" s="22" t="str">
        <f>IF(OR($A905="",C905="",C905&lt;=0,Séries!R904=""),"",C905/Séries!R904-1)</f>
        <v/>
      </c>
      <c r="H905" s="22" t="str">
        <f>IF(OR($A905="",D905="",D905&lt;=0,Séries!S904=""),"",D905/Séries!S904-1)</f>
        <v/>
      </c>
      <c r="I905" s="22" t="str">
        <f>IF(OR($A905="",E905="",E905&lt;=0,Séries!T904=""),"",E905/Séries!T904-1)</f>
        <v/>
      </c>
      <c r="J905" s="27"/>
      <c r="K905" s="1" t="str">
        <f>IF(COUNTA(A905:E905)=0,"",IF(A905="","Preencha a data",IF(NOT(ISNUMBER(A905)),"Data inválida",IF(OR(A905&lt;36526,A905&gt;73050,A905&lt;&gt;INT(A905)),"Data inválida",IF(A905&lt;=Séries!U904,"Data repetida / fora de ordem",IF(COUNTA(B905:E905)&lt;&gt;COUNT(B905:E905),"Use preços numéricos",IF(OR(AND(ISNUMBER(B905),B905&lt;=0),AND(ISNUMBER(C905),C905&lt;=0),AND(ISNUMBER(D905),D905&lt;=0),AND(ISNUMBER(E905),E905&lt;=0)),"Use preços positivos","")))))))</f>
        <v/>
      </c>
    </row>
    <row r="906" spans="1:11" ht="22.95" customHeight="1">
      <c r="A906" s="28"/>
      <c r="B906" s="29"/>
      <c r="C906" s="29"/>
      <c r="D906" s="29"/>
      <c r="E906" s="30"/>
      <c r="F906" s="22" t="str">
        <f>IF(OR($A906="",B906="",B906&lt;=0,Séries!Q905=""),"",B906/Séries!Q905-1)</f>
        <v/>
      </c>
      <c r="G906" s="22" t="str">
        <f>IF(OR($A906="",C906="",C906&lt;=0,Séries!R905=""),"",C906/Séries!R905-1)</f>
        <v/>
      </c>
      <c r="H906" s="22" t="str">
        <f>IF(OR($A906="",D906="",D906&lt;=0,Séries!S905=""),"",D906/Séries!S905-1)</f>
        <v/>
      </c>
      <c r="I906" s="22" t="str">
        <f>IF(OR($A906="",E906="",E906&lt;=0,Séries!T905=""),"",E906/Séries!T905-1)</f>
        <v/>
      </c>
      <c r="J906" s="27"/>
      <c r="K906" s="1" t="str">
        <f>IF(COUNTA(A906:E906)=0,"",IF(A906="","Preencha a data",IF(NOT(ISNUMBER(A906)),"Data inválida",IF(OR(A906&lt;36526,A906&gt;73050,A906&lt;&gt;INT(A906)),"Data inválida",IF(A906&lt;=Séries!U905,"Data repetida / fora de ordem",IF(COUNTA(B906:E906)&lt;&gt;COUNT(B906:E906),"Use preços numéricos",IF(OR(AND(ISNUMBER(B906),B906&lt;=0),AND(ISNUMBER(C906),C906&lt;=0),AND(ISNUMBER(D906),D906&lt;=0),AND(ISNUMBER(E906),E906&lt;=0)),"Use preços positivos","")))))))</f>
        <v/>
      </c>
    </row>
    <row r="907" spans="1:11" ht="22.95" customHeight="1">
      <c r="A907" s="28"/>
      <c r="B907" s="29"/>
      <c r="C907" s="29"/>
      <c r="D907" s="29"/>
      <c r="E907" s="30"/>
      <c r="F907" s="22" t="str">
        <f>IF(OR($A907="",B907="",B907&lt;=0,Séries!Q906=""),"",B907/Séries!Q906-1)</f>
        <v/>
      </c>
      <c r="G907" s="22" t="str">
        <f>IF(OR($A907="",C907="",C907&lt;=0,Séries!R906=""),"",C907/Séries!R906-1)</f>
        <v/>
      </c>
      <c r="H907" s="22" t="str">
        <f>IF(OR($A907="",D907="",D907&lt;=0,Séries!S906=""),"",D907/Séries!S906-1)</f>
        <v/>
      </c>
      <c r="I907" s="22" t="str">
        <f>IF(OR($A907="",E907="",E907&lt;=0,Séries!T906=""),"",E907/Séries!T906-1)</f>
        <v/>
      </c>
      <c r="J907" s="27"/>
      <c r="K907" s="1" t="str">
        <f>IF(COUNTA(A907:E907)=0,"",IF(A907="","Preencha a data",IF(NOT(ISNUMBER(A907)),"Data inválida",IF(OR(A907&lt;36526,A907&gt;73050,A907&lt;&gt;INT(A907)),"Data inválida",IF(A907&lt;=Séries!U906,"Data repetida / fora de ordem",IF(COUNTA(B907:E907)&lt;&gt;COUNT(B907:E907),"Use preços numéricos",IF(OR(AND(ISNUMBER(B907),B907&lt;=0),AND(ISNUMBER(C907),C907&lt;=0),AND(ISNUMBER(D907),D907&lt;=0),AND(ISNUMBER(E907),E907&lt;=0)),"Use preços positivos","")))))))</f>
        <v/>
      </c>
    </row>
    <row r="908" spans="1:11" ht="22.95" customHeight="1">
      <c r="A908" s="28"/>
      <c r="B908" s="29"/>
      <c r="C908" s="29"/>
      <c r="D908" s="29"/>
      <c r="E908" s="30"/>
      <c r="F908" s="22" t="str">
        <f>IF(OR($A908="",B908="",B908&lt;=0,Séries!Q907=""),"",B908/Séries!Q907-1)</f>
        <v/>
      </c>
      <c r="G908" s="22" t="str">
        <f>IF(OR($A908="",C908="",C908&lt;=0,Séries!R907=""),"",C908/Séries!R907-1)</f>
        <v/>
      </c>
      <c r="H908" s="22" t="str">
        <f>IF(OR($A908="",D908="",D908&lt;=0,Séries!S907=""),"",D908/Séries!S907-1)</f>
        <v/>
      </c>
      <c r="I908" s="22" t="str">
        <f>IF(OR($A908="",E908="",E908&lt;=0,Séries!T907=""),"",E908/Séries!T907-1)</f>
        <v/>
      </c>
      <c r="J908" s="27"/>
      <c r="K908" s="1" t="str">
        <f>IF(COUNTA(A908:E908)=0,"",IF(A908="","Preencha a data",IF(NOT(ISNUMBER(A908)),"Data inválida",IF(OR(A908&lt;36526,A908&gt;73050,A908&lt;&gt;INT(A908)),"Data inválida",IF(A908&lt;=Séries!U907,"Data repetida / fora de ordem",IF(COUNTA(B908:E908)&lt;&gt;COUNT(B908:E908),"Use preços numéricos",IF(OR(AND(ISNUMBER(B908),B908&lt;=0),AND(ISNUMBER(C908),C908&lt;=0),AND(ISNUMBER(D908),D908&lt;=0),AND(ISNUMBER(E908),E908&lt;=0)),"Use preços positivos","")))))))</f>
        <v/>
      </c>
    </row>
    <row r="909" spans="1:11" ht="22.95" customHeight="1">
      <c r="A909" s="28"/>
      <c r="B909" s="29"/>
      <c r="C909" s="29"/>
      <c r="D909" s="29"/>
      <c r="E909" s="30"/>
      <c r="F909" s="22" t="str">
        <f>IF(OR($A909="",B909="",B909&lt;=0,Séries!Q908=""),"",B909/Séries!Q908-1)</f>
        <v/>
      </c>
      <c r="G909" s="22" t="str">
        <f>IF(OR($A909="",C909="",C909&lt;=0,Séries!R908=""),"",C909/Séries!R908-1)</f>
        <v/>
      </c>
      <c r="H909" s="22" t="str">
        <f>IF(OR($A909="",D909="",D909&lt;=0,Séries!S908=""),"",D909/Séries!S908-1)</f>
        <v/>
      </c>
      <c r="I909" s="22" t="str">
        <f>IF(OR($A909="",E909="",E909&lt;=0,Séries!T908=""),"",E909/Séries!T908-1)</f>
        <v/>
      </c>
      <c r="J909" s="27"/>
      <c r="K909" s="1" t="str">
        <f>IF(COUNTA(A909:E909)=0,"",IF(A909="","Preencha a data",IF(NOT(ISNUMBER(A909)),"Data inválida",IF(OR(A909&lt;36526,A909&gt;73050,A909&lt;&gt;INT(A909)),"Data inválida",IF(A909&lt;=Séries!U908,"Data repetida / fora de ordem",IF(COUNTA(B909:E909)&lt;&gt;COUNT(B909:E909),"Use preços numéricos",IF(OR(AND(ISNUMBER(B909),B909&lt;=0),AND(ISNUMBER(C909),C909&lt;=0),AND(ISNUMBER(D909),D909&lt;=0),AND(ISNUMBER(E909),E909&lt;=0)),"Use preços positivos","")))))))</f>
        <v/>
      </c>
    </row>
    <row r="910" spans="1:11" ht="22.95" customHeight="1">
      <c r="A910" s="28"/>
      <c r="B910" s="29"/>
      <c r="C910" s="29"/>
      <c r="D910" s="29"/>
      <c r="E910" s="30"/>
      <c r="F910" s="22" t="str">
        <f>IF(OR($A910="",B910="",B910&lt;=0,Séries!Q909=""),"",B910/Séries!Q909-1)</f>
        <v/>
      </c>
      <c r="G910" s="22" t="str">
        <f>IF(OR($A910="",C910="",C910&lt;=0,Séries!R909=""),"",C910/Séries!R909-1)</f>
        <v/>
      </c>
      <c r="H910" s="22" t="str">
        <f>IF(OR($A910="",D910="",D910&lt;=0,Séries!S909=""),"",D910/Séries!S909-1)</f>
        <v/>
      </c>
      <c r="I910" s="22" t="str">
        <f>IF(OR($A910="",E910="",E910&lt;=0,Séries!T909=""),"",E910/Séries!T909-1)</f>
        <v/>
      </c>
      <c r="J910" s="27"/>
      <c r="K910" s="1" t="str">
        <f>IF(COUNTA(A910:E910)=0,"",IF(A910="","Preencha a data",IF(NOT(ISNUMBER(A910)),"Data inválida",IF(OR(A910&lt;36526,A910&gt;73050,A910&lt;&gt;INT(A910)),"Data inválida",IF(A910&lt;=Séries!U909,"Data repetida / fora de ordem",IF(COUNTA(B910:E910)&lt;&gt;COUNT(B910:E910),"Use preços numéricos",IF(OR(AND(ISNUMBER(B910),B910&lt;=0),AND(ISNUMBER(C910),C910&lt;=0),AND(ISNUMBER(D910),D910&lt;=0),AND(ISNUMBER(E910),E910&lt;=0)),"Use preços positivos","")))))))</f>
        <v/>
      </c>
    </row>
    <row r="911" spans="1:11" ht="22.95" customHeight="1">
      <c r="A911" s="28"/>
      <c r="B911" s="29"/>
      <c r="C911" s="29"/>
      <c r="D911" s="29"/>
      <c r="E911" s="30"/>
      <c r="F911" s="22" t="str">
        <f>IF(OR($A911="",B911="",B911&lt;=0,Séries!Q910=""),"",B911/Séries!Q910-1)</f>
        <v/>
      </c>
      <c r="G911" s="22" t="str">
        <f>IF(OR($A911="",C911="",C911&lt;=0,Séries!R910=""),"",C911/Séries!R910-1)</f>
        <v/>
      </c>
      <c r="H911" s="22" t="str">
        <f>IF(OR($A911="",D911="",D911&lt;=0,Séries!S910=""),"",D911/Séries!S910-1)</f>
        <v/>
      </c>
      <c r="I911" s="22" t="str">
        <f>IF(OR($A911="",E911="",E911&lt;=0,Séries!T910=""),"",E911/Séries!T910-1)</f>
        <v/>
      </c>
      <c r="J911" s="27"/>
      <c r="K911" s="1" t="str">
        <f>IF(COUNTA(A911:E911)=0,"",IF(A911="","Preencha a data",IF(NOT(ISNUMBER(A911)),"Data inválida",IF(OR(A911&lt;36526,A911&gt;73050,A911&lt;&gt;INT(A911)),"Data inválida",IF(A911&lt;=Séries!U910,"Data repetida / fora de ordem",IF(COUNTA(B911:E911)&lt;&gt;COUNT(B911:E911),"Use preços numéricos",IF(OR(AND(ISNUMBER(B911),B911&lt;=0),AND(ISNUMBER(C911),C911&lt;=0),AND(ISNUMBER(D911),D911&lt;=0),AND(ISNUMBER(E911),E911&lt;=0)),"Use preços positivos","")))))))</f>
        <v/>
      </c>
    </row>
    <row r="912" spans="1:11" ht="22.95" customHeight="1">
      <c r="A912" s="28"/>
      <c r="B912" s="29"/>
      <c r="C912" s="29"/>
      <c r="D912" s="29"/>
      <c r="E912" s="30"/>
      <c r="F912" s="22" t="str">
        <f>IF(OR($A912="",B912="",B912&lt;=0,Séries!Q911=""),"",B912/Séries!Q911-1)</f>
        <v/>
      </c>
      <c r="G912" s="22" t="str">
        <f>IF(OR($A912="",C912="",C912&lt;=0,Séries!R911=""),"",C912/Séries!R911-1)</f>
        <v/>
      </c>
      <c r="H912" s="22" t="str">
        <f>IF(OR($A912="",D912="",D912&lt;=0,Séries!S911=""),"",D912/Séries!S911-1)</f>
        <v/>
      </c>
      <c r="I912" s="22" t="str">
        <f>IF(OR($A912="",E912="",E912&lt;=0,Séries!T911=""),"",E912/Séries!T911-1)</f>
        <v/>
      </c>
      <c r="J912" s="27"/>
      <c r="K912" s="1" t="str">
        <f>IF(COUNTA(A912:E912)=0,"",IF(A912="","Preencha a data",IF(NOT(ISNUMBER(A912)),"Data inválida",IF(OR(A912&lt;36526,A912&gt;73050,A912&lt;&gt;INT(A912)),"Data inválida",IF(A912&lt;=Séries!U911,"Data repetida / fora de ordem",IF(COUNTA(B912:E912)&lt;&gt;COUNT(B912:E912),"Use preços numéricos",IF(OR(AND(ISNUMBER(B912),B912&lt;=0),AND(ISNUMBER(C912),C912&lt;=0),AND(ISNUMBER(D912),D912&lt;=0),AND(ISNUMBER(E912),E912&lt;=0)),"Use preços positivos","")))))))</f>
        <v/>
      </c>
    </row>
    <row r="913" spans="1:11" ht="22.95" customHeight="1">
      <c r="A913" s="28"/>
      <c r="B913" s="29"/>
      <c r="C913" s="29"/>
      <c r="D913" s="29"/>
      <c r="E913" s="30"/>
      <c r="F913" s="22" t="str">
        <f>IF(OR($A913="",B913="",B913&lt;=0,Séries!Q912=""),"",B913/Séries!Q912-1)</f>
        <v/>
      </c>
      <c r="G913" s="22" t="str">
        <f>IF(OR($A913="",C913="",C913&lt;=0,Séries!R912=""),"",C913/Séries!R912-1)</f>
        <v/>
      </c>
      <c r="H913" s="22" t="str">
        <f>IF(OR($A913="",D913="",D913&lt;=0,Séries!S912=""),"",D913/Séries!S912-1)</f>
        <v/>
      </c>
      <c r="I913" s="22" t="str">
        <f>IF(OR($A913="",E913="",E913&lt;=0,Séries!T912=""),"",E913/Séries!T912-1)</f>
        <v/>
      </c>
      <c r="J913" s="27"/>
      <c r="K913" s="1" t="str">
        <f>IF(COUNTA(A913:E913)=0,"",IF(A913="","Preencha a data",IF(NOT(ISNUMBER(A913)),"Data inválida",IF(OR(A913&lt;36526,A913&gt;73050,A913&lt;&gt;INT(A913)),"Data inválida",IF(A913&lt;=Séries!U912,"Data repetida / fora de ordem",IF(COUNTA(B913:E913)&lt;&gt;COUNT(B913:E913),"Use preços numéricos",IF(OR(AND(ISNUMBER(B913),B913&lt;=0),AND(ISNUMBER(C913),C913&lt;=0),AND(ISNUMBER(D913),D913&lt;=0),AND(ISNUMBER(E913),E913&lt;=0)),"Use preços positivos","")))))))</f>
        <v/>
      </c>
    </row>
    <row r="914" spans="1:11" ht="22.95" customHeight="1">
      <c r="A914" s="28"/>
      <c r="B914" s="29"/>
      <c r="C914" s="29"/>
      <c r="D914" s="29"/>
      <c r="E914" s="30"/>
      <c r="F914" s="22" t="str">
        <f>IF(OR($A914="",B914="",B914&lt;=0,Séries!Q913=""),"",B914/Séries!Q913-1)</f>
        <v/>
      </c>
      <c r="G914" s="22" t="str">
        <f>IF(OR($A914="",C914="",C914&lt;=0,Séries!R913=""),"",C914/Séries!R913-1)</f>
        <v/>
      </c>
      <c r="H914" s="22" t="str">
        <f>IF(OR($A914="",D914="",D914&lt;=0,Séries!S913=""),"",D914/Séries!S913-1)</f>
        <v/>
      </c>
      <c r="I914" s="22" t="str">
        <f>IF(OR($A914="",E914="",E914&lt;=0,Séries!T913=""),"",E914/Séries!T913-1)</f>
        <v/>
      </c>
      <c r="J914" s="27"/>
      <c r="K914" s="1" t="str">
        <f>IF(COUNTA(A914:E914)=0,"",IF(A914="","Preencha a data",IF(NOT(ISNUMBER(A914)),"Data inválida",IF(OR(A914&lt;36526,A914&gt;73050,A914&lt;&gt;INT(A914)),"Data inválida",IF(A914&lt;=Séries!U913,"Data repetida / fora de ordem",IF(COUNTA(B914:E914)&lt;&gt;COUNT(B914:E914),"Use preços numéricos",IF(OR(AND(ISNUMBER(B914),B914&lt;=0),AND(ISNUMBER(C914),C914&lt;=0),AND(ISNUMBER(D914),D914&lt;=0),AND(ISNUMBER(E914),E914&lt;=0)),"Use preços positivos","")))))))</f>
        <v/>
      </c>
    </row>
    <row r="915" spans="1:11" ht="22.95" customHeight="1">
      <c r="A915" s="28"/>
      <c r="B915" s="29"/>
      <c r="C915" s="29"/>
      <c r="D915" s="29"/>
      <c r="E915" s="30"/>
      <c r="F915" s="22" t="str">
        <f>IF(OR($A915="",B915="",B915&lt;=0,Séries!Q914=""),"",B915/Séries!Q914-1)</f>
        <v/>
      </c>
      <c r="G915" s="22" t="str">
        <f>IF(OR($A915="",C915="",C915&lt;=0,Séries!R914=""),"",C915/Séries!R914-1)</f>
        <v/>
      </c>
      <c r="H915" s="22" t="str">
        <f>IF(OR($A915="",D915="",D915&lt;=0,Séries!S914=""),"",D915/Séries!S914-1)</f>
        <v/>
      </c>
      <c r="I915" s="22" t="str">
        <f>IF(OR($A915="",E915="",E915&lt;=0,Séries!T914=""),"",E915/Séries!T914-1)</f>
        <v/>
      </c>
      <c r="J915" s="27"/>
      <c r="K915" s="1" t="str">
        <f>IF(COUNTA(A915:E915)=0,"",IF(A915="","Preencha a data",IF(NOT(ISNUMBER(A915)),"Data inválida",IF(OR(A915&lt;36526,A915&gt;73050,A915&lt;&gt;INT(A915)),"Data inválida",IF(A915&lt;=Séries!U914,"Data repetida / fora de ordem",IF(COUNTA(B915:E915)&lt;&gt;COUNT(B915:E915),"Use preços numéricos",IF(OR(AND(ISNUMBER(B915),B915&lt;=0),AND(ISNUMBER(C915),C915&lt;=0),AND(ISNUMBER(D915),D915&lt;=0),AND(ISNUMBER(E915),E915&lt;=0)),"Use preços positivos","")))))))</f>
        <v/>
      </c>
    </row>
    <row r="916" spans="1:11" ht="22.95" customHeight="1">
      <c r="A916" s="28"/>
      <c r="B916" s="29"/>
      <c r="C916" s="29"/>
      <c r="D916" s="29"/>
      <c r="E916" s="30"/>
      <c r="F916" s="22" t="str">
        <f>IF(OR($A916="",B916="",B916&lt;=0,Séries!Q915=""),"",B916/Séries!Q915-1)</f>
        <v/>
      </c>
      <c r="G916" s="22" t="str">
        <f>IF(OR($A916="",C916="",C916&lt;=0,Séries!R915=""),"",C916/Séries!R915-1)</f>
        <v/>
      </c>
      <c r="H916" s="22" t="str">
        <f>IF(OR($A916="",D916="",D916&lt;=0,Séries!S915=""),"",D916/Séries!S915-1)</f>
        <v/>
      </c>
      <c r="I916" s="22" t="str">
        <f>IF(OR($A916="",E916="",E916&lt;=0,Séries!T915=""),"",E916/Séries!T915-1)</f>
        <v/>
      </c>
      <c r="J916" s="27"/>
      <c r="K916" s="1" t="str">
        <f>IF(COUNTA(A916:E916)=0,"",IF(A916="","Preencha a data",IF(NOT(ISNUMBER(A916)),"Data inválida",IF(OR(A916&lt;36526,A916&gt;73050,A916&lt;&gt;INT(A916)),"Data inválida",IF(A916&lt;=Séries!U915,"Data repetida / fora de ordem",IF(COUNTA(B916:E916)&lt;&gt;COUNT(B916:E916),"Use preços numéricos",IF(OR(AND(ISNUMBER(B916),B916&lt;=0),AND(ISNUMBER(C916),C916&lt;=0),AND(ISNUMBER(D916),D916&lt;=0),AND(ISNUMBER(E916),E916&lt;=0)),"Use preços positivos","")))))))</f>
        <v/>
      </c>
    </row>
    <row r="917" spans="1:11" ht="22.95" customHeight="1">
      <c r="A917" s="28"/>
      <c r="B917" s="29"/>
      <c r="C917" s="29"/>
      <c r="D917" s="29"/>
      <c r="E917" s="30"/>
      <c r="F917" s="22" t="str">
        <f>IF(OR($A917="",B917="",B917&lt;=0,Séries!Q916=""),"",B917/Séries!Q916-1)</f>
        <v/>
      </c>
      <c r="G917" s="22" t="str">
        <f>IF(OR($A917="",C917="",C917&lt;=0,Séries!R916=""),"",C917/Séries!R916-1)</f>
        <v/>
      </c>
      <c r="H917" s="22" t="str">
        <f>IF(OR($A917="",D917="",D917&lt;=0,Séries!S916=""),"",D917/Séries!S916-1)</f>
        <v/>
      </c>
      <c r="I917" s="22" t="str">
        <f>IF(OR($A917="",E917="",E917&lt;=0,Séries!T916=""),"",E917/Séries!T916-1)</f>
        <v/>
      </c>
      <c r="J917" s="27"/>
      <c r="K917" s="1" t="str">
        <f>IF(COUNTA(A917:E917)=0,"",IF(A917="","Preencha a data",IF(NOT(ISNUMBER(A917)),"Data inválida",IF(OR(A917&lt;36526,A917&gt;73050,A917&lt;&gt;INT(A917)),"Data inválida",IF(A917&lt;=Séries!U916,"Data repetida / fora de ordem",IF(COUNTA(B917:E917)&lt;&gt;COUNT(B917:E917),"Use preços numéricos",IF(OR(AND(ISNUMBER(B917),B917&lt;=0),AND(ISNUMBER(C917),C917&lt;=0),AND(ISNUMBER(D917),D917&lt;=0),AND(ISNUMBER(E917),E917&lt;=0)),"Use preços positivos","")))))))</f>
        <v/>
      </c>
    </row>
    <row r="918" spans="1:11" ht="22.95" customHeight="1">
      <c r="A918" s="28"/>
      <c r="B918" s="29"/>
      <c r="C918" s="29"/>
      <c r="D918" s="29"/>
      <c r="E918" s="30"/>
      <c r="F918" s="22" t="str">
        <f>IF(OR($A918="",B918="",B918&lt;=0,Séries!Q917=""),"",B918/Séries!Q917-1)</f>
        <v/>
      </c>
      <c r="G918" s="22" t="str">
        <f>IF(OR($A918="",C918="",C918&lt;=0,Séries!R917=""),"",C918/Séries!R917-1)</f>
        <v/>
      </c>
      <c r="H918" s="22" t="str">
        <f>IF(OR($A918="",D918="",D918&lt;=0,Séries!S917=""),"",D918/Séries!S917-1)</f>
        <v/>
      </c>
      <c r="I918" s="22" t="str">
        <f>IF(OR($A918="",E918="",E918&lt;=0,Séries!T917=""),"",E918/Séries!T917-1)</f>
        <v/>
      </c>
      <c r="J918" s="27"/>
      <c r="K918" s="1" t="str">
        <f>IF(COUNTA(A918:E918)=0,"",IF(A918="","Preencha a data",IF(NOT(ISNUMBER(A918)),"Data inválida",IF(OR(A918&lt;36526,A918&gt;73050,A918&lt;&gt;INT(A918)),"Data inválida",IF(A918&lt;=Séries!U917,"Data repetida / fora de ordem",IF(COUNTA(B918:E918)&lt;&gt;COUNT(B918:E918),"Use preços numéricos",IF(OR(AND(ISNUMBER(B918),B918&lt;=0),AND(ISNUMBER(C918),C918&lt;=0),AND(ISNUMBER(D918),D918&lt;=0),AND(ISNUMBER(E918),E918&lt;=0)),"Use preços positivos","")))))))</f>
        <v/>
      </c>
    </row>
    <row r="919" spans="1:11" ht="22.95" customHeight="1">
      <c r="A919" s="28"/>
      <c r="B919" s="29"/>
      <c r="C919" s="29"/>
      <c r="D919" s="29"/>
      <c r="E919" s="30"/>
      <c r="F919" s="22" t="str">
        <f>IF(OR($A919="",B919="",B919&lt;=0,Séries!Q918=""),"",B919/Séries!Q918-1)</f>
        <v/>
      </c>
      <c r="G919" s="22" t="str">
        <f>IF(OR($A919="",C919="",C919&lt;=0,Séries!R918=""),"",C919/Séries!R918-1)</f>
        <v/>
      </c>
      <c r="H919" s="22" t="str">
        <f>IF(OR($A919="",D919="",D919&lt;=0,Séries!S918=""),"",D919/Séries!S918-1)</f>
        <v/>
      </c>
      <c r="I919" s="22" t="str">
        <f>IF(OR($A919="",E919="",E919&lt;=0,Séries!T918=""),"",E919/Séries!T918-1)</f>
        <v/>
      </c>
      <c r="J919" s="27"/>
      <c r="K919" s="1" t="str">
        <f>IF(COUNTA(A919:E919)=0,"",IF(A919="","Preencha a data",IF(NOT(ISNUMBER(A919)),"Data inválida",IF(OR(A919&lt;36526,A919&gt;73050,A919&lt;&gt;INT(A919)),"Data inválida",IF(A919&lt;=Séries!U918,"Data repetida / fora de ordem",IF(COUNTA(B919:E919)&lt;&gt;COUNT(B919:E919),"Use preços numéricos",IF(OR(AND(ISNUMBER(B919),B919&lt;=0),AND(ISNUMBER(C919),C919&lt;=0),AND(ISNUMBER(D919),D919&lt;=0),AND(ISNUMBER(E919),E919&lt;=0)),"Use preços positivos","")))))))</f>
        <v/>
      </c>
    </row>
    <row r="920" spans="1:11" ht="22.95" customHeight="1">
      <c r="A920" s="28"/>
      <c r="B920" s="29"/>
      <c r="C920" s="29"/>
      <c r="D920" s="29"/>
      <c r="E920" s="30"/>
      <c r="F920" s="22" t="str">
        <f>IF(OR($A920="",B920="",B920&lt;=0,Séries!Q919=""),"",B920/Séries!Q919-1)</f>
        <v/>
      </c>
      <c r="G920" s="22" t="str">
        <f>IF(OR($A920="",C920="",C920&lt;=0,Séries!R919=""),"",C920/Séries!R919-1)</f>
        <v/>
      </c>
      <c r="H920" s="22" t="str">
        <f>IF(OR($A920="",D920="",D920&lt;=0,Séries!S919=""),"",D920/Séries!S919-1)</f>
        <v/>
      </c>
      <c r="I920" s="22" t="str">
        <f>IF(OR($A920="",E920="",E920&lt;=0,Séries!T919=""),"",E920/Séries!T919-1)</f>
        <v/>
      </c>
      <c r="J920" s="27"/>
      <c r="K920" s="1" t="str">
        <f>IF(COUNTA(A920:E920)=0,"",IF(A920="","Preencha a data",IF(NOT(ISNUMBER(A920)),"Data inválida",IF(OR(A920&lt;36526,A920&gt;73050,A920&lt;&gt;INT(A920)),"Data inválida",IF(A920&lt;=Séries!U919,"Data repetida / fora de ordem",IF(COUNTA(B920:E920)&lt;&gt;COUNT(B920:E920),"Use preços numéricos",IF(OR(AND(ISNUMBER(B920),B920&lt;=0),AND(ISNUMBER(C920),C920&lt;=0),AND(ISNUMBER(D920),D920&lt;=0),AND(ISNUMBER(E920),E920&lt;=0)),"Use preços positivos","")))))))</f>
        <v/>
      </c>
    </row>
    <row r="921" spans="1:11" ht="22.95" customHeight="1">
      <c r="A921" s="28"/>
      <c r="B921" s="29"/>
      <c r="C921" s="29"/>
      <c r="D921" s="29"/>
      <c r="E921" s="30"/>
      <c r="F921" s="22" t="str">
        <f>IF(OR($A921="",B921="",B921&lt;=0,Séries!Q920=""),"",B921/Séries!Q920-1)</f>
        <v/>
      </c>
      <c r="G921" s="22" t="str">
        <f>IF(OR($A921="",C921="",C921&lt;=0,Séries!R920=""),"",C921/Séries!R920-1)</f>
        <v/>
      </c>
      <c r="H921" s="22" t="str">
        <f>IF(OR($A921="",D921="",D921&lt;=0,Séries!S920=""),"",D921/Séries!S920-1)</f>
        <v/>
      </c>
      <c r="I921" s="22" t="str">
        <f>IF(OR($A921="",E921="",E921&lt;=0,Séries!T920=""),"",E921/Séries!T920-1)</f>
        <v/>
      </c>
      <c r="J921" s="27"/>
      <c r="K921" s="1" t="str">
        <f>IF(COUNTA(A921:E921)=0,"",IF(A921="","Preencha a data",IF(NOT(ISNUMBER(A921)),"Data inválida",IF(OR(A921&lt;36526,A921&gt;73050,A921&lt;&gt;INT(A921)),"Data inválida",IF(A921&lt;=Séries!U920,"Data repetida / fora de ordem",IF(COUNTA(B921:E921)&lt;&gt;COUNT(B921:E921),"Use preços numéricos",IF(OR(AND(ISNUMBER(B921),B921&lt;=0),AND(ISNUMBER(C921),C921&lt;=0),AND(ISNUMBER(D921),D921&lt;=0),AND(ISNUMBER(E921),E921&lt;=0)),"Use preços positivos","")))))))</f>
        <v/>
      </c>
    </row>
    <row r="922" spans="1:11" ht="22.95" customHeight="1">
      <c r="A922" s="28"/>
      <c r="B922" s="29"/>
      <c r="C922" s="29"/>
      <c r="D922" s="29"/>
      <c r="E922" s="30"/>
      <c r="F922" s="22" t="str">
        <f>IF(OR($A922="",B922="",B922&lt;=0,Séries!Q921=""),"",B922/Séries!Q921-1)</f>
        <v/>
      </c>
      <c r="G922" s="22" t="str">
        <f>IF(OR($A922="",C922="",C922&lt;=0,Séries!R921=""),"",C922/Séries!R921-1)</f>
        <v/>
      </c>
      <c r="H922" s="22" t="str">
        <f>IF(OR($A922="",D922="",D922&lt;=0,Séries!S921=""),"",D922/Séries!S921-1)</f>
        <v/>
      </c>
      <c r="I922" s="22" t="str">
        <f>IF(OR($A922="",E922="",E922&lt;=0,Séries!T921=""),"",E922/Séries!T921-1)</f>
        <v/>
      </c>
      <c r="J922" s="27"/>
      <c r="K922" s="1" t="str">
        <f>IF(COUNTA(A922:E922)=0,"",IF(A922="","Preencha a data",IF(NOT(ISNUMBER(A922)),"Data inválida",IF(OR(A922&lt;36526,A922&gt;73050,A922&lt;&gt;INT(A922)),"Data inválida",IF(A922&lt;=Séries!U921,"Data repetida / fora de ordem",IF(COUNTA(B922:E922)&lt;&gt;COUNT(B922:E922),"Use preços numéricos",IF(OR(AND(ISNUMBER(B922),B922&lt;=0),AND(ISNUMBER(C922),C922&lt;=0),AND(ISNUMBER(D922),D922&lt;=0),AND(ISNUMBER(E922),E922&lt;=0)),"Use preços positivos","")))))))</f>
        <v/>
      </c>
    </row>
    <row r="923" spans="1:11" ht="22.95" customHeight="1">
      <c r="A923" s="28"/>
      <c r="B923" s="29"/>
      <c r="C923" s="29"/>
      <c r="D923" s="29"/>
      <c r="E923" s="30"/>
      <c r="F923" s="22" t="str">
        <f>IF(OR($A923="",B923="",B923&lt;=0,Séries!Q922=""),"",B923/Séries!Q922-1)</f>
        <v/>
      </c>
      <c r="G923" s="22" t="str">
        <f>IF(OR($A923="",C923="",C923&lt;=0,Séries!R922=""),"",C923/Séries!R922-1)</f>
        <v/>
      </c>
      <c r="H923" s="22" t="str">
        <f>IF(OR($A923="",D923="",D923&lt;=0,Séries!S922=""),"",D923/Séries!S922-1)</f>
        <v/>
      </c>
      <c r="I923" s="22" t="str">
        <f>IF(OR($A923="",E923="",E923&lt;=0,Séries!T922=""),"",E923/Séries!T922-1)</f>
        <v/>
      </c>
      <c r="J923" s="27"/>
      <c r="K923" s="1" t="str">
        <f>IF(COUNTA(A923:E923)=0,"",IF(A923="","Preencha a data",IF(NOT(ISNUMBER(A923)),"Data inválida",IF(OR(A923&lt;36526,A923&gt;73050,A923&lt;&gt;INT(A923)),"Data inválida",IF(A923&lt;=Séries!U922,"Data repetida / fora de ordem",IF(COUNTA(B923:E923)&lt;&gt;COUNT(B923:E923),"Use preços numéricos",IF(OR(AND(ISNUMBER(B923),B923&lt;=0),AND(ISNUMBER(C923),C923&lt;=0),AND(ISNUMBER(D923),D923&lt;=0),AND(ISNUMBER(E923),E923&lt;=0)),"Use preços positivos","")))))))</f>
        <v/>
      </c>
    </row>
    <row r="924" spans="1:11" ht="22.95" customHeight="1">
      <c r="A924" s="28"/>
      <c r="B924" s="29"/>
      <c r="C924" s="29"/>
      <c r="D924" s="29"/>
      <c r="E924" s="30"/>
      <c r="F924" s="22" t="str">
        <f>IF(OR($A924="",B924="",B924&lt;=0,Séries!Q923=""),"",B924/Séries!Q923-1)</f>
        <v/>
      </c>
      <c r="G924" s="22" t="str">
        <f>IF(OR($A924="",C924="",C924&lt;=0,Séries!R923=""),"",C924/Séries!R923-1)</f>
        <v/>
      </c>
      <c r="H924" s="22" t="str">
        <f>IF(OR($A924="",D924="",D924&lt;=0,Séries!S923=""),"",D924/Séries!S923-1)</f>
        <v/>
      </c>
      <c r="I924" s="22" t="str">
        <f>IF(OR($A924="",E924="",E924&lt;=0,Séries!T923=""),"",E924/Séries!T923-1)</f>
        <v/>
      </c>
      <c r="J924" s="27"/>
      <c r="K924" s="1" t="str">
        <f>IF(COUNTA(A924:E924)=0,"",IF(A924="","Preencha a data",IF(NOT(ISNUMBER(A924)),"Data inválida",IF(OR(A924&lt;36526,A924&gt;73050,A924&lt;&gt;INT(A924)),"Data inválida",IF(A924&lt;=Séries!U923,"Data repetida / fora de ordem",IF(COUNTA(B924:E924)&lt;&gt;COUNT(B924:E924),"Use preços numéricos",IF(OR(AND(ISNUMBER(B924),B924&lt;=0),AND(ISNUMBER(C924),C924&lt;=0),AND(ISNUMBER(D924),D924&lt;=0),AND(ISNUMBER(E924),E924&lt;=0)),"Use preços positivos","")))))))</f>
        <v/>
      </c>
    </row>
    <row r="925" spans="1:11" ht="22.95" customHeight="1">
      <c r="A925" s="28"/>
      <c r="B925" s="29"/>
      <c r="C925" s="29"/>
      <c r="D925" s="29"/>
      <c r="E925" s="30"/>
      <c r="F925" s="22" t="str">
        <f>IF(OR($A925="",B925="",B925&lt;=0,Séries!Q924=""),"",B925/Séries!Q924-1)</f>
        <v/>
      </c>
      <c r="G925" s="22" t="str">
        <f>IF(OR($A925="",C925="",C925&lt;=0,Séries!R924=""),"",C925/Séries!R924-1)</f>
        <v/>
      </c>
      <c r="H925" s="22" t="str">
        <f>IF(OR($A925="",D925="",D925&lt;=0,Séries!S924=""),"",D925/Séries!S924-1)</f>
        <v/>
      </c>
      <c r="I925" s="22" t="str">
        <f>IF(OR($A925="",E925="",E925&lt;=0,Séries!T924=""),"",E925/Séries!T924-1)</f>
        <v/>
      </c>
      <c r="J925" s="27"/>
      <c r="K925" s="1" t="str">
        <f>IF(COUNTA(A925:E925)=0,"",IF(A925="","Preencha a data",IF(NOT(ISNUMBER(A925)),"Data inválida",IF(OR(A925&lt;36526,A925&gt;73050,A925&lt;&gt;INT(A925)),"Data inválida",IF(A925&lt;=Séries!U924,"Data repetida / fora de ordem",IF(COUNTA(B925:E925)&lt;&gt;COUNT(B925:E925),"Use preços numéricos",IF(OR(AND(ISNUMBER(B925),B925&lt;=0),AND(ISNUMBER(C925),C925&lt;=0),AND(ISNUMBER(D925),D925&lt;=0),AND(ISNUMBER(E925),E925&lt;=0)),"Use preços positivos","")))))))</f>
        <v/>
      </c>
    </row>
    <row r="926" spans="1:11" ht="22.95" customHeight="1">
      <c r="A926" s="28"/>
      <c r="B926" s="29"/>
      <c r="C926" s="29"/>
      <c r="D926" s="29"/>
      <c r="E926" s="30"/>
      <c r="F926" s="22" t="str">
        <f>IF(OR($A926="",B926="",B926&lt;=0,Séries!Q925=""),"",B926/Séries!Q925-1)</f>
        <v/>
      </c>
      <c r="G926" s="22" t="str">
        <f>IF(OR($A926="",C926="",C926&lt;=0,Séries!R925=""),"",C926/Séries!R925-1)</f>
        <v/>
      </c>
      <c r="H926" s="22" t="str">
        <f>IF(OR($A926="",D926="",D926&lt;=0,Séries!S925=""),"",D926/Séries!S925-1)</f>
        <v/>
      </c>
      <c r="I926" s="22" t="str">
        <f>IF(OR($A926="",E926="",E926&lt;=0,Séries!T925=""),"",E926/Séries!T925-1)</f>
        <v/>
      </c>
      <c r="J926" s="27"/>
      <c r="K926" s="1" t="str">
        <f>IF(COUNTA(A926:E926)=0,"",IF(A926="","Preencha a data",IF(NOT(ISNUMBER(A926)),"Data inválida",IF(OR(A926&lt;36526,A926&gt;73050,A926&lt;&gt;INT(A926)),"Data inválida",IF(A926&lt;=Séries!U925,"Data repetida / fora de ordem",IF(COUNTA(B926:E926)&lt;&gt;COUNT(B926:E926),"Use preços numéricos",IF(OR(AND(ISNUMBER(B926),B926&lt;=0),AND(ISNUMBER(C926),C926&lt;=0),AND(ISNUMBER(D926),D926&lt;=0),AND(ISNUMBER(E926),E926&lt;=0)),"Use preços positivos","")))))))</f>
        <v/>
      </c>
    </row>
    <row r="927" spans="1:11" ht="22.95" customHeight="1">
      <c r="A927" s="28"/>
      <c r="B927" s="29"/>
      <c r="C927" s="29"/>
      <c r="D927" s="29"/>
      <c r="E927" s="30"/>
      <c r="F927" s="22" t="str">
        <f>IF(OR($A927="",B927="",B927&lt;=0,Séries!Q926=""),"",B927/Séries!Q926-1)</f>
        <v/>
      </c>
      <c r="G927" s="22" t="str">
        <f>IF(OR($A927="",C927="",C927&lt;=0,Séries!R926=""),"",C927/Séries!R926-1)</f>
        <v/>
      </c>
      <c r="H927" s="22" t="str">
        <f>IF(OR($A927="",D927="",D927&lt;=0,Séries!S926=""),"",D927/Séries!S926-1)</f>
        <v/>
      </c>
      <c r="I927" s="22" t="str">
        <f>IF(OR($A927="",E927="",E927&lt;=0,Séries!T926=""),"",E927/Séries!T926-1)</f>
        <v/>
      </c>
      <c r="J927" s="27"/>
      <c r="K927" s="1" t="str">
        <f>IF(COUNTA(A927:E927)=0,"",IF(A927="","Preencha a data",IF(NOT(ISNUMBER(A927)),"Data inválida",IF(OR(A927&lt;36526,A927&gt;73050,A927&lt;&gt;INT(A927)),"Data inválida",IF(A927&lt;=Séries!U926,"Data repetida / fora de ordem",IF(COUNTA(B927:E927)&lt;&gt;COUNT(B927:E927),"Use preços numéricos",IF(OR(AND(ISNUMBER(B927),B927&lt;=0),AND(ISNUMBER(C927),C927&lt;=0),AND(ISNUMBER(D927),D927&lt;=0),AND(ISNUMBER(E927),E927&lt;=0)),"Use preços positivos","")))))))</f>
        <v/>
      </c>
    </row>
    <row r="928" spans="1:11" ht="22.95" customHeight="1">
      <c r="A928" s="28"/>
      <c r="B928" s="29"/>
      <c r="C928" s="29"/>
      <c r="D928" s="29"/>
      <c r="E928" s="30"/>
      <c r="F928" s="22" t="str">
        <f>IF(OR($A928="",B928="",B928&lt;=0,Séries!Q927=""),"",B928/Séries!Q927-1)</f>
        <v/>
      </c>
      <c r="G928" s="22" t="str">
        <f>IF(OR($A928="",C928="",C928&lt;=0,Séries!R927=""),"",C928/Séries!R927-1)</f>
        <v/>
      </c>
      <c r="H928" s="22" t="str">
        <f>IF(OR($A928="",D928="",D928&lt;=0,Séries!S927=""),"",D928/Séries!S927-1)</f>
        <v/>
      </c>
      <c r="I928" s="22" t="str">
        <f>IF(OR($A928="",E928="",E928&lt;=0,Séries!T927=""),"",E928/Séries!T927-1)</f>
        <v/>
      </c>
      <c r="J928" s="27"/>
      <c r="K928" s="1" t="str">
        <f>IF(COUNTA(A928:E928)=0,"",IF(A928="","Preencha a data",IF(NOT(ISNUMBER(A928)),"Data inválida",IF(OR(A928&lt;36526,A928&gt;73050,A928&lt;&gt;INT(A928)),"Data inválida",IF(A928&lt;=Séries!U927,"Data repetida / fora de ordem",IF(COUNTA(B928:E928)&lt;&gt;COUNT(B928:E928),"Use preços numéricos",IF(OR(AND(ISNUMBER(B928),B928&lt;=0),AND(ISNUMBER(C928),C928&lt;=0),AND(ISNUMBER(D928),D928&lt;=0),AND(ISNUMBER(E928),E928&lt;=0)),"Use preços positivos","")))))))</f>
        <v/>
      </c>
    </row>
    <row r="929" spans="1:11" ht="22.95" customHeight="1">
      <c r="A929" s="28"/>
      <c r="B929" s="29"/>
      <c r="C929" s="29"/>
      <c r="D929" s="29"/>
      <c r="E929" s="30"/>
      <c r="F929" s="22" t="str">
        <f>IF(OR($A929="",B929="",B929&lt;=0,Séries!Q928=""),"",B929/Séries!Q928-1)</f>
        <v/>
      </c>
      <c r="G929" s="22" t="str">
        <f>IF(OR($A929="",C929="",C929&lt;=0,Séries!R928=""),"",C929/Séries!R928-1)</f>
        <v/>
      </c>
      <c r="H929" s="22" t="str">
        <f>IF(OR($A929="",D929="",D929&lt;=0,Séries!S928=""),"",D929/Séries!S928-1)</f>
        <v/>
      </c>
      <c r="I929" s="22" t="str">
        <f>IF(OR($A929="",E929="",E929&lt;=0,Séries!T928=""),"",E929/Séries!T928-1)</f>
        <v/>
      </c>
      <c r="J929" s="27"/>
      <c r="K929" s="1" t="str">
        <f>IF(COUNTA(A929:E929)=0,"",IF(A929="","Preencha a data",IF(NOT(ISNUMBER(A929)),"Data inválida",IF(OR(A929&lt;36526,A929&gt;73050,A929&lt;&gt;INT(A929)),"Data inválida",IF(A929&lt;=Séries!U928,"Data repetida / fora de ordem",IF(COUNTA(B929:E929)&lt;&gt;COUNT(B929:E929),"Use preços numéricos",IF(OR(AND(ISNUMBER(B929),B929&lt;=0),AND(ISNUMBER(C929),C929&lt;=0),AND(ISNUMBER(D929),D929&lt;=0),AND(ISNUMBER(E929),E929&lt;=0)),"Use preços positivos","")))))))</f>
        <v/>
      </c>
    </row>
    <row r="930" spans="1:11" ht="22.95" customHeight="1">
      <c r="A930" s="28"/>
      <c r="B930" s="29"/>
      <c r="C930" s="29"/>
      <c r="D930" s="29"/>
      <c r="E930" s="30"/>
      <c r="F930" s="22" t="str">
        <f>IF(OR($A930="",B930="",B930&lt;=0,Séries!Q929=""),"",B930/Séries!Q929-1)</f>
        <v/>
      </c>
      <c r="G930" s="22" t="str">
        <f>IF(OR($A930="",C930="",C930&lt;=0,Séries!R929=""),"",C930/Séries!R929-1)</f>
        <v/>
      </c>
      <c r="H930" s="22" t="str">
        <f>IF(OR($A930="",D930="",D930&lt;=0,Séries!S929=""),"",D930/Séries!S929-1)</f>
        <v/>
      </c>
      <c r="I930" s="22" t="str">
        <f>IF(OR($A930="",E930="",E930&lt;=0,Séries!T929=""),"",E930/Séries!T929-1)</f>
        <v/>
      </c>
      <c r="J930" s="27"/>
      <c r="K930" s="1" t="str">
        <f>IF(COUNTA(A930:E930)=0,"",IF(A930="","Preencha a data",IF(NOT(ISNUMBER(A930)),"Data inválida",IF(OR(A930&lt;36526,A930&gt;73050,A930&lt;&gt;INT(A930)),"Data inválida",IF(A930&lt;=Séries!U929,"Data repetida / fora de ordem",IF(COUNTA(B930:E930)&lt;&gt;COUNT(B930:E930),"Use preços numéricos",IF(OR(AND(ISNUMBER(B930),B930&lt;=0),AND(ISNUMBER(C930),C930&lt;=0),AND(ISNUMBER(D930),D930&lt;=0),AND(ISNUMBER(E930),E930&lt;=0)),"Use preços positivos","")))))))</f>
        <v/>
      </c>
    </row>
    <row r="931" spans="1:11" ht="22.95" customHeight="1">
      <c r="A931" s="28"/>
      <c r="B931" s="29"/>
      <c r="C931" s="29"/>
      <c r="D931" s="29"/>
      <c r="E931" s="30"/>
      <c r="F931" s="22" t="str">
        <f>IF(OR($A931="",B931="",B931&lt;=0,Séries!Q930=""),"",B931/Séries!Q930-1)</f>
        <v/>
      </c>
      <c r="G931" s="22" t="str">
        <f>IF(OR($A931="",C931="",C931&lt;=0,Séries!R930=""),"",C931/Séries!R930-1)</f>
        <v/>
      </c>
      <c r="H931" s="22" t="str">
        <f>IF(OR($A931="",D931="",D931&lt;=0,Séries!S930=""),"",D931/Séries!S930-1)</f>
        <v/>
      </c>
      <c r="I931" s="22" t="str">
        <f>IF(OR($A931="",E931="",E931&lt;=0,Séries!T930=""),"",E931/Séries!T930-1)</f>
        <v/>
      </c>
      <c r="J931" s="27"/>
      <c r="K931" s="1" t="str">
        <f>IF(COUNTA(A931:E931)=0,"",IF(A931="","Preencha a data",IF(NOT(ISNUMBER(A931)),"Data inválida",IF(OR(A931&lt;36526,A931&gt;73050,A931&lt;&gt;INT(A931)),"Data inválida",IF(A931&lt;=Séries!U930,"Data repetida / fora de ordem",IF(COUNTA(B931:E931)&lt;&gt;COUNT(B931:E931),"Use preços numéricos",IF(OR(AND(ISNUMBER(B931),B931&lt;=0),AND(ISNUMBER(C931),C931&lt;=0),AND(ISNUMBER(D931),D931&lt;=0),AND(ISNUMBER(E931),E931&lt;=0)),"Use preços positivos","")))))))</f>
        <v/>
      </c>
    </row>
    <row r="932" spans="1:11" ht="22.95" customHeight="1">
      <c r="A932" s="28"/>
      <c r="B932" s="29"/>
      <c r="C932" s="29"/>
      <c r="D932" s="29"/>
      <c r="E932" s="30"/>
      <c r="F932" s="22" t="str">
        <f>IF(OR($A932="",B932="",B932&lt;=0,Séries!Q931=""),"",B932/Séries!Q931-1)</f>
        <v/>
      </c>
      <c r="G932" s="22" t="str">
        <f>IF(OR($A932="",C932="",C932&lt;=0,Séries!R931=""),"",C932/Séries!R931-1)</f>
        <v/>
      </c>
      <c r="H932" s="22" t="str">
        <f>IF(OR($A932="",D932="",D932&lt;=0,Séries!S931=""),"",D932/Séries!S931-1)</f>
        <v/>
      </c>
      <c r="I932" s="22" t="str">
        <f>IF(OR($A932="",E932="",E932&lt;=0,Séries!T931=""),"",E932/Séries!T931-1)</f>
        <v/>
      </c>
      <c r="J932" s="27"/>
      <c r="K932" s="1" t="str">
        <f>IF(COUNTA(A932:E932)=0,"",IF(A932="","Preencha a data",IF(NOT(ISNUMBER(A932)),"Data inválida",IF(OR(A932&lt;36526,A932&gt;73050,A932&lt;&gt;INT(A932)),"Data inválida",IF(A932&lt;=Séries!U931,"Data repetida / fora de ordem",IF(COUNTA(B932:E932)&lt;&gt;COUNT(B932:E932),"Use preços numéricos",IF(OR(AND(ISNUMBER(B932),B932&lt;=0),AND(ISNUMBER(C932),C932&lt;=0),AND(ISNUMBER(D932),D932&lt;=0),AND(ISNUMBER(E932),E932&lt;=0)),"Use preços positivos","")))))))</f>
        <v/>
      </c>
    </row>
    <row r="933" spans="1:11" ht="22.95" customHeight="1">
      <c r="A933" s="28"/>
      <c r="B933" s="29"/>
      <c r="C933" s="29"/>
      <c r="D933" s="29"/>
      <c r="E933" s="30"/>
      <c r="F933" s="22" t="str">
        <f>IF(OR($A933="",B933="",B933&lt;=0,Séries!Q932=""),"",B933/Séries!Q932-1)</f>
        <v/>
      </c>
      <c r="G933" s="22" t="str">
        <f>IF(OR($A933="",C933="",C933&lt;=0,Séries!R932=""),"",C933/Séries!R932-1)</f>
        <v/>
      </c>
      <c r="H933" s="22" t="str">
        <f>IF(OR($A933="",D933="",D933&lt;=0,Séries!S932=""),"",D933/Séries!S932-1)</f>
        <v/>
      </c>
      <c r="I933" s="22" t="str">
        <f>IF(OR($A933="",E933="",E933&lt;=0,Séries!T932=""),"",E933/Séries!T932-1)</f>
        <v/>
      </c>
      <c r="J933" s="27"/>
      <c r="K933" s="1" t="str">
        <f>IF(COUNTA(A933:E933)=0,"",IF(A933="","Preencha a data",IF(NOT(ISNUMBER(A933)),"Data inválida",IF(OR(A933&lt;36526,A933&gt;73050,A933&lt;&gt;INT(A933)),"Data inválida",IF(A933&lt;=Séries!U932,"Data repetida / fora de ordem",IF(COUNTA(B933:E933)&lt;&gt;COUNT(B933:E933),"Use preços numéricos",IF(OR(AND(ISNUMBER(B933),B933&lt;=0),AND(ISNUMBER(C933),C933&lt;=0),AND(ISNUMBER(D933),D933&lt;=0),AND(ISNUMBER(E933),E933&lt;=0)),"Use preços positivos","")))))))</f>
        <v/>
      </c>
    </row>
    <row r="934" spans="1:11" ht="22.95" customHeight="1">
      <c r="A934" s="28"/>
      <c r="B934" s="29"/>
      <c r="C934" s="29"/>
      <c r="D934" s="29"/>
      <c r="E934" s="30"/>
      <c r="F934" s="22" t="str">
        <f>IF(OR($A934="",B934="",B934&lt;=0,Séries!Q933=""),"",B934/Séries!Q933-1)</f>
        <v/>
      </c>
      <c r="G934" s="22" t="str">
        <f>IF(OR($A934="",C934="",C934&lt;=0,Séries!R933=""),"",C934/Séries!R933-1)</f>
        <v/>
      </c>
      <c r="H934" s="22" t="str">
        <f>IF(OR($A934="",D934="",D934&lt;=0,Séries!S933=""),"",D934/Séries!S933-1)</f>
        <v/>
      </c>
      <c r="I934" s="22" t="str">
        <f>IF(OR($A934="",E934="",E934&lt;=0,Séries!T933=""),"",E934/Séries!T933-1)</f>
        <v/>
      </c>
      <c r="J934" s="27"/>
      <c r="K934" s="1" t="str">
        <f>IF(COUNTA(A934:E934)=0,"",IF(A934="","Preencha a data",IF(NOT(ISNUMBER(A934)),"Data inválida",IF(OR(A934&lt;36526,A934&gt;73050,A934&lt;&gt;INT(A934)),"Data inválida",IF(A934&lt;=Séries!U933,"Data repetida / fora de ordem",IF(COUNTA(B934:E934)&lt;&gt;COUNT(B934:E934),"Use preços numéricos",IF(OR(AND(ISNUMBER(B934),B934&lt;=0),AND(ISNUMBER(C934),C934&lt;=0),AND(ISNUMBER(D934),D934&lt;=0),AND(ISNUMBER(E934),E934&lt;=0)),"Use preços positivos","")))))))</f>
        <v/>
      </c>
    </row>
    <row r="935" spans="1:11" ht="22.95" customHeight="1">
      <c r="A935" s="28"/>
      <c r="B935" s="29"/>
      <c r="C935" s="29"/>
      <c r="D935" s="29"/>
      <c r="E935" s="30"/>
      <c r="F935" s="22" t="str">
        <f>IF(OR($A935="",B935="",B935&lt;=0,Séries!Q934=""),"",B935/Séries!Q934-1)</f>
        <v/>
      </c>
      <c r="G935" s="22" t="str">
        <f>IF(OR($A935="",C935="",C935&lt;=0,Séries!R934=""),"",C935/Séries!R934-1)</f>
        <v/>
      </c>
      <c r="H935" s="22" t="str">
        <f>IF(OR($A935="",D935="",D935&lt;=0,Séries!S934=""),"",D935/Séries!S934-1)</f>
        <v/>
      </c>
      <c r="I935" s="22" t="str">
        <f>IF(OR($A935="",E935="",E935&lt;=0,Séries!T934=""),"",E935/Séries!T934-1)</f>
        <v/>
      </c>
      <c r="J935" s="27"/>
      <c r="K935" s="1" t="str">
        <f>IF(COUNTA(A935:E935)=0,"",IF(A935="","Preencha a data",IF(NOT(ISNUMBER(A935)),"Data inválida",IF(OR(A935&lt;36526,A935&gt;73050,A935&lt;&gt;INT(A935)),"Data inválida",IF(A935&lt;=Séries!U934,"Data repetida / fora de ordem",IF(COUNTA(B935:E935)&lt;&gt;COUNT(B935:E935),"Use preços numéricos",IF(OR(AND(ISNUMBER(B935),B935&lt;=0),AND(ISNUMBER(C935),C935&lt;=0),AND(ISNUMBER(D935),D935&lt;=0),AND(ISNUMBER(E935),E935&lt;=0)),"Use preços positivos","")))))))</f>
        <v/>
      </c>
    </row>
    <row r="936" spans="1:11" ht="22.95" customHeight="1">
      <c r="A936" s="28"/>
      <c r="B936" s="29"/>
      <c r="C936" s="29"/>
      <c r="D936" s="29"/>
      <c r="E936" s="30"/>
      <c r="F936" s="22" t="str">
        <f>IF(OR($A936="",B936="",B936&lt;=0,Séries!Q935=""),"",B936/Séries!Q935-1)</f>
        <v/>
      </c>
      <c r="G936" s="22" t="str">
        <f>IF(OR($A936="",C936="",C936&lt;=0,Séries!R935=""),"",C936/Séries!R935-1)</f>
        <v/>
      </c>
      <c r="H936" s="22" t="str">
        <f>IF(OR($A936="",D936="",D936&lt;=0,Séries!S935=""),"",D936/Séries!S935-1)</f>
        <v/>
      </c>
      <c r="I936" s="22" t="str">
        <f>IF(OR($A936="",E936="",E936&lt;=0,Séries!T935=""),"",E936/Séries!T935-1)</f>
        <v/>
      </c>
      <c r="J936" s="27"/>
      <c r="K936" s="1" t="str">
        <f>IF(COUNTA(A936:E936)=0,"",IF(A936="","Preencha a data",IF(NOT(ISNUMBER(A936)),"Data inválida",IF(OR(A936&lt;36526,A936&gt;73050,A936&lt;&gt;INT(A936)),"Data inválida",IF(A936&lt;=Séries!U935,"Data repetida / fora de ordem",IF(COUNTA(B936:E936)&lt;&gt;COUNT(B936:E936),"Use preços numéricos",IF(OR(AND(ISNUMBER(B936),B936&lt;=0),AND(ISNUMBER(C936),C936&lt;=0),AND(ISNUMBER(D936),D936&lt;=0),AND(ISNUMBER(E936),E936&lt;=0)),"Use preços positivos","")))))))</f>
        <v/>
      </c>
    </row>
    <row r="937" spans="1:11" ht="22.95" customHeight="1">
      <c r="A937" s="28"/>
      <c r="B937" s="29"/>
      <c r="C937" s="29"/>
      <c r="D937" s="29"/>
      <c r="E937" s="30"/>
      <c r="F937" s="22" t="str">
        <f>IF(OR($A937="",B937="",B937&lt;=0,Séries!Q936=""),"",B937/Séries!Q936-1)</f>
        <v/>
      </c>
      <c r="G937" s="22" t="str">
        <f>IF(OR($A937="",C937="",C937&lt;=0,Séries!R936=""),"",C937/Séries!R936-1)</f>
        <v/>
      </c>
      <c r="H937" s="22" t="str">
        <f>IF(OR($A937="",D937="",D937&lt;=0,Séries!S936=""),"",D937/Séries!S936-1)</f>
        <v/>
      </c>
      <c r="I937" s="22" t="str">
        <f>IF(OR($A937="",E937="",E937&lt;=0,Séries!T936=""),"",E937/Séries!T936-1)</f>
        <v/>
      </c>
      <c r="J937" s="27"/>
      <c r="K937" s="1" t="str">
        <f>IF(COUNTA(A937:E937)=0,"",IF(A937="","Preencha a data",IF(NOT(ISNUMBER(A937)),"Data inválida",IF(OR(A937&lt;36526,A937&gt;73050,A937&lt;&gt;INT(A937)),"Data inválida",IF(A937&lt;=Séries!U936,"Data repetida / fora de ordem",IF(COUNTA(B937:E937)&lt;&gt;COUNT(B937:E937),"Use preços numéricos",IF(OR(AND(ISNUMBER(B937),B937&lt;=0),AND(ISNUMBER(C937),C937&lt;=0),AND(ISNUMBER(D937),D937&lt;=0),AND(ISNUMBER(E937),E937&lt;=0)),"Use preços positivos","")))))))</f>
        <v/>
      </c>
    </row>
    <row r="938" spans="1:11" ht="22.95" customHeight="1">
      <c r="A938" s="28"/>
      <c r="B938" s="29"/>
      <c r="C938" s="29"/>
      <c r="D938" s="29"/>
      <c r="E938" s="30"/>
      <c r="F938" s="22" t="str">
        <f>IF(OR($A938="",B938="",B938&lt;=0,Séries!Q937=""),"",B938/Séries!Q937-1)</f>
        <v/>
      </c>
      <c r="G938" s="22" t="str">
        <f>IF(OR($A938="",C938="",C938&lt;=0,Séries!R937=""),"",C938/Séries!R937-1)</f>
        <v/>
      </c>
      <c r="H938" s="22" t="str">
        <f>IF(OR($A938="",D938="",D938&lt;=0,Séries!S937=""),"",D938/Séries!S937-1)</f>
        <v/>
      </c>
      <c r="I938" s="22" t="str">
        <f>IF(OR($A938="",E938="",E938&lt;=0,Séries!T937=""),"",E938/Séries!T937-1)</f>
        <v/>
      </c>
      <c r="J938" s="27"/>
      <c r="K938" s="1" t="str">
        <f>IF(COUNTA(A938:E938)=0,"",IF(A938="","Preencha a data",IF(NOT(ISNUMBER(A938)),"Data inválida",IF(OR(A938&lt;36526,A938&gt;73050,A938&lt;&gt;INT(A938)),"Data inválida",IF(A938&lt;=Séries!U937,"Data repetida / fora de ordem",IF(COUNTA(B938:E938)&lt;&gt;COUNT(B938:E938),"Use preços numéricos",IF(OR(AND(ISNUMBER(B938),B938&lt;=0),AND(ISNUMBER(C938),C938&lt;=0),AND(ISNUMBER(D938),D938&lt;=0),AND(ISNUMBER(E938),E938&lt;=0)),"Use preços positivos","")))))))</f>
        <v/>
      </c>
    </row>
    <row r="939" spans="1:11" ht="22.95" customHeight="1">
      <c r="A939" s="28"/>
      <c r="B939" s="29"/>
      <c r="C939" s="29"/>
      <c r="D939" s="29"/>
      <c r="E939" s="30"/>
      <c r="F939" s="22" t="str">
        <f>IF(OR($A939="",B939="",B939&lt;=0,Séries!Q938=""),"",B939/Séries!Q938-1)</f>
        <v/>
      </c>
      <c r="G939" s="22" t="str">
        <f>IF(OR($A939="",C939="",C939&lt;=0,Séries!R938=""),"",C939/Séries!R938-1)</f>
        <v/>
      </c>
      <c r="H939" s="22" t="str">
        <f>IF(OR($A939="",D939="",D939&lt;=0,Séries!S938=""),"",D939/Séries!S938-1)</f>
        <v/>
      </c>
      <c r="I939" s="22" t="str">
        <f>IF(OR($A939="",E939="",E939&lt;=0,Séries!T938=""),"",E939/Séries!T938-1)</f>
        <v/>
      </c>
      <c r="J939" s="27"/>
      <c r="K939" s="1" t="str">
        <f>IF(COUNTA(A939:E939)=0,"",IF(A939="","Preencha a data",IF(NOT(ISNUMBER(A939)),"Data inválida",IF(OR(A939&lt;36526,A939&gt;73050,A939&lt;&gt;INT(A939)),"Data inválida",IF(A939&lt;=Séries!U938,"Data repetida / fora de ordem",IF(COUNTA(B939:E939)&lt;&gt;COUNT(B939:E939),"Use preços numéricos",IF(OR(AND(ISNUMBER(B939),B939&lt;=0),AND(ISNUMBER(C939),C939&lt;=0),AND(ISNUMBER(D939),D939&lt;=0),AND(ISNUMBER(E939),E939&lt;=0)),"Use preços positivos","")))))))</f>
        <v/>
      </c>
    </row>
    <row r="940" spans="1:11" ht="22.95" customHeight="1">
      <c r="A940" s="28"/>
      <c r="B940" s="29"/>
      <c r="C940" s="29"/>
      <c r="D940" s="29"/>
      <c r="E940" s="30"/>
      <c r="F940" s="22" t="str">
        <f>IF(OR($A940="",B940="",B940&lt;=0,Séries!Q939=""),"",B940/Séries!Q939-1)</f>
        <v/>
      </c>
      <c r="G940" s="22" t="str">
        <f>IF(OR($A940="",C940="",C940&lt;=0,Séries!R939=""),"",C940/Séries!R939-1)</f>
        <v/>
      </c>
      <c r="H940" s="22" t="str">
        <f>IF(OR($A940="",D940="",D940&lt;=0,Séries!S939=""),"",D940/Séries!S939-1)</f>
        <v/>
      </c>
      <c r="I940" s="22" t="str">
        <f>IF(OR($A940="",E940="",E940&lt;=0,Séries!T939=""),"",E940/Séries!T939-1)</f>
        <v/>
      </c>
      <c r="J940" s="27"/>
      <c r="K940" s="1" t="str">
        <f>IF(COUNTA(A940:E940)=0,"",IF(A940="","Preencha a data",IF(NOT(ISNUMBER(A940)),"Data inválida",IF(OR(A940&lt;36526,A940&gt;73050,A940&lt;&gt;INT(A940)),"Data inválida",IF(A940&lt;=Séries!U939,"Data repetida / fora de ordem",IF(COUNTA(B940:E940)&lt;&gt;COUNT(B940:E940),"Use preços numéricos",IF(OR(AND(ISNUMBER(B940),B940&lt;=0),AND(ISNUMBER(C940),C940&lt;=0),AND(ISNUMBER(D940),D940&lt;=0),AND(ISNUMBER(E940),E940&lt;=0)),"Use preços positivos","")))))))</f>
        <v/>
      </c>
    </row>
    <row r="941" spans="1:11" ht="22.95" customHeight="1">
      <c r="A941" s="28"/>
      <c r="B941" s="29"/>
      <c r="C941" s="29"/>
      <c r="D941" s="29"/>
      <c r="E941" s="30"/>
      <c r="F941" s="22" t="str">
        <f>IF(OR($A941="",B941="",B941&lt;=0,Séries!Q940=""),"",B941/Séries!Q940-1)</f>
        <v/>
      </c>
      <c r="G941" s="22" t="str">
        <f>IF(OR($A941="",C941="",C941&lt;=0,Séries!R940=""),"",C941/Séries!R940-1)</f>
        <v/>
      </c>
      <c r="H941" s="22" t="str">
        <f>IF(OR($A941="",D941="",D941&lt;=0,Séries!S940=""),"",D941/Séries!S940-1)</f>
        <v/>
      </c>
      <c r="I941" s="22" t="str">
        <f>IF(OR($A941="",E941="",E941&lt;=0,Séries!T940=""),"",E941/Séries!T940-1)</f>
        <v/>
      </c>
      <c r="J941" s="27"/>
      <c r="K941" s="1" t="str">
        <f>IF(COUNTA(A941:E941)=0,"",IF(A941="","Preencha a data",IF(NOT(ISNUMBER(A941)),"Data inválida",IF(OR(A941&lt;36526,A941&gt;73050,A941&lt;&gt;INT(A941)),"Data inválida",IF(A941&lt;=Séries!U940,"Data repetida / fora de ordem",IF(COUNTA(B941:E941)&lt;&gt;COUNT(B941:E941),"Use preços numéricos",IF(OR(AND(ISNUMBER(B941),B941&lt;=0),AND(ISNUMBER(C941),C941&lt;=0),AND(ISNUMBER(D941),D941&lt;=0),AND(ISNUMBER(E941),E941&lt;=0)),"Use preços positivos","")))))))</f>
        <v/>
      </c>
    </row>
    <row r="942" spans="1:11" ht="22.95" customHeight="1">
      <c r="A942" s="28"/>
      <c r="B942" s="29"/>
      <c r="C942" s="29"/>
      <c r="D942" s="29"/>
      <c r="E942" s="30"/>
      <c r="F942" s="22" t="str">
        <f>IF(OR($A942="",B942="",B942&lt;=0,Séries!Q941=""),"",B942/Séries!Q941-1)</f>
        <v/>
      </c>
      <c r="G942" s="22" t="str">
        <f>IF(OR($A942="",C942="",C942&lt;=0,Séries!R941=""),"",C942/Séries!R941-1)</f>
        <v/>
      </c>
      <c r="H942" s="22" t="str">
        <f>IF(OR($A942="",D942="",D942&lt;=0,Séries!S941=""),"",D942/Séries!S941-1)</f>
        <v/>
      </c>
      <c r="I942" s="22" t="str">
        <f>IF(OR($A942="",E942="",E942&lt;=0,Séries!T941=""),"",E942/Séries!T941-1)</f>
        <v/>
      </c>
      <c r="J942" s="27"/>
      <c r="K942" s="1" t="str">
        <f>IF(COUNTA(A942:E942)=0,"",IF(A942="","Preencha a data",IF(NOT(ISNUMBER(A942)),"Data inválida",IF(OR(A942&lt;36526,A942&gt;73050,A942&lt;&gt;INT(A942)),"Data inválida",IF(A942&lt;=Séries!U941,"Data repetida / fora de ordem",IF(COUNTA(B942:E942)&lt;&gt;COUNT(B942:E942),"Use preços numéricos",IF(OR(AND(ISNUMBER(B942),B942&lt;=0),AND(ISNUMBER(C942),C942&lt;=0),AND(ISNUMBER(D942),D942&lt;=0),AND(ISNUMBER(E942),E942&lt;=0)),"Use preços positivos","")))))))</f>
        <v/>
      </c>
    </row>
    <row r="943" spans="1:11" ht="22.95" customHeight="1">
      <c r="A943" s="28"/>
      <c r="B943" s="29"/>
      <c r="C943" s="29"/>
      <c r="D943" s="29"/>
      <c r="E943" s="30"/>
      <c r="F943" s="22" t="str">
        <f>IF(OR($A943="",B943="",B943&lt;=0,Séries!Q942=""),"",B943/Séries!Q942-1)</f>
        <v/>
      </c>
      <c r="G943" s="22" t="str">
        <f>IF(OR($A943="",C943="",C943&lt;=0,Séries!R942=""),"",C943/Séries!R942-1)</f>
        <v/>
      </c>
      <c r="H943" s="22" t="str">
        <f>IF(OR($A943="",D943="",D943&lt;=0,Séries!S942=""),"",D943/Séries!S942-1)</f>
        <v/>
      </c>
      <c r="I943" s="22" t="str">
        <f>IF(OR($A943="",E943="",E943&lt;=0,Séries!T942=""),"",E943/Séries!T942-1)</f>
        <v/>
      </c>
      <c r="J943" s="27"/>
      <c r="K943" s="1" t="str">
        <f>IF(COUNTA(A943:E943)=0,"",IF(A943="","Preencha a data",IF(NOT(ISNUMBER(A943)),"Data inválida",IF(OR(A943&lt;36526,A943&gt;73050,A943&lt;&gt;INT(A943)),"Data inválida",IF(A943&lt;=Séries!U942,"Data repetida / fora de ordem",IF(COUNTA(B943:E943)&lt;&gt;COUNT(B943:E943),"Use preços numéricos",IF(OR(AND(ISNUMBER(B943),B943&lt;=0),AND(ISNUMBER(C943),C943&lt;=0),AND(ISNUMBER(D943),D943&lt;=0),AND(ISNUMBER(E943),E943&lt;=0)),"Use preços positivos","")))))))</f>
        <v/>
      </c>
    </row>
    <row r="944" spans="1:11" ht="22.95" customHeight="1">
      <c r="A944" s="28"/>
      <c r="B944" s="29"/>
      <c r="C944" s="29"/>
      <c r="D944" s="29"/>
      <c r="E944" s="30"/>
      <c r="F944" s="22" t="str">
        <f>IF(OR($A944="",B944="",B944&lt;=0,Séries!Q943=""),"",B944/Séries!Q943-1)</f>
        <v/>
      </c>
      <c r="G944" s="22" t="str">
        <f>IF(OR($A944="",C944="",C944&lt;=0,Séries!R943=""),"",C944/Séries!R943-1)</f>
        <v/>
      </c>
      <c r="H944" s="22" t="str">
        <f>IF(OR($A944="",D944="",D944&lt;=0,Séries!S943=""),"",D944/Séries!S943-1)</f>
        <v/>
      </c>
      <c r="I944" s="22" t="str">
        <f>IF(OR($A944="",E944="",E944&lt;=0,Séries!T943=""),"",E944/Séries!T943-1)</f>
        <v/>
      </c>
      <c r="J944" s="27"/>
      <c r="K944" s="1" t="str">
        <f>IF(COUNTA(A944:E944)=0,"",IF(A944="","Preencha a data",IF(NOT(ISNUMBER(A944)),"Data inválida",IF(OR(A944&lt;36526,A944&gt;73050,A944&lt;&gt;INT(A944)),"Data inválida",IF(A944&lt;=Séries!U943,"Data repetida / fora de ordem",IF(COUNTA(B944:E944)&lt;&gt;COUNT(B944:E944),"Use preços numéricos",IF(OR(AND(ISNUMBER(B944),B944&lt;=0),AND(ISNUMBER(C944),C944&lt;=0),AND(ISNUMBER(D944),D944&lt;=0),AND(ISNUMBER(E944),E944&lt;=0)),"Use preços positivos","")))))))</f>
        <v/>
      </c>
    </row>
    <row r="945" spans="1:11" ht="22.95" customHeight="1">
      <c r="A945" s="28"/>
      <c r="B945" s="29"/>
      <c r="C945" s="29"/>
      <c r="D945" s="29"/>
      <c r="E945" s="30"/>
      <c r="F945" s="22" t="str">
        <f>IF(OR($A945="",B945="",B945&lt;=0,Séries!Q944=""),"",B945/Séries!Q944-1)</f>
        <v/>
      </c>
      <c r="G945" s="22" t="str">
        <f>IF(OR($A945="",C945="",C945&lt;=0,Séries!R944=""),"",C945/Séries!R944-1)</f>
        <v/>
      </c>
      <c r="H945" s="22" t="str">
        <f>IF(OR($A945="",D945="",D945&lt;=0,Séries!S944=""),"",D945/Séries!S944-1)</f>
        <v/>
      </c>
      <c r="I945" s="22" t="str">
        <f>IF(OR($A945="",E945="",E945&lt;=0,Séries!T944=""),"",E945/Séries!T944-1)</f>
        <v/>
      </c>
      <c r="J945" s="27"/>
      <c r="K945" s="1" t="str">
        <f>IF(COUNTA(A945:E945)=0,"",IF(A945="","Preencha a data",IF(NOT(ISNUMBER(A945)),"Data inválida",IF(OR(A945&lt;36526,A945&gt;73050,A945&lt;&gt;INT(A945)),"Data inválida",IF(A945&lt;=Séries!U944,"Data repetida / fora de ordem",IF(COUNTA(B945:E945)&lt;&gt;COUNT(B945:E945),"Use preços numéricos",IF(OR(AND(ISNUMBER(B945),B945&lt;=0),AND(ISNUMBER(C945),C945&lt;=0),AND(ISNUMBER(D945),D945&lt;=0),AND(ISNUMBER(E945),E945&lt;=0)),"Use preços positivos","")))))))</f>
        <v/>
      </c>
    </row>
    <row r="946" spans="1:11" ht="22.95" customHeight="1">
      <c r="A946" s="28"/>
      <c r="B946" s="29"/>
      <c r="C946" s="29"/>
      <c r="D946" s="29"/>
      <c r="E946" s="30"/>
      <c r="F946" s="22" t="str">
        <f>IF(OR($A946="",B946="",B946&lt;=0,Séries!Q945=""),"",B946/Séries!Q945-1)</f>
        <v/>
      </c>
      <c r="G946" s="22" t="str">
        <f>IF(OR($A946="",C946="",C946&lt;=0,Séries!R945=""),"",C946/Séries!R945-1)</f>
        <v/>
      </c>
      <c r="H946" s="22" t="str">
        <f>IF(OR($A946="",D946="",D946&lt;=0,Séries!S945=""),"",D946/Séries!S945-1)</f>
        <v/>
      </c>
      <c r="I946" s="22" t="str">
        <f>IF(OR($A946="",E946="",E946&lt;=0,Séries!T945=""),"",E946/Séries!T945-1)</f>
        <v/>
      </c>
      <c r="J946" s="27"/>
      <c r="K946" s="1" t="str">
        <f>IF(COUNTA(A946:E946)=0,"",IF(A946="","Preencha a data",IF(NOT(ISNUMBER(A946)),"Data inválida",IF(OR(A946&lt;36526,A946&gt;73050,A946&lt;&gt;INT(A946)),"Data inválida",IF(A946&lt;=Séries!U945,"Data repetida / fora de ordem",IF(COUNTA(B946:E946)&lt;&gt;COUNT(B946:E946),"Use preços numéricos",IF(OR(AND(ISNUMBER(B946),B946&lt;=0),AND(ISNUMBER(C946),C946&lt;=0),AND(ISNUMBER(D946),D946&lt;=0),AND(ISNUMBER(E946),E946&lt;=0)),"Use preços positivos","")))))))</f>
        <v/>
      </c>
    </row>
    <row r="947" spans="1:11" ht="22.95" customHeight="1">
      <c r="A947" s="28"/>
      <c r="B947" s="29"/>
      <c r="C947" s="29"/>
      <c r="D947" s="29"/>
      <c r="E947" s="30"/>
      <c r="F947" s="22" t="str">
        <f>IF(OR($A947="",B947="",B947&lt;=0,Séries!Q946=""),"",B947/Séries!Q946-1)</f>
        <v/>
      </c>
      <c r="G947" s="22" t="str">
        <f>IF(OR($A947="",C947="",C947&lt;=0,Séries!R946=""),"",C947/Séries!R946-1)</f>
        <v/>
      </c>
      <c r="H947" s="22" t="str">
        <f>IF(OR($A947="",D947="",D947&lt;=0,Séries!S946=""),"",D947/Séries!S946-1)</f>
        <v/>
      </c>
      <c r="I947" s="22" t="str">
        <f>IF(OR($A947="",E947="",E947&lt;=0,Séries!T946=""),"",E947/Séries!T946-1)</f>
        <v/>
      </c>
      <c r="J947" s="27"/>
      <c r="K947" s="1" t="str">
        <f>IF(COUNTA(A947:E947)=0,"",IF(A947="","Preencha a data",IF(NOT(ISNUMBER(A947)),"Data inválida",IF(OR(A947&lt;36526,A947&gt;73050,A947&lt;&gt;INT(A947)),"Data inválida",IF(A947&lt;=Séries!U946,"Data repetida / fora de ordem",IF(COUNTA(B947:E947)&lt;&gt;COUNT(B947:E947),"Use preços numéricos",IF(OR(AND(ISNUMBER(B947),B947&lt;=0),AND(ISNUMBER(C947),C947&lt;=0),AND(ISNUMBER(D947),D947&lt;=0),AND(ISNUMBER(E947),E947&lt;=0)),"Use preços positivos","")))))))</f>
        <v/>
      </c>
    </row>
    <row r="948" spans="1:11" ht="22.95" customHeight="1">
      <c r="A948" s="28"/>
      <c r="B948" s="29"/>
      <c r="C948" s="29"/>
      <c r="D948" s="29"/>
      <c r="E948" s="30"/>
      <c r="F948" s="22" t="str">
        <f>IF(OR($A948="",B948="",B948&lt;=0,Séries!Q947=""),"",B948/Séries!Q947-1)</f>
        <v/>
      </c>
      <c r="G948" s="22" t="str">
        <f>IF(OR($A948="",C948="",C948&lt;=0,Séries!R947=""),"",C948/Séries!R947-1)</f>
        <v/>
      </c>
      <c r="H948" s="22" t="str">
        <f>IF(OR($A948="",D948="",D948&lt;=0,Séries!S947=""),"",D948/Séries!S947-1)</f>
        <v/>
      </c>
      <c r="I948" s="22" t="str">
        <f>IF(OR($A948="",E948="",E948&lt;=0,Séries!T947=""),"",E948/Séries!T947-1)</f>
        <v/>
      </c>
      <c r="J948" s="27"/>
      <c r="K948" s="1" t="str">
        <f>IF(COUNTA(A948:E948)=0,"",IF(A948="","Preencha a data",IF(NOT(ISNUMBER(A948)),"Data inválida",IF(OR(A948&lt;36526,A948&gt;73050,A948&lt;&gt;INT(A948)),"Data inválida",IF(A948&lt;=Séries!U947,"Data repetida / fora de ordem",IF(COUNTA(B948:E948)&lt;&gt;COUNT(B948:E948),"Use preços numéricos",IF(OR(AND(ISNUMBER(B948),B948&lt;=0),AND(ISNUMBER(C948),C948&lt;=0),AND(ISNUMBER(D948),D948&lt;=0),AND(ISNUMBER(E948),E948&lt;=0)),"Use preços positivos","")))))))</f>
        <v/>
      </c>
    </row>
    <row r="949" spans="1:11" ht="22.95" customHeight="1">
      <c r="A949" s="28"/>
      <c r="B949" s="29"/>
      <c r="C949" s="29"/>
      <c r="D949" s="29"/>
      <c r="E949" s="30"/>
      <c r="F949" s="22" t="str">
        <f>IF(OR($A949="",B949="",B949&lt;=0,Séries!Q948=""),"",B949/Séries!Q948-1)</f>
        <v/>
      </c>
      <c r="G949" s="22" t="str">
        <f>IF(OR($A949="",C949="",C949&lt;=0,Séries!R948=""),"",C949/Séries!R948-1)</f>
        <v/>
      </c>
      <c r="H949" s="22" t="str">
        <f>IF(OR($A949="",D949="",D949&lt;=0,Séries!S948=""),"",D949/Séries!S948-1)</f>
        <v/>
      </c>
      <c r="I949" s="22" t="str">
        <f>IF(OR($A949="",E949="",E949&lt;=0,Séries!T948=""),"",E949/Séries!T948-1)</f>
        <v/>
      </c>
      <c r="J949" s="27"/>
      <c r="K949" s="1" t="str">
        <f>IF(COUNTA(A949:E949)=0,"",IF(A949="","Preencha a data",IF(NOT(ISNUMBER(A949)),"Data inválida",IF(OR(A949&lt;36526,A949&gt;73050,A949&lt;&gt;INT(A949)),"Data inválida",IF(A949&lt;=Séries!U948,"Data repetida / fora de ordem",IF(COUNTA(B949:E949)&lt;&gt;COUNT(B949:E949),"Use preços numéricos",IF(OR(AND(ISNUMBER(B949),B949&lt;=0),AND(ISNUMBER(C949),C949&lt;=0),AND(ISNUMBER(D949),D949&lt;=0),AND(ISNUMBER(E949),E949&lt;=0)),"Use preços positivos","")))))))</f>
        <v/>
      </c>
    </row>
    <row r="950" spans="1:11" ht="22.95" customHeight="1">
      <c r="A950" s="28"/>
      <c r="B950" s="29"/>
      <c r="C950" s="29"/>
      <c r="D950" s="29"/>
      <c r="E950" s="30"/>
      <c r="F950" s="22" t="str">
        <f>IF(OR($A950="",B950="",B950&lt;=0,Séries!Q949=""),"",B950/Séries!Q949-1)</f>
        <v/>
      </c>
      <c r="G950" s="22" t="str">
        <f>IF(OR($A950="",C950="",C950&lt;=0,Séries!R949=""),"",C950/Séries!R949-1)</f>
        <v/>
      </c>
      <c r="H950" s="22" t="str">
        <f>IF(OR($A950="",D950="",D950&lt;=0,Séries!S949=""),"",D950/Séries!S949-1)</f>
        <v/>
      </c>
      <c r="I950" s="22" t="str">
        <f>IF(OR($A950="",E950="",E950&lt;=0,Séries!T949=""),"",E950/Séries!T949-1)</f>
        <v/>
      </c>
      <c r="J950" s="27"/>
      <c r="K950" s="1" t="str">
        <f>IF(COUNTA(A950:E950)=0,"",IF(A950="","Preencha a data",IF(NOT(ISNUMBER(A950)),"Data inválida",IF(OR(A950&lt;36526,A950&gt;73050,A950&lt;&gt;INT(A950)),"Data inválida",IF(A950&lt;=Séries!U949,"Data repetida / fora de ordem",IF(COUNTA(B950:E950)&lt;&gt;COUNT(B950:E950),"Use preços numéricos",IF(OR(AND(ISNUMBER(B950),B950&lt;=0),AND(ISNUMBER(C950),C950&lt;=0),AND(ISNUMBER(D950),D950&lt;=0),AND(ISNUMBER(E950),E950&lt;=0)),"Use preços positivos","")))))))</f>
        <v/>
      </c>
    </row>
    <row r="951" spans="1:11" ht="22.95" customHeight="1">
      <c r="A951" s="28"/>
      <c r="B951" s="29"/>
      <c r="C951" s="29"/>
      <c r="D951" s="29"/>
      <c r="E951" s="30"/>
      <c r="F951" s="22" t="str">
        <f>IF(OR($A951="",B951="",B951&lt;=0,Séries!Q950=""),"",B951/Séries!Q950-1)</f>
        <v/>
      </c>
      <c r="G951" s="22" t="str">
        <f>IF(OR($A951="",C951="",C951&lt;=0,Séries!R950=""),"",C951/Séries!R950-1)</f>
        <v/>
      </c>
      <c r="H951" s="22" t="str">
        <f>IF(OR($A951="",D951="",D951&lt;=0,Séries!S950=""),"",D951/Séries!S950-1)</f>
        <v/>
      </c>
      <c r="I951" s="22" t="str">
        <f>IF(OR($A951="",E951="",E951&lt;=0,Séries!T950=""),"",E951/Séries!T950-1)</f>
        <v/>
      </c>
      <c r="J951" s="27"/>
      <c r="K951" s="1" t="str">
        <f>IF(COUNTA(A951:E951)=0,"",IF(A951="","Preencha a data",IF(NOT(ISNUMBER(A951)),"Data inválida",IF(OR(A951&lt;36526,A951&gt;73050,A951&lt;&gt;INT(A951)),"Data inválida",IF(A951&lt;=Séries!U950,"Data repetida / fora de ordem",IF(COUNTA(B951:E951)&lt;&gt;COUNT(B951:E951),"Use preços numéricos",IF(OR(AND(ISNUMBER(B951),B951&lt;=0),AND(ISNUMBER(C951),C951&lt;=0),AND(ISNUMBER(D951),D951&lt;=0),AND(ISNUMBER(E951),E951&lt;=0)),"Use preços positivos","")))))))</f>
        <v/>
      </c>
    </row>
    <row r="952" spans="1:11" ht="22.95" customHeight="1">
      <c r="A952" s="28"/>
      <c r="B952" s="29"/>
      <c r="C952" s="29"/>
      <c r="D952" s="29"/>
      <c r="E952" s="30"/>
      <c r="F952" s="22" t="str">
        <f>IF(OR($A952="",B952="",B952&lt;=0,Séries!Q951=""),"",B952/Séries!Q951-1)</f>
        <v/>
      </c>
      <c r="G952" s="22" t="str">
        <f>IF(OR($A952="",C952="",C952&lt;=0,Séries!R951=""),"",C952/Séries!R951-1)</f>
        <v/>
      </c>
      <c r="H952" s="22" t="str">
        <f>IF(OR($A952="",D952="",D952&lt;=0,Séries!S951=""),"",D952/Séries!S951-1)</f>
        <v/>
      </c>
      <c r="I952" s="22" t="str">
        <f>IF(OR($A952="",E952="",E952&lt;=0,Séries!T951=""),"",E952/Séries!T951-1)</f>
        <v/>
      </c>
      <c r="J952" s="27"/>
      <c r="K952" s="1" t="str">
        <f>IF(COUNTA(A952:E952)=0,"",IF(A952="","Preencha a data",IF(NOT(ISNUMBER(A952)),"Data inválida",IF(OR(A952&lt;36526,A952&gt;73050,A952&lt;&gt;INT(A952)),"Data inválida",IF(A952&lt;=Séries!U951,"Data repetida / fora de ordem",IF(COUNTA(B952:E952)&lt;&gt;COUNT(B952:E952),"Use preços numéricos",IF(OR(AND(ISNUMBER(B952),B952&lt;=0),AND(ISNUMBER(C952),C952&lt;=0),AND(ISNUMBER(D952),D952&lt;=0),AND(ISNUMBER(E952),E952&lt;=0)),"Use preços positivos","")))))))</f>
        <v/>
      </c>
    </row>
    <row r="953" spans="1:11" ht="22.95" customHeight="1">
      <c r="A953" s="28"/>
      <c r="B953" s="29"/>
      <c r="C953" s="29"/>
      <c r="D953" s="29"/>
      <c r="E953" s="30"/>
      <c r="F953" s="22" t="str">
        <f>IF(OR($A953="",B953="",B953&lt;=0,Séries!Q952=""),"",B953/Séries!Q952-1)</f>
        <v/>
      </c>
      <c r="G953" s="22" t="str">
        <f>IF(OR($A953="",C953="",C953&lt;=0,Séries!R952=""),"",C953/Séries!R952-1)</f>
        <v/>
      </c>
      <c r="H953" s="22" t="str">
        <f>IF(OR($A953="",D953="",D953&lt;=0,Séries!S952=""),"",D953/Séries!S952-1)</f>
        <v/>
      </c>
      <c r="I953" s="22" t="str">
        <f>IF(OR($A953="",E953="",E953&lt;=0,Séries!T952=""),"",E953/Séries!T952-1)</f>
        <v/>
      </c>
      <c r="J953" s="27"/>
      <c r="K953" s="1" t="str">
        <f>IF(COUNTA(A953:E953)=0,"",IF(A953="","Preencha a data",IF(NOT(ISNUMBER(A953)),"Data inválida",IF(OR(A953&lt;36526,A953&gt;73050,A953&lt;&gt;INT(A953)),"Data inválida",IF(A953&lt;=Séries!U952,"Data repetida / fora de ordem",IF(COUNTA(B953:E953)&lt;&gt;COUNT(B953:E953),"Use preços numéricos",IF(OR(AND(ISNUMBER(B953),B953&lt;=0),AND(ISNUMBER(C953),C953&lt;=0),AND(ISNUMBER(D953),D953&lt;=0),AND(ISNUMBER(E953),E953&lt;=0)),"Use preços positivos","")))))))</f>
        <v/>
      </c>
    </row>
    <row r="954" spans="1:11" ht="22.95" customHeight="1">
      <c r="A954" s="28"/>
      <c r="B954" s="29"/>
      <c r="C954" s="29"/>
      <c r="D954" s="29"/>
      <c r="E954" s="30"/>
      <c r="F954" s="22" t="str">
        <f>IF(OR($A954="",B954="",B954&lt;=0,Séries!Q953=""),"",B954/Séries!Q953-1)</f>
        <v/>
      </c>
      <c r="G954" s="22" t="str">
        <f>IF(OR($A954="",C954="",C954&lt;=0,Séries!R953=""),"",C954/Séries!R953-1)</f>
        <v/>
      </c>
      <c r="H954" s="22" t="str">
        <f>IF(OR($A954="",D954="",D954&lt;=0,Séries!S953=""),"",D954/Séries!S953-1)</f>
        <v/>
      </c>
      <c r="I954" s="22" t="str">
        <f>IF(OR($A954="",E954="",E954&lt;=0,Séries!T953=""),"",E954/Séries!T953-1)</f>
        <v/>
      </c>
      <c r="J954" s="27"/>
      <c r="K954" s="1" t="str">
        <f>IF(COUNTA(A954:E954)=0,"",IF(A954="","Preencha a data",IF(NOT(ISNUMBER(A954)),"Data inválida",IF(OR(A954&lt;36526,A954&gt;73050,A954&lt;&gt;INT(A954)),"Data inválida",IF(A954&lt;=Séries!U953,"Data repetida / fora de ordem",IF(COUNTA(B954:E954)&lt;&gt;COUNT(B954:E954),"Use preços numéricos",IF(OR(AND(ISNUMBER(B954),B954&lt;=0),AND(ISNUMBER(C954),C954&lt;=0),AND(ISNUMBER(D954),D954&lt;=0),AND(ISNUMBER(E954),E954&lt;=0)),"Use preços positivos","")))))))</f>
        <v/>
      </c>
    </row>
    <row r="955" spans="1:11" ht="22.95" customHeight="1">
      <c r="A955" s="28"/>
      <c r="B955" s="29"/>
      <c r="C955" s="29"/>
      <c r="D955" s="29"/>
      <c r="E955" s="30"/>
      <c r="F955" s="22" t="str">
        <f>IF(OR($A955="",B955="",B955&lt;=0,Séries!Q954=""),"",B955/Séries!Q954-1)</f>
        <v/>
      </c>
      <c r="G955" s="22" t="str">
        <f>IF(OR($A955="",C955="",C955&lt;=0,Séries!R954=""),"",C955/Séries!R954-1)</f>
        <v/>
      </c>
      <c r="H955" s="22" t="str">
        <f>IF(OR($A955="",D955="",D955&lt;=0,Séries!S954=""),"",D955/Séries!S954-1)</f>
        <v/>
      </c>
      <c r="I955" s="22" t="str">
        <f>IF(OR($A955="",E955="",E955&lt;=0,Séries!T954=""),"",E955/Séries!T954-1)</f>
        <v/>
      </c>
      <c r="J955" s="27"/>
      <c r="K955" s="1" t="str">
        <f>IF(COUNTA(A955:E955)=0,"",IF(A955="","Preencha a data",IF(NOT(ISNUMBER(A955)),"Data inválida",IF(OR(A955&lt;36526,A955&gt;73050,A955&lt;&gt;INT(A955)),"Data inválida",IF(A955&lt;=Séries!U954,"Data repetida / fora de ordem",IF(COUNTA(B955:E955)&lt;&gt;COUNT(B955:E955),"Use preços numéricos",IF(OR(AND(ISNUMBER(B955),B955&lt;=0),AND(ISNUMBER(C955),C955&lt;=0),AND(ISNUMBER(D955),D955&lt;=0),AND(ISNUMBER(E955),E955&lt;=0)),"Use preços positivos","")))))))</f>
        <v/>
      </c>
    </row>
    <row r="956" spans="1:11" ht="22.95" customHeight="1">
      <c r="A956" s="28"/>
      <c r="B956" s="29"/>
      <c r="C956" s="29"/>
      <c r="D956" s="29"/>
      <c r="E956" s="30"/>
      <c r="F956" s="22" t="str">
        <f>IF(OR($A956="",B956="",B956&lt;=0,Séries!Q955=""),"",B956/Séries!Q955-1)</f>
        <v/>
      </c>
      <c r="G956" s="22" t="str">
        <f>IF(OR($A956="",C956="",C956&lt;=0,Séries!R955=""),"",C956/Séries!R955-1)</f>
        <v/>
      </c>
      <c r="H956" s="22" t="str">
        <f>IF(OR($A956="",D956="",D956&lt;=0,Séries!S955=""),"",D956/Séries!S955-1)</f>
        <v/>
      </c>
      <c r="I956" s="22" t="str">
        <f>IF(OR($A956="",E956="",E956&lt;=0,Séries!T955=""),"",E956/Séries!T955-1)</f>
        <v/>
      </c>
      <c r="J956" s="27"/>
      <c r="K956" s="1" t="str">
        <f>IF(COUNTA(A956:E956)=0,"",IF(A956="","Preencha a data",IF(NOT(ISNUMBER(A956)),"Data inválida",IF(OR(A956&lt;36526,A956&gt;73050,A956&lt;&gt;INT(A956)),"Data inválida",IF(A956&lt;=Séries!U955,"Data repetida / fora de ordem",IF(COUNTA(B956:E956)&lt;&gt;COUNT(B956:E956),"Use preços numéricos",IF(OR(AND(ISNUMBER(B956),B956&lt;=0),AND(ISNUMBER(C956),C956&lt;=0),AND(ISNUMBER(D956),D956&lt;=0),AND(ISNUMBER(E956),E956&lt;=0)),"Use preços positivos","")))))))</f>
        <v/>
      </c>
    </row>
    <row r="957" spans="1:11" ht="22.95" customHeight="1">
      <c r="A957" s="28"/>
      <c r="B957" s="29"/>
      <c r="C957" s="29"/>
      <c r="D957" s="29"/>
      <c r="E957" s="30"/>
      <c r="F957" s="22" t="str">
        <f>IF(OR($A957="",B957="",B957&lt;=0,Séries!Q956=""),"",B957/Séries!Q956-1)</f>
        <v/>
      </c>
      <c r="G957" s="22" t="str">
        <f>IF(OR($A957="",C957="",C957&lt;=0,Séries!R956=""),"",C957/Séries!R956-1)</f>
        <v/>
      </c>
      <c r="H957" s="22" t="str">
        <f>IF(OR($A957="",D957="",D957&lt;=0,Séries!S956=""),"",D957/Séries!S956-1)</f>
        <v/>
      </c>
      <c r="I957" s="22" t="str">
        <f>IF(OR($A957="",E957="",E957&lt;=0,Séries!T956=""),"",E957/Séries!T956-1)</f>
        <v/>
      </c>
      <c r="J957" s="27"/>
      <c r="K957" s="1" t="str">
        <f>IF(COUNTA(A957:E957)=0,"",IF(A957="","Preencha a data",IF(NOT(ISNUMBER(A957)),"Data inválida",IF(OR(A957&lt;36526,A957&gt;73050,A957&lt;&gt;INT(A957)),"Data inválida",IF(A957&lt;=Séries!U956,"Data repetida / fora de ordem",IF(COUNTA(B957:E957)&lt;&gt;COUNT(B957:E957),"Use preços numéricos",IF(OR(AND(ISNUMBER(B957),B957&lt;=0),AND(ISNUMBER(C957),C957&lt;=0),AND(ISNUMBER(D957),D957&lt;=0),AND(ISNUMBER(E957),E957&lt;=0)),"Use preços positivos","")))))))</f>
        <v/>
      </c>
    </row>
    <row r="958" spans="1:11" ht="22.95" customHeight="1">
      <c r="A958" s="28"/>
      <c r="B958" s="29"/>
      <c r="C958" s="29"/>
      <c r="D958" s="29"/>
      <c r="E958" s="30"/>
      <c r="F958" s="22" t="str">
        <f>IF(OR($A958="",B958="",B958&lt;=0,Séries!Q957=""),"",B958/Séries!Q957-1)</f>
        <v/>
      </c>
      <c r="G958" s="22" t="str">
        <f>IF(OR($A958="",C958="",C958&lt;=0,Séries!R957=""),"",C958/Séries!R957-1)</f>
        <v/>
      </c>
      <c r="H958" s="22" t="str">
        <f>IF(OR($A958="",D958="",D958&lt;=0,Séries!S957=""),"",D958/Séries!S957-1)</f>
        <v/>
      </c>
      <c r="I958" s="22" t="str">
        <f>IF(OR($A958="",E958="",E958&lt;=0,Séries!T957=""),"",E958/Séries!T957-1)</f>
        <v/>
      </c>
      <c r="J958" s="27"/>
      <c r="K958" s="1" t="str">
        <f>IF(COUNTA(A958:E958)=0,"",IF(A958="","Preencha a data",IF(NOT(ISNUMBER(A958)),"Data inválida",IF(OR(A958&lt;36526,A958&gt;73050,A958&lt;&gt;INT(A958)),"Data inválida",IF(A958&lt;=Séries!U957,"Data repetida / fora de ordem",IF(COUNTA(B958:E958)&lt;&gt;COUNT(B958:E958),"Use preços numéricos",IF(OR(AND(ISNUMBER(B958),B958&lt;=0),AND(ISNUMBER(C958),C958&lt;=0),AND(ISNUMBER(D958),D958&lt;=0),AND(ISNUMBER(E958),E958&lt;=0)),"Use preços positivos","")))))))</f>
        <v/>
      </c>
    </row>
    <row r="959" spans="1:11" ht="22.95" customHeight="1">
      <c r="A959" s="28"/>
      <c r="B959" s="29"/>
      <c r="C959" s="29"/>
      <c r="D959" s="29"/>
      <c r="E959" s="30"/>
      <c r="F959" s="22" t="str">
        <f>IF(OR($A959="",B959="",B959&lt;=0,Séries!Q958=""),"",B959/Séries!Q958-1)</f>
        <v/>
      </c>
      <c r="G959" s="22" t="str">
        <f>IF(OR($A959="",C959="",C959&lt;=0,Séries!R958=""),"",C959/Séries!R958-1)</f>
        <v/>
      </c>
      <c r="H959" s="22" t="str">
        <f>IF(OR($A959="",D959="",D959&lt;=0,Séries!S958=""),"",D959/Séries!S958-1)</f>
        <v/>
      </c>
      <c r="I959" s="22" t="str">
        <f>IF(OR($A959="",E959="",E959&lt;=0,Séries!T958=""),"",E959/Séries!T958-1)</f>
        <v/>
      </c>
      <c r="J959" s="27"/>
      <c r="K959" s="1" t="str">
        <f>IF(COUNTA(A959:E959)=0,"",IF(A959="","Preencha a data",IF(NOT(ISNUMBER(A959)),"Data inválida",IF(OR(A959&lt;36526,A959&gt;73050,A959&lt;&gt;INT(A959)),"Data inválida",IF(A959&lt;=Séries!U958,"Data repetida / fora de ordem",IF(COUNTA(B959:E959)&lt;&gt;COUNT(B959:E959),"Use preços numéricos",IF(OR(AND(ISNUMBER(B959),B959&lt;=0),AND(ISNUMBER(C959),C959&lt;=0),AND(ISNUMBER(D959),D959&lt;=0),AND(ISNUMBER(E959),E959&lt;=0)),"Use preços positivos","")))))))</f>
        <v/>
      </c>
    </row>
    <row r="960" spans="1:11" ht="22.95" customHeight="1">
      <c r="A960" s="28"/>
      <c r="B960" s="29"/>
      <c r="C960" s="29"/>
      <c r="D960" s="29"/>
      <c r="E960" s="30"/>
      <c r="F960" s="22" t="str">
        <f>IF(OR($A960="",B960="",B960&lt;=0,Séries!Q959=""),"",B960/Séries!Q959-1)</f>
        <v/>
      </c>
      <c r="G960" s="22" t="str">
        <f>IF(OR($A960="",C960="",C960&lt;=0,Séries!R959=""),"",C960/Séries!R959-1)</f>
        <v/>
      </c>
      <c r="H960" s="22" t="str">
        <f>IF(OR($A960="",D960="",D960&lt;=0,Séries!S959=""),"",D960/Séries!S959-1)</f>
        <v/>
      </c>
      <c r="I960" s="22" t="str">
        <f>IF(OR($A960="",E960="",E960&lt;=0,Séries!T959=""),"",E960/Séries!T959-1)</f>
        <v/>
      </c>
      <c r="J960" s="27"/>
      <c r="K960" s="1" t="str">
        <f>IF(COUNTA(A960:E960)=0,"",IF(A960="","Preencha a data",IF(NOT(ISNUMBER(A960)),"Data inválida",IF(OR(A960&lt;36526,A960&gt;73050,A960&lt;&gt;INT(A960)),"Data inválida",IF(A960&lt;=Séries!U959,"Data repetida / fora de ordem",IF(COUNTA(B960:E960)&lt;&gt;COUNT(B960:E960),"Use preços numéricos",IF(OR(AND(ISNUMBER(B960),B960&lt;=0),AND(ISNUMBER(C960),C960&lt;=0),AND(ISNUMBER(D960),D960&lt;=0),AND(ISNUMBER(E960),E960&lt;=0)),"Use preços positivos","")))))))</f>
        <v/>
      </c>
    </row>
    <row r="961" spans="1:11" ht="22.95" customHeight="1">
      <c r="A961" s="28"/>
      <c r="B961" s="29"/>
      <c r="C961" s="29"/>
      <c r="D961" s="29"/>
      <c r="E961" s="30"/>
      <c r="F961" s="22" t="str">
        <f>IF(OR($A961="",B961="",B961&lt;=0,Séries!Q960=""),"",B961/Séries!Q960-1)</f>
        <v/>
      </c>
      <c r="G961" s="22" t="str">
        <f>IF(OR($A961="",C961="",C961&lt;=0,Séries!R960=""),"",C961/Séries!R960-1)</f>
        <v/>
      </c>
      <c r="H961" s="22" t="str">
        <f>IF(OR($A961="",D961="",D961&lt;=0,Séries!S960=""),"",D961/Séries!S960-1)</f>
        <v/>
      </c>
      <c r="I961" s="22" t="str">
        <f>IF(OR($A961="",E961="",E961&lt;=0,Séries!T960=""),"",E961/Séries!T960-1)</f>
        <v/>
      </c>
      <c r="J961" s="27"/>
      <c r="K961" s="1" t="str">
        <f>IF(COUNTA(A961:E961)=0,"",IF(A961="","Preencha a data",IF(NOT(ISNUMBER(A961)),"Data inválida",IF(OR(A961&lt;36526,A961&gt;73050,A961&lt;&gt;INT(A961)),"Data inválida",IF(A961&lt;=Séries!U960,"Data repetida / fora de ordem",IF(COUNTA(B961:E961)&lt;&gt;COUNT(B961:E961),"Use preços numéricos",IF(OR(AND(ISNUMBER(B961),B961&lt;=0),AND(ISNUMBER(C961),C961&lt;=0),AND(ISNUMBER(D961),D961&lt;=0),AND(ISNUMBER(E961),E961&lt;=0)),"Use preços positivos","")))))))</f>
        <v/>
      </c>
    </row>
    <row r="962" spans="1:11" ht="22.95" customHeight="1">
      <c r="A962" s="28"/>
      <c r="B962" s="29"/>
      <c r="C962" s="29"/>
      <c r="D962" s="29"/>
      <c r="E962" s="30"/>
      <c r="F962" s="22" t="str">
        <f>IF(OR($A962="",B962="",B962&lt;=0,Séries!Q961=""),"",B962/Séries!Q961-1)</f>
        <v/>
      </c>
      <c r="G962" s="22" t="str">
        <f>IF(OR($A962="",C962="",C962&lt;=0,Séries!R961=""),"",C962/Séries!R961-1)</f>
        <v/>
      </c>
      <c r="H962" s="22" t="str">
        <f>IF(OR($A962="",D962="",D962&lt;=0,Séries!S961=""),"",D962/Séries!S961-1)</f>
        <v/>
      </c>
      <c r="I962" s="22" t="str">
        <f>IF(OR($A962="",E962="",E962&lt;=0,Séries!T961=""),"",E962/Séries!T961-1)</f>
        <v/>
      </c>
      <c r="J962" s="27"/>
      <c r="K962" s="1" t="str">
        <f>IF(COUNTA(A962:E962)=0,"",IF(A962="","Preencha a data",IF(NOT(ISNUMBER(A962)),"Data inválida",IF(OR(A962&lt;36526,A962&gt;73050,A962&lt;&gt;INT(A962)),"Data inválida",IF(A962&lt;=Séries!U961,"Data repetida / fora de ordem",IF(COUNTA(B962:E962)&lt;&gt;COUNT(B962:E962),"Use preços numéricos",IF(OR(AND(ISNUMBER(B962),B962&lt;=0),AND(ISNUMBER(C962),C962&lt;=0),AND(ISNUMBER(D962),D962&lt;=0),AND(ISNUMBER(E962),E962&lt;=0)),"Use preços positivos","")))))))</f>
        <v/>
      </c>
    </row>
    <row r="963" spans="1:11" ht="22.95" customHeight="1">
      <c r="A963" s="28"/>
      <c r="B963" s="29"/>
      <c r="C963" s="29"/>
      <c r="D963" s="29"/>
      <c r="E963" s="30"/>
      <c r="F963" s="22" t="str">
        <f>IF(OR($A963="",B963="",B963&lt;=0,Séries!Q962=""),"",B963/Séries!Q962-1)</f>
        <v/>
      </c>
      <c r="G963" s="22" t="str">
        <f>IF(OR($A963="",C963="",C963&lt;=0,Séries!R962=""),"",C963/Séries!R962-1)</f>
        <v/>
      </c>
      <c r="H963" s="22" t="str">
        <f>IF(OR($A963="",D963="",D963&lt;=0,Séries!S962=""),"",D963/Séries!S962-1)</f>
        <v/>
      </c>
      <c r="I963" s="22" t="str">
        <f>IF(OR($A963="",E963="",E963&lt;=0,Séries!T962=""),"",E963/Séries!T962-1)</f>
        <v/>
      </c>
      <c r="J963" s="27"/>
      <c r="K963" s="1" t="str">
        <f>IF(COUNTA(A963:E963)=0,"",IF(A963="","Preencha a data",IF(NOT(ISNUMBER(A963)),"Data inválida",IF(OR(A963&lt;36526,A963&gt;73050,A963&lt;&gt;INT(A963)),"Data inválida",IF(A963&lt;=Séries!U962,"Data repetida / fora de ordem",IF(COUNTA(B963:E963)&lt;&gt;COUNT(B963:E963),"Use preços numéricos",IF(OR(AND(ISNUMBER(B963),B963&lt;=0),AND(ISNUMBER(C963),C963&lt;=0),AND(ISNUMBER(D963),D963&lt;=0),AND(ISNUMBER(E963),E963&lt;=0)),"Use preços positivos","")))))))</f>
        <v/>
      </c>
    </row>
    <row r="964" spans="1:11" ht="22.95" customHeight="1">
      <c r="A964" s="28"/>
      <c r="B964" s="29"/>
      <c r="C964" s="29"/>
      <c r="D964" s="29"/>
      <c r="E964" s="30"/>
      <c r="F964" s="22" t="str">
        <f>IF(OR($A964="",B964="",B964&lt;=0,Séries!Q963=""),"",B964/Séries!Q963-1)</f>
        <v/>
      </c>
      <c r="G964" s="22" t="str">
        <f>IF(OR($A964="",C964="",C964&lt;=0,Séries!R963=""),"",C964/Séries!R963-1)</f>
        <v/>
      </c>
      <c r="H964" s="22" t="str">
        <f>IF(OR($A964="",D964="",D964&lt;=0,Séries!S963=""),"",D964/Séries!S963-1)</f>
        <v/>
      </c>
      <c r="I964" s="22" t="str">
        <f>IF(OR($A964="",E964="",E964&lt;=0,Séries!T963=""),"",E964/Séries!T963-1)</f>
        <v/>
      </c>
      <c r="J964" s="27"/>
      <c r="K964" s="1" t="str">
        <f>IF(COUNTA(A964:E964)=0,"",IF(A964="","Preencha a data",IF(NOT(ISNUMBER(A964)),"Data inválida",IF(OR(A964&lt;36526,A964&gt;73050,A964&lt;&gt;INT(A964)),"Data inválida",IF(A964&lt;=Séries!U963,"Data repetida / fora de ordem",IF(COUNTA(B964:E964)&lt;&gt;COUNT(B964:E964),"Use preços numéricos",IF(OR(AND(ISNUMBER(B964),B964&lt;=0),AND(ISNUMBER(C964),C964&lt;=0),AND(ISNUMBER(D964),D964&lt;=0),AND(ISNUMBER(E964),E964&lt;=0)),"Use preços positivos","")))))))</f>
        <v/>
      </c>
    </row>
    <row r="965" spans="1:11" ht="22.95" customHeight="1">
      <c r="A965" s="28"/>
      <c r="B965" s="29"/>
      <c r="C965" s="29"/>
      <c r="D965" s="29"/>
      <c r="E965" s="30"/>
      <c r="F965" s="22" t="str">
        <f>IF(OR($A965="",B965="",B965&lt;=0,Séries!Q964=""),"",B965/Séries!Q964-1)</f>
        <v/>
      </c>
      <c r="G965" s="22" t="str">
        <f>IF(OR($A965="",C965="",C965&lt;=0,Séries!R964=""),"",C965/Séries!R964-1)</f>
        <v/>
      </c>
      <c r="H965" s="22" t="str">
        <f>IF(OR($A965="",D965="",D965&lt;=0,Séries!S964=""),"",D965/Séries!S964-1)</f>
        <v/>
      </c>
      <c r="I965" s="22" t="str">
        <f>IF(OR($A965="",E965="",E965&lt;=0,Séries!T964=""),"",E965/Séries!T964-1)</f>
        <v/>
      </c>
      <c r="J965" s="27"/>
      <c r="K965" s="1" t="str">
        <f>IF(COUNTA(A965:E965)=0,"",IF(A965="","Preencha a data",IF(NOT(ISNUMBER(A965)),"Data inválida",IF(OR(A965&lt;36526,A965&gt;73050,A965&lt;&gt;INT(A965)),"Data inválida",IF(A965&lt;=Séries!U964,"Data repetida / fora de ordem",IF(COUNTA(B965:E965)&lt;&gt;COUNT(B965:E965),"Use preços numéricos",IF(OR(AND(ISNUMBER(B965),B965&lt;=0),AND(ISNUMBER(C965),C965&lt;=0),AND(ISNUMBER(D965),D965&lt;=0),AND(ISNUMBER(E965),E965&lt;=0)),"Use preços positivos","")))))))</f>
        <v/>
      </c>
    </row>
    <row r="966" spans="1:11" ht="22.95" customHeight="1">
      <c r="A966" s="28"/>
      <c r="B966" s="29"/>
      <c r="C966" s="29"/>
      <c r="D966" s="29"/>
      <c r="E966" s="30"/>
      <c r="F966" s="22" t="str">
        <f>IF(OR($A966="",B966="",B966&lt;=0,Séries!Q965=""),"",B966/Séries!Q965-1)</f>
        <v/>
      </c>
      <c r="G966" s="22" t="str">
        <f>IF(OR($A966="",C966="",C966&lt;=0,Séries!R965=""),"",C966/Séries!R965-1)</f>
        <v/>
      </c>
      <c r="H966" s="22" t="str">
        <f>IF(OR($A966="",D966="",D966&lt;=0,Séries!S965=""),"",D966/Séries!S965-1)</f>
        <v/>
      </c>
      <c r="I966" s="22" t="str">
        <f>IF(OR($A966="",E966="",E966&lt;=0,Séries!T965=""),"",E966/Séries!T965-1)</f>
        <v/>
      </c>
      <c r="J966" s="27"/>
      <c r="K966" s="1" t="str">
        <f>IF(COUNTA(A966:E966)=0,"",IF(A966="","Preencha a data",IF(NOT(ISNUMBER(A966)),"Data inválida",IF(OR(A966&lt;36526,A966&gt;73050,A966&lt;&gt;INT(A966)),"Data inválida",IF(A966&lt;=Séries!U965,"Data repetida / fora de ordem",IF(COUNTA(B966:E966)&lt;&gt;COUNT(B966:E966),"Use preços numéricos",IF(OR(AND(ISNUMBER(B966),B966&lt;=0),AND(ISNUMBER(C966),C966&lt;=0),AND(ISNUMBER(D966),D966&lt;=0),AND(ISNUMBER(E966),E966&lt;=0)),"Use preços positivos","")))))))</f>
        <v/>
      </c>
    </row>
    <row r="967" spans="1:11" ht="22.95" customHeight="1">
      <c r="A967" s="28"/>
      <c r="B967" s="29"/>
      <c r="C967" s="29"/>
      <c r="D967" s="29"/>
      <c r="E967" s="30"/>
      <c r="F967" s="22" t="str">
        <f>IF(OR($A967="",B967="",B967&lt;=0,Séries!Q966=""),"",B967/Séries!Q966-1)</f>
        <v/>
      </c>
      <c r="G967" s="22" t="str">
        <f>IF(OR($A967="",C967="",C967&lt;=0,Séries!R966=""),"",C967/Séries!R966-1)</f>
        <v/>
      </c>
      <c r="H967" s="22" t="str">
        <f>IF(OR($A967="",D967="",D967&lt;=0,Séries!S966=""),"",D967/Séries!S966-1)</f>
        <v/>
      </c>
      <c r="I967" s="22" t="str">
        <f>IF(OR($A967="",E967="",E967&lt;=0,Séries!T966=""),"",E967/Séries!T966-1)</f>
        <v/>
      </c>
      <c r="J967" s="27"/>
      <c r="K967" s="1" t="str">
        <f>IF(COUNTA(A967:E967)=0,"",IF(A967="","Preencha a data",IF(NOT(ISNUMBER(A967)),"Data inválida",IF(OR(A967&lt;36526,A967&gt;73050,A967&lt;&gt;INT(A967)),"Data inválida",IF(A967&lt;=Séries!U966,"Data repetida / fora de ordem",IF(COUNTA(B967:E967)&lt;&gt;COUNT(B967:E967),"Use preços numéricos",IF(OR(AND(ISNUMBER(B967),B967&lt;=0),AND(ISNUMBER(C967),C967&lt;=0),AND(ISNUMBER(D967),D967&lt;=0),AND(ISNUMBER(E967),E967&lt;=0)),"Use preços positivos","")))))))</f>
        <v/>
      </c>
    </row>
    <row r="968" spans="1:11" ht="22.95" customHeight="1">
      <c r="A968" s="28"/>
      <c r="B968" s="29"/>
      <c r="C968" s="29"/>
      <c r="D968" s="29"/>
      <c r="E968" s="30"/>
      <c r="F968" s="22" t="str">
        <f>IF(OR($A968="",B968="",B968&lt;=0,Séries!Q967=""),"",B968/Séries!Q967-1)</f>
        <v/>
      </c>
      <c r="G968" s="22" t="str">
        <f>IF(OR($A968="",C968="",C968&lt;=0,Séries!R967=""),"",C968/Séries!R967-1)</f>
        <v/>
      </c>
      <c r="H968" s="22" t="str">
        <f>IF(OR($A968="",D968="",D968&lt;=0,Séries!S967=""),"",D968/Séries!S967-1)</f>
        <v/>
      </c>
      <c r="I968" s="22" t="str">
        <f>IF(OR($A968="",E968="",E968&lt;=0,Séries!T967=""),"",E968/Séries!T967-1)</f>
        <v/>
      </c>
      <c r="J968" s="27"/>
      <c r="K968" s="1" t="str">
        <f>IF(COUNTA(A968:E968)=0,"",IF(A968="","Preencha a data",IF(NOT(ISNUMBER(A968)),"Data inválida",IF(OR(A968&lt;36526,A968&gt;73050,A968&lt;&gt;INT(A968)),"Data inválida",IF(A968&lt;=Séries!U967,"Data repetida / fora de ordem",IF(COUNTA(B968:E968)&lt;&gt;COUNT(B968:E968),"Use preços numéricos",IF(OR(AND(ISNUMBER(B968),B968&lt;=0),AND(ISNUMBER(C968),C968&lt;=0),AND(ISNUMBER(D968),D968&lt;=0),AND(ISNUMBER(E968),E968&lt;=0)),"Use preços positivos","")))))))</f>
        <v/>
      </c>
    </row>
    <row r="969" spans="1:11" ht="22.95" customHeight="1">
      <c r="A969" s="28"/>
      <c r="B969" s="29"/>
      <c r="C969" s="29"/>
      <c r="D969" s="29"/>
      <c r="E969" s="30"/>
      <c r="F969" s="22" t="str">
        <f>IF(OR($A969="",B969="",B969&lt;=0,Séries!Q968=""),"",B969/Séries!Q968-1)</f>
        <v/>
      </c>
      <c r="G969" s="22" t="str">
        <f>IF(OR($A969="",C969="",C969&lt;=0,Séries!R968=""),"",C969/Séries!R968-1)</f>
        <v/>
      </c>
      <c r="H969" s="22" t="str">
        <f>IF(OR($A969="",D969="",D969&lt;=0,Séries!S968=""),"",D969/Séries!S968-1)</f>
        <v/>
      </c>
      <c r="I969" s="22" t="str">
        <f>IF(OR($A969="",E969="",E969&lt;=0,Séries!T968=""),"",E969/Séries!T968-1)</f>
        <v/>
      </c>
      <c r="J969" s="27"/>
      <c r="K969" s="1" t="str">
        <f>IF(COUNTA(A969:E969)=0,"",IF(A969="","Preencha a data",IF(NOT(ISNUMBER(A969)),"Data inválida",IF(OR(A969&lt;36526,A969&gt;73050,A969&lt;&gt;INT(A969)),"Data inválida",IF(A969&lt;=Séries!U968,"Data repetida / fora de ordem",IF(COUNTA(B969:E969)&lt;&gt;COUNT(B969:E969),"Use preços numéricos",IF(OR(AND(ISNUMBER(B969),B969&lt;=0),AND(ISNUMBER(C969),C969&lt;=0),AND(ISNUMBER(D969),D969&lt;=0),AND(ISNUMBER(E969),E969&lt;=0)),"Use preços positivos","")))))))</f>
        <v/>
      </c>
    </row>
    <row r="970" spans="1:11" ht="22.95" customHeight="1">
      <c r="A970" s="28"/>
      <c r="B970" s="29"/>
      <c r="C970" s="29"/>
      <c r="D970" s="29"/>
      <c r="E970" s="30"/>
      <c r="F970" s="22" t="str">
        <f>IF(OR($A970="",B970="",B970&lt;=0,Séries!Q969=""),"",B970/Séries!Q969-1)</f>
        <v/>
      </c>
      <c r="G970" s="22" t="str">
        <f>IF(OR($A970="",C970="",C970&lt;=0,Séries!R969=""),"",C970/Séries!R969-1)</f>
        <v/>
      </c>
      <c r="H970" s="22" t="str">
        <f>IF(OR($A970="",D970="",D970&lt;=0,Séries!S969=""),"",D970/Séries!S969-1)</f>
        <v/>
      </c>
      <c r="I970" s="22" t="str">
        <f>IF(OR($A970="",E970="",E970&lt;=0,Séries!T969=""),"",E970/Séries!T969-1)</f>
        <v/>
      </c>
      <c r="J970" s="27"/>
      <c r="K970" s="1" t="str">
        <f>IF(COUNTA(A970:E970)=0,"",IF(A970="","Preencha a data",IF(NOT(ISNUMBER(A970)),"Data inválida",IF(OR(A970&lt;36526,A970&gt;73050,A970&lt;&gt;INT(A970)),"Data inválida",IF(A970&lt;=Séries!U969,"Data repetida / fora de ordem",IF(COUNTA(B970:E970)&lt;&gt;COUNT(B970:E970),"Use preços numéricos",IF(OR(AND(ISNUMBER(B970),B970&lt;=0),AND(ISNUMBER(C970),C970&lt;=0),AND(ISNUMBER(D970),D970&lt;=0),AND(ISNUMBER(E970),E970&lt;=0)),"Use preços positivos","")))))))</f>
        <v/>
      </c>
    </row>
    <row r="971" spans="1:11" ht="22.95" customHeight="1">
      <c r="A971" s="28"/>
      <c r="B971" s="29"/>
      <c r="C971" s="29"/>
      <c r="D971" s="29"/>
      <c r="E971" s="30"/>
      <c r="F971" s="22" t="str">
        <f>IF(OR($A971="",B971="",B971&lt;=0,Séries!Q970=""),"",B971/Séries!Q970-1)</f>
        <v/>
      </c>
      <c r="G971" s="22" t="str">
        <f>IF(OR($A971="",C971="",C971&lt;=0,Séries!R970=""),"",C971/Séries!R970-1)</f>
        <v/>
      </c>
      <c r="H971" s="22" t="str">
        <f>IF(OR($A971="",D971="",D971&lt;=0,Séries!S970=""),"",D971/Séries!S970-1)</f>
        <v/>
      </c>
      <c r="I971" s="22" t="str">
        <f>IF(OR($A971="",E971="",E971&lt;=0,Séries!T970=""),"",E971/Séries!T970-1)</f>
        <v/>
      </c>
      <c r="J971" s="27"/>
      <c r="K971" s="1" t="str">
        <f>IF(COUNTA(A971:E971)=0,"",IF(A971="","Preencha a data",IF(NOT(ISNUMBER(A971)),"Data inválida",IF(OR(A971&lt;36526,A971&gt;73050,A971&lt;&gt;INT(A971)),"Data inválida",IF(A971&lt;=Séries!U970,"Data repetida / fora de ordem",IF(COUNTA(B971:E971)&lt;&gt;COUNT(B971:E971),"Use preços numéricos",IF(OR(AND(ISNUMBER(B971),B971&lt;=0),AND(ISNUMBER(C971),C971&lt;=0),AND(ISNUMBER(D971),D971&lt;=0),AND(ISNUMBER(E971),E971&lt;=0)),"Use preços positivos","")))))))</f>
        <v/>
      </c>
    </row>
    <row r="972" spans="1:11" ht="22.95" customHeight="1">
      <c r="A972" s="28"/>
      <c r="B972" s="29"/>
      <c r="C972" s="29"/>
      <c r="D972" s="29"/>
      <c r="E972" s="30"/>
      <c r="F972" s="22" t="str">
        <f>IF(OR($A972="",B972="",B972&lt;=0,Séries!Q971=""),"",B972/Séries!Q971-1)</f>
        <v/>
      </c>
      <c r="G972" s="22" t="str">
        <f>IF(OR($A972="",C972="",C972&lt;=0,Séries!R971=""),"",C972/Séries!R971-1)</f>
        <v/>
      </c>
      <c r="H972" s="22" t="str">
        <f>IF(OR($A972="",D972="",D972&lt;=0,Séries!S971=""),"",D972/Séries!S971-1)</f>
        <v/>
      </c>
      <c r="I972" s="22" t="str">
        <f>IF(OR($A972="",E972="",E972&lt;=0,Séries!T971=""),"",E972/Séries!T971-1)</f>
        <v/>
      </c>
      <c r="J972" s="27"/>
      <c r="K972" s="1" t="str">
        <f>IF(COUNTA(A972:E972)=0,"",IF(A972="","Preencha a data",IF(NOT(ISNUMBER(A972)),"Data inválida",IF(OR(A972&lt;36526,A972&gt;73050,A972&lt;&gt;INT(A972)),"Data inválida",IF(A972&lt;=Séries!U971,"Data repetida / fora de ordem",IF(COUNTA(B972:E972)&lt;&gt;COUNT(B972:E972),"Use preços numéricos",IF(OR(AND(ISNUMBER(B972),B972&lt;=0),AND(ISNUMBER(C972),C972&lt;=0),AND(ISNUMBER(D972),D972&lt;=0),AND(ISNUMBER(E972),E972&lt;=0)),"Use preços positivos","")))))))</f>
        <v/>
      </c>
    </row>
    <row r="973" spans="1:11" ht="22.95" customHeight="1">
      <c r="A973" s="28"/>
      <c r="B973" s="29"/>
      <c r="C973" s="29"/>
      <c r="D973" s="29"/>
      <c r="E973" s="30"/>
      <c r="F973" s="22" t="str">
        <f>IF(OR($A973="",B973="",B973&lt;=0,Séries!Q972=""),"",B973/Séries!Q972-1)</f>
        <v/>
      </c>
      <c r="G973" s="22" t="str">
        <f>IF(OR($A973="",C973="",C973&lt;=0,Séries!R972=""),"",C973/Séries!R972-1)</f>
        <v/>
      </c>
      <c r="H973" s="22" t="str">
        <f>IF(OR($A973="",D973="",D973&lt;=0,Séries!S972=""),"",D973/Séries!S972-1)</f>
        <v/>
      </c>
      <c r="I973" s="22" t="str">
        <f>IF(OR($A973="",E973="",E973&lt;=0,Séries!T972=""),"",E973/Séries!T972-1)</f>
        <v/>
      </c>
      <c r="J973" s="27"/>
      <c r="K973" s="1" t="str">
        <f>IF(COUNTA(A973:E973)=0,"",IF(A973="","Preencha a data",IF(NOT(ISNUMBER(A973)),"Data inválida",IF(OR(A973&lt;36526,A973&gt;73050,A973&lt;&gt;INT(A973)),"Data inválida",IF(A973&lt;=Séries!U972,"Data repetida / fora de ordem",IF(COUNTA(B973:E973)&lt;&gt;COUNT(B973:E973),"Use preços numéricos",IF(OR(AND(ISNUMBER(B973),B973&lt;=0),AND(ISNUMBER(C973),C973&lt;=0),AND(ISNUMBER(D973),D973&lt;=0),AND(ISNUMBER(E973),E973&lt;=0)),"Use preços positivos","")))))))</f>
        <v/>
      </c>
    </row>
    <row r="974" spans="1:11" ht="22.95" customHeight="1">
      <c r="A974" s="28"/>
      <c r="B974" s="29"/>
      <c r="C974" s="29"/>
      <c r="D974" s="29"/>
      <c r="E974" s="30"/>
      <c r="F974" s="22" t="str">
        <f>IF(OR($A974="",B974="",B974&lt;=0,Séries!Q973=""),"",B974/Séries!Q973-1)</f>
        <v/>
      </c>
      <c r="G974" s="22" t="str">
        <f>IF(OR($A974="",C974="",C974&lt;=0,Séries!R973=""),"",C974/Séries!R973-1)</f>
        <v/>
      </c>
      <c r="H974" s="22" t="str">
        <f>IF(OR($A974="",D974="",D974&lt;=0,Séries!S973=""),"",D974/Séries!S973-1)</f>
        <v/>
      </c>
      <c r="I974" s="22" t="str">
        <f>IF(OR($A974="",E974="",E974&lt;=0,Séries!T973=""),"",E974/Séries!T973-1)</f>
        <v/>
      </c>
      <c r="J974" s="27"/>
      <c r="K974" s="1" t="str">
        <f>IF(COUNTA(A974:E974)=0,"",IF(A974="","Preencha a data",IF(NOT(ISNUMBER(A974)),"Data inválida",IF(OR(A974&lt;36526,A974&gt;73050,A974&lt;&gt;INT(A974)),"Data inválida",IF(A974&lt;=Séries!U973,"Data repetida / fora de ordem",IF(COUNTA(B974:E974)&lt;&gt;COUNT(B974:E974),"Use preços numéricos",IF(OR(AND(ISNUMBER(B974),B974&lt;=0),AND(ISNUMBER(C974),C974&lt;=0),AND(ISNUMBER(D974),D974&lt;=0),AND(ISNUMBER(E974),E974&lt;=0)),"Use preços positivos","")))))))</f>
        <v/>
      </c>
    </row>
    <row r="975" spans="1:11" ht="22.95" customHeight="1">
      <c r="A975" s="28"/>
      <c r="B975" s="29"/>
      <c r="C975" s="29"/>
      <c r="D975" s="29"/>
      <c r="E975" s="30"/>
      <c r="F975" s="22" t="str">
        <f>IF(OR($A975="",B975="",B975&lt;=0,Séries!Q974=""),"",B975/Séries!Q974-1)</f>
        <v/>
      </c>
      <c r="G975" s="22" t="str">
        <f>IF(OR($A975="",C975="",C975&lt;=0,Séries!R974=""),"",C975/Séries!R974-1)</f>
        <v/>
      </c>
      <c r="H975" s="22" t="str">
        <f>IF(OR($A975="",D975="",D975&lt;=0,Séries!S974=""),"",D975/Séries!S974-1)</f>
        <v/>
      </c>
      <c r="I975" s="22" t="str">
        <f>IF(OR($A975="",E975="",E975&lt;=0,Séries!T974=""),"",E975/Séries!T974-1)</f>
        <v/>
      </c>
      <c r="J975" s="27"/>
      <c r="K975" s="1" t="str">
        <f>IF(COUNTA(A975:E975)=0,"",IF(A975="","Preencha a data",IF(NOT(ISNUMBER(A975)),"Data inválida",IF(OR(A975&lt;36526,A975&gt;73050,A975&lt;&gt;INT(A975)),"Data inválida",IF(A975&lt;=Séries!U974,"Data repetida / fora de ordem",IF(COUNTA(B975:E975)&lt;&gt;COUNT(B975:E975),"Use preços numéricos",IF(OR(AND(ISNUMBER(B975),B975&lt;=0),AND(ISNUMBER(C975),C975&lt;=0),AND(ISNUMBER(D975),D975&lt;=0),AND(ISNUMBER(E975),E975&lt;=0)),"Use preços positivos","")))))))</f>
        <v/>
      </c>
    </row>
    <row r="976" spans="1:11" ht="22.95" customHeight="1">
      <c r="A976" s="28"/>
      <c r="B976" s="29"/>
      <c r="C976" s="29"/>
      <c r="D976" s="29"/>
      <c r="E976" s="30"/>
      <c r="F976" s="22" t="str">
        <f>IF(OR($A976="",B976="",B976&lt;=0,Séries!Q975=""),"",B976/Séries!Q975-1)</f>
        <v/>
      </c>
      <c r="G976" s="22" t="str">
        <f>IF(OR($A976="",C976="",C976&lt;=0,Séries!R975=""),"",C976/Séries!R975-1)</f>
        <v/>
      </c>
      <c r="H976" s="22" t="str">
        <f>IF(OR($A976="",D976="",D976&lt;=0,Séries!S975=""),"",D976/Séries!S975-1)</f>
        <v/>
      </c>
      <c r="I976" s="22" t="str">
        <f>IF(OR($A976="",E976="",E976&lt;=0,Séries!T975=""),"",E976/Séries!T975-1)</f>
        <v/>
      </c>
      <c r="J976" s="27"/>
      <c r="K976" s="1" t="str">
        <f>IF(COUNTA(A976:E976)=0,"",IF(A976="","Preencha a data",IF(NOT(ISNUMBER(A976)),"Data inválida",IF(OR(A976&lt;36526,A976&gt;73050,A976&lt;&gt;INT(A976)),"Data inválida",IF(A976&lt;=Séries!U975,"Data repetida / fora de ordem",IF(COUNTA(B976:E976)&lt;&gt;COUNT(B976:E976),"Use preços numéricos",IF(OR(AND(ISNUMBER(B976),B976&lt;=0),AND(ISNUMBER(C976),C976&lt;=0),AND(ISNUMBER(D976),D976&lt;=0),AND(ISNUMBER(E976),E976&lt;=0)),"Use preços positivos","")))))))</f>
        <v/>
      </c>
    </row>
    <row r="977" spans="1:11" ht="22.95" customHeight="1">
      <c r="A977" s="28"/>
      <c r="B977" s="29"/>
      <c r="C977" s="29"/>
      <c r="D977" s="29"/>
      <c r="E977" s="30"/>
      <c r="F977" s="22" t="str">
        <f>IF(OR($A977="",B977="",B977&lt;=0,Séries!Q976=""),"",B977/Séries!Q976-1)</f>
        <v/>
      </c>
      <c r="G977" s="22" t="str">
        <f>IF(OR($A977="",C977="",C977&lt;=0,Séries!R976=""),"",C977/Séries!R976-1)</f>
        <v/>
      </c>
      <c r="H977" s="22" t="str">
        <f>IF(OR($A977="",D977="",D977&lt;=0,Séries!S976=""),"",D977/Séries!S976-1)</f>
        <v/>
      </c>
      <c r="I977" s="22" t="str">
        <f>IF(OR($A977="",E977="",E977&lt;=0,Séries!T976=""),"",E977/Séries!T976-1)</f>
        <v/>
      </c>
      <c r="J977" s="27"/>
      <c r="K977" s="1" t="str">
        <f>IF(COUNTA(A977:E977)=0,"",IF(A977="","Preencha a data",IF(NOT(ISNUMBER(A977)),"Data inválida",IF(OR(A977&lt;36526,A977&gt;73050,A977&lt;&gt;INT(A977)),"Data inválida",IF(A977&lt;=Séries!U976,"Data repetida / fora de ordem",IF(COUNTA(B977:E977)&lt;&gt;COUNT(B977:E977),"Use preços numéricos",IF(OR(AND(ISNUMBER(B977),B977&lt;=0),AND(ISNUMBER(C977),C977&lt;=0),AND(ISNUMBER(D977),D977&lt;=0),AND(ISNUMBER(E977),E977&lt;=0)),"Use preços positivos","")))))))</f>
        <v/>
      </c>
    </row>
    <row r="978" spans="1:11" ht="22.95" customHeight="1">
      <c r="A978" s="28"/>
      <c r="B978" s="29"/>
      <c r="C978" s="29"/>
      <c r="D978" s="29"/>
      <c r="E978" s="30"/>
      <c r="F978" s="22" t="str">
        <f>IF(OR($A978="",B978="",B978&lt;=0,Séries!Q977=""),"",B978/Séries!Q977-1)</f>
        <v/>
      </c>
      <c r="G978" s="22" t="str">
        <f>IF(OR($A978="",C978="",C978&lt;=0,Séries!R977=""),"",C978/Séries!R977-1)</f>
        <v/>
      </c>
      <c r="H978" s="22" t="str">
        <f>IF(OR($A978="",D978="",D978&lt;=0,Séries!S977=""),"",D978/Séries!S977-1)</f>
        <v/>
      </c>
      <c r="I978" s="22" t="str">
        <f>IF(OR($A978="",E978="",E978&lt;=0,Séries!T977=""),"",E978/Séries!T977-1)</f>
        <v/>
      </c>
      <c r="J978" s="27"/>
      <c r="K978" s="1" t="str">
        <f>IF(COUNTA(A978:E978)=0,"",IF(A978="","Preencha a data",IF(NOT(ISNUMBER(A978)),"Data inválida",IF(OR(A978&lt;36526,A978&gt;73050,A978&lt;&gt;INT(A978)),"Data inválida",IF(A978&lt;=Séries!U977,"Data repetida / fora de ordem",IF(COUNTA(B978:E978)&lt;&gt;COUNT(B978:E978),"Use preços numéricos",IF(OR(AND(ISNUMBER(B978),B978&lt;=0),AND(ISNUMBER(C978),C978&lt;=0),AND(ISNUMBER(D978),D978&lt;=0),AND(ISNUMBER(E978),E978&lt;=0)),"Use preços positivos","")))))))</f>
        <v/>
      </c>
    </row>
    <row r="979" spans="1:11" ht="22.95" customHeight="1">
      <c r="A979" s="28"/>
      <c r="B979" s="29"/>
      <c r="C979" s="29"/>
      <c r="D979" s="29"/>
      <c r="E979" s="30"/>
      <c r="F979" s="22" t="str">
        <f>IF(OR($A979="",B979="",B979&lt;=0,Séries!Q978=""),"",B979/Séries!Q978-1)</f>
        <v/>
      </c>
      <c r="G979" s="22" t="str">
        <f>IF(OR($A979="",C979="",C979&lt;=0,Séries!R978=""),"",C979/Séries!R978-1)</f>
        <v/>
      </c>
      <c r="H979" s="22" t="str">
        <f>IF(OR($A979="",D979="",D979&lt;=0,Séries!S978=""),"",D979/Séries!S978-1)</f>
        <v/>
      </c>
      <c r="I979" s="22" t="str">
        <f>IF(OR($A979="",E979="",E979&lt;=0,Séries!T978=""),"",E979/Séries!T978-1)</f>
        <v/>
      </c>
      <c r="J979" s="27"/>
      <c r="K979" s="1" t="str">
        <f>IF(COUNTA(A979:E979)=0,"",IF(A979="","Preencha a data",IF(NOT(ISNUMBER(A979)),"Data inválida",IF(OR(A979&lt;36526,A979&gt;73050,A979&lt;&gt;INT(A979)),"Data inválida",IF(A979&lt;=Séries!U978,"Data repetida / fora de ordem",IF(COUNTA(B979:E979)&lt;&gt;COUNT(B979:E979),"Use preços numéricos",IF(OR(AND(ISNUMBER(B979),B979&lt;=0),AND(ISNUMBER(C979),C979&lt;=0),AND(ISNUMBER(D979),D979&lt;=0),AND(ISNUMBER(E979),E979&lt;=0)),"Use preços positivos","")))))))</f>
        <v/>
      </c>
    </row>
    <row r="980" spans="1:11" ht="22.95" customHeight="1">
      <c r="A980" s="28"/>
      <c r="B980" s="29"/>
      <c r="C980" s="29"/>
      <c r="D980" s="29"/>
      <c r="E980" s="30"/>
      <c r="F980" s="22" t="str">
        <f>IF(OR($A980="",B980="",B980&lt;=0,Séries!Q979=""),"",B980/Séries!Q979-1)</f>
        <v/>
      </c>
      <c r="G980" s="22" t="str">
        <f>IF(OR($A980="",C980="",C980&lt;=0,Séries!R979=""),"",C980/Séries!R979-1)</f>
        <v/>
      </c>
      <c r="H980" s="22" t="str">
        <f>IF(OR($A980="",D980="",D980&lt;=0,Séries!S979=""),"",D980/Séries!S979-1)</f>
        <v/>
      </c>
      <c r="I980" s="22" t="str">
        <f>IF(OR($A980="",E980="",E980&lt;=0,Séries!T979=""),"",E980/Séries!T979-1)</f>
        <v/>
      </c>
      <c r="J980" s="27"/>
      <c r="K980" s="1" t="str">
        <f>IF(COUNTA(A980:E980)=0,"",IF(A980="","Preencha a data",IF(NOT(ISNUMBER(A980)),"Data inválida",IF(OR(A980&lt;36526,A980&gt;73050,A980&lt;&gt;INT(A980)),"Data inválida",IF(A980&lt;=Séries!U979,"Data repetida / fora de ordem",IF(COUNTA(B980:E980)&lt;&gt;COUNT(B980:E980),"Use preços numéricos",IF(OR(AND(ISNUMBER(B980),B980&lt;=0),AND(ISNUMBER(C980),C980&lt;=0),AND(ISNUMBER(D980),D980&lt;=0),AND(ISNUMBER(E980),E980&lt;=0)),"Use preços positivos","")))))))</f>
        <v/>
      </c>
    </row>
    <row r="981" spans="1:11" ht="22.95" customHeight="1">
      <c r="A981" s="28"/>
      <c r="B981" s="29"/>
      <c r="C981" s="29"/>
      <c r="D981" s="29"/>
      <c r="E981" s="30"/>
      <c r="F981" s="22" t="str">
        <f>IF(OR($A981="",B981="",B981&lt;=0,Séries!Q980=""),"",B981/Séries!Q980-1)</f>
        <v/>
      </c>
      <c r="G981" s="22" t="str">
        <f>IF(OR($A981="",C981="",C981&lt;=0,Séries!R980=""),"",C981/Séries!R980-1)</f>
        <v/>
      </c>
      <c r="H981" s="22" t="str">
        <f>IF(OR($A981="",D981="",D981&lt;=0,Séries!S980=""),"",D981/Séries!S980-1)</f>
        <v/>
      </c>
      <c r="I981" s="22" t="str">
        <f>IF(OR($A981="",E981="",E981&lt;=0,Séries!T980=""),"",E981/Séries!T980-1)</f>
        <v/>
      </c>
      <c r="J981" s="27"/>
      <c r="K981" s="1" t="str">
        <f>IF(COUNTA(A981:E981)=0,"",IF(A981="","Preencha a data",IF(NOT(ISNUMBER(A981)),"Data inválida",IF(OR(A981&lt;36526,A981&gt;73050,A981&lt;&gt;INT(A981)),"Data inválida",IF(A981&lt;=Séries!U980,"Data repetida / fora de ordem",IF(COUNTA(B981:E981)&lt;&gt;COUNT(B981:E981),"Use preços numéricos",IF(OR(AND(ISNUMBER(B981),B981&lt;=0),AND(ISNUMBER(C981),C981&lt;=0),AND(ISNUMBER(D981),D981&lt;=0),AND(ISNUMBER(E981),E981&lt;=0)),"Use preços positivos","")))))))</f>
        <v/>
      </c>
    </row>
    <row r="982" spans="1:11" ht="22.95" customHeight="1">
      <c r="A982" s="28"/>
      <c r="B982" s="29"/>
      <c r="C982" s="29"/>
      <c r="D982" s="29"/>
      <c r="E982" s="30"/>
      <c r="F982" s="22" t="str">
        <f>IF(OR($A982="",B982="",B982&lt;=0,Séries!Q981=""),"",B982/Séries!Q981-1)</f>
        <v/>
      </c>
      <c r="G982" s="22" t="str">
        <f>IF(OR($A982="",C982="",C982&lt;=0,Séries!R981=""),"",C982/Séries!R981-1)</f>
        <v/>
      </c>
      <c r="H982" s="22" t="str">
        <f>IF(OR($A982="",D982="",D982&lt;=0,Séries!S981=""),"",D982/Séries!S981-1)</f>
        <v/>
      </c>
      <c r="I982" s="22" t="str">
        <f>IF(OR($A982="",E982="",E982&lt;=0,Séries!T981=""),"",E982/Séries!T981-1)</f>
        <v/>
      </c>
      <c r="J982" s="27"/>
      <c r="K982" s="1" t="str">
        <f>IF(COUNTA(A982:E982)=0,"",IF(A982="","Preencha a data",IF(NOT(ISNUMBER(A982)),"Data inválida",IF(OR(A982&lt;36526,A982&gt;73050,A982&lt;&gt;INT(A982)),"Data inválida",IF(A982&lt;=Séries!U981,"Data repetida / fora de ordem",IF(COUNTA(B982:E982)&lt;&gt;COUNT(B982:E982),"Use preços numéricos",IF(OR(AND(ISNUMBER(B982),B982&lt;=0),AND(ISNUMBER(C982),C982&lt;=0),AND(ISNUMBER(D982),D982&lt;=0),AND(ISNUMBER(E982),E982&lt;=0)),"Use preços positivos","")))))))</f>
        <v/>
      </c>
    </row>
    <row r="983" spans="1:11" ht="22.95" customHeight="1">
      <c r="A983" s="28"/>
      <c r="B983" s="29"/>
      <c r="C983" s="29"/>
      <c r="D983" s="29"/>
      <c r="E983" s="30"/>
      <c r="F983" s="22" t="str">
        <f>IF(OR($A983="",B983="",B983&lt;=0,Séries!Q982=""),"",B983/Séries!Q982-1)</f>
        <v/>
      </c>
      <c r="G983" s="22" t="str">
        <f>IF(OR($A983="",C983="",C983&lt;=0,Séries!R982=""),"",C983/Séries!R982-1)</f>
        <v/>
      </c>
      <c r="H983" s="22" t="str">
        <f>IF(OR($A983="",D983="",D983&lt;=0,Séries!S982=""),"",D983/Séries!S982-1)</f>
        <v/>
      </c>
      <c r="I983" s="22" t="str">
        <f>IF(OR($A983="",E983="",E983&lt;=0,Séries!T982=""),"",E983/Séries!T982-1)</f>
        <v/>
      </c>
      <c r="J983" s="27"/>
      <c r="K983" s="1" t="str">
        <f>IF(COUNTA(A983:E983)=0,"",IF(A983="","Preencha a data",IF(NOT(ISNUMBER(A983)),"Data inválida",IF(OR(A983&lt;36526,A983&gt;73050,A983&lt;&gt;INT(A983)),"Data inválida",IF(A983&lt;=Séries!U982,"Data repetida / fora de ordem",IF(COUNTA(B983:E983)&lt;&gt;COUNT(B983:E983),"Use preços numéricos",IF(OR(AND(ISNUMBER(B983),B983&lt;=0),AND(ISNUMBER(C983),C983&lt;=0),AND(ISNUMBER(D983),D983&lt;=0),AND(ISNUMBER(E983),E983&lt;=0)),"Use preços positivos","")))))))</f>
        <v/>
      </c>
    </row>
    <row r="984" spans="1:11" ht="22.95" customHeight="1">
      <c r="A984" s="28"/>
      <c r="B984" s="29"/>
      <c r="C984" s="29"/>
      <c r="D984" s="29"/>
      <c r="E984" s="30"/>
      <c r="F984" s="22" t="str">
        <f>IF(OR($A984="",B984="",B984&lt;=0,Séries!Q983=""),"",B984/Séries!Q983-1)</f>
        <v/>
      </c>
      <c r="G984" s="22" t="str">
        <f>IF(OR($A984="",C984="",C984&lt;=0,Séries!R983=""),"",C984/Séries!R983-1)</f>
        <v/>
      </c>
      <c r="H984" s="22" t="str">
        <f>IF(OR($A984="",D984="",D984&lt;=0,Séries!S983=""),"",D984/Séries!S983-1)</f>
        <v/>
      </c>
      <c r="I984" s="22" t="str">
        <f>IF(OR($A984="",E984="",E984&lt;=0,Séries!T983=""),"",E984/Séries!T983-1)</f>
        <v/>
      </c>
      <c r="J984" s="27"/>
      <c r="K984" s="1" t="str">
        <f>IF(COUNTA(A984:E984)=0,"",IF(A984="","Preencha a data",IF(NOT(ISNUMBER(A984)),"Data inválida",IF(OR(A984&lt;36526,A984&gt;73050,A984&lt;&gt;INT(A984)),"Data inválida",IF(A984&lt;=Séries!U983,"Data repetida / fora de ordem",IF(COUNTA(B984:E984)&lt;&gt;COUNT(B984:E984),"Use preços numéricos",IF(OR(AND(ISNUMBER(B984),B984&lt;=0),AND(ISNUMBER(C984),C984&lt;=0),AND(ISNUMBER(D984),D984&lt;=0),AND(ISNUMBER(E984),E984&lt;=0)),"Use preços positivos","")))))))</f>
        <v/>
      </c>
    </row>
    <row r="985" spans="1:11" ht="22.95" customHeight="1">
      <c r="A985" s="28"/>
      <c r="B985" s="29"/>
      <c r="C985" s="29"/>
      <c r="D985" s="29"/>
      <c r="E985" s="30"/>
      <c r="F985" s="22" t="str">
        <f>IF(OR($A985="",B985="",B985&lt;=0,Séries!Q984=""),"",B985/Séries!Q984-1)</f>
        <v/>
      </c>
      <c r="G985" s="22" t="str">
        <f>IF(OR($A985="",C985="",C985&lt;=0,Séries!R984=""),"",C985/Séries!R984-1)</f>
        <v/>
      </c>
      <c r="H985" s="22" t="str">
        <f>IF(OR($A985="",D985="",D985&lt;=0,Séries!S984=""),"",D985/Séries!S984-1)</f>
        <v/>
      </c>
      <c r="I985" s="22" t="str">
        <f>IF(OR($A985="",E985="",E985&lt;=0,Séries!T984=""),"",E985/Séries!T984-1)</f>
        <v/>
      </c>
      <c r="J985" s="27"/>
      <c r="K985" s="1" t="str">
        <f>IF(COUNTA(A985:E985)=0,"",IF(A985="","Preencha a data",IF(NOT(ISNUMBER(A985)),"Data inválida",IF(OR(A985&lt;36526,A985&gt;73050,A985&lt;&gt;INT(A985)),"Data inválida",IF(A985&lt;=Séries!U984,"Data repetida / fora de ordem",IF(COUNTA(B985:E985)&lt;&gt;COUNT(B985:E985),"Use preços numéricos",IF(OR(AND(ISNUMBER(B985),B985&lt;=0),AND(ISNUMBER(C985),C985&lt;=0),AND(ISNUMBER(D985),D985&lt;=0),AND(ISNUMBER(E985),E985&lt;=0)),"Use preços positivos","")))))))</f>
        <v/>
      </c>
    </row>
    <row r="986" spans="1:11" ht="22.95" customHeight="1">
      <c r="A986" s="28"/>
      <c r="B986" s="29"/>
      <c r="C986" s="29"/>
      <c r="D986" s="29"/>
      <c r="E986" s="30"/>
      <c r="F986" s="22" t="str">
        <f>IF(OR($A986="",B986="",B986&lt;=0,Séries!Q985=""),"",B986/Séries!Q985-1)</f>
        <v/>
      </c>
      <c r="G986" s="22" t="str">
        <f>IF(OR($A986="",C986="",C986&lt;=0,Séries!R985=""),"",C986/Séries!R985-1)</f>
        <v/>
      </c>
      <c r="H986" s="22" t="str">
        <f>IF(OR($A986="",D986="",D986&lt;=0,Séries!S985=""),"",D986/Séries!S985-1)</f>
        <v/>
      </c>
      <c r="I986" s="22" t="str">
        <f>IF(OR($A986="",E986="",E986&lt;=0,Séries!T985=""),"",E986/Séries!T985-1)</f>
        <v/>
      </c>
      <c r="J986" s="27"/>
      <c r="K986" s="1" t="str">
        <f>IF(COUNTA(A986:E986)=0,"",IF(A986="","Preencha a data",IF(NOT(ISNUMBER(A986)),"Data inválida",IF(OR(A986&lt;36526,A986&gt;73050,A986&lt;&gt;INT(A986)),"Data inválida",IF(A986&lt;=Séries!U985,"Data repetida / fora de ordem",IF(COUNTA(B986:E986)&lt;&gt;COUNT(B986:E986),"Use preços numéricos",IF(OR(AND(ISNUMBER(B986),B986&lt;=0),AND(ISNUMBER(C986),C986&lt;=0),AND(ISNUMBER(D986),D986&lt;=0),AND(ISNUMBER(E986),E986&lt;=0)),"Use preços positivos","")))))))</f>
        <v/>
      </c>
    </row>
    <row r="987" spans="1:11" ht="22.95" customHeight="1">
      <c r="A987" s="28"/>
      <c r="B987" s="29"/>
      <c r="C987" s="29"/>
      <c r="D987" s="29"/>
      <c r="E987" s="30"/>
      <c r="F987" s="22" t="str">
        <f>IF(OR($A987="",B987="",B987&lt;=0,Séries!Q986=""),"",B987/Séries!Q986-1)</f>
        <v/>
      </c>
      <c r="G987" s="22" t="str">
        <f>IF(OR($A987="",C987="",C987&lt;=0,Séries!R986=""),"",C987/Séries!R986-1)</f>
        <v/>
      </c>
      <c r="H987" s="22" t="str">
        <f>IF(OR($A987="",D987="",D987&lt;=0,Séries!S986=""),"",D987/Séries!S986-1)</f>
        <v/>
      </c>
      <c r="I987" s="22" t="str">
        <f>IF(OR($A987="",E987="",E987&lt;=0,Séries!T986=""),"",E987/Séries!T986-1)</f>
        <v/>
      </c>
      <c r="J987" s="27"/>
      <c r="K987" s="1" t="str">
        <f>IF(COUNTA(A987:E987)=0,"",IF(A987="","Preencha a data",IF(NOT(ISNUMBER(A987)),"Data inválida",IF(OR(A987&lt;36526,A987&gt;73050,A987&lt;&gt;INT(A987)),"Data inválida",IF(A987&lt;=Séries!U986,"Data repetida / fora de ordem",IF(COUNTA(B987:E987)&lt;&gt;COUNT(B987:E987),"Use preços numéricos",IF(OR(AND(ISNUMBER(B987),B987&lt;=0),AND(ISNUMBER(C987),C987&lt;=0),AND(ISNUMBER(D987),D987&lt;=0),AND(ISNUMBER(E987),E987&lt;=0)),"Use preços positivos","")))))))</f>
        <v/>
      </c>
    </row>
    <row r="988" spans="1:11" ht="22.95" customHeight="1">
      <c r="A988" s="28"/>
      <c r="B988" s="29"/>
      <c r="C988" s="29"/>
      <c r="D988" s="29"/>
      <c r="E988" s="30"/>
      <c r="F988" s="22" t="str">
        <f>IF(OR($A988="",B988="",B988&lt;=0,Séries!Q987=""),"",B988/Séries!Q987-1)</f>
        <v/>
      </c>
      <c r="G988" s="22" t="str">
        <f>IF(OR($A988="",C988="",C988&lt;=0,Séries!R987=""),"",C988/Séries!R987-1)</f>
        <v/>
      </c>
      <c r="H988" s="22" t="str">
        <f>IF(OR($A988="",D988="",D988&lt;=0,Séries!S987=""),"",D988/Séries!S987-1)</f>
        <v/>
      </c>
      <c r="I988" s="22" t="str">
        <f>IF(OR($A988="",E988="",E988&lt;=0,Séries!T987=""),"",E988/Séries!T987-1)</f>
        <v/>
      </c>
      <c r="J988" s="27"/>
      <c r="K988" s="1" t="str">
        <f>IF(COUNTA(A988:E988)=0,"",IF(A988="","Preencha a data",IF(NOT(ISNUMBER(A988)),"Data inválida",IF(OR(A988&lt;36526,A988&gt;73050,A988&lt;&gt;INT(A988)),"Data inválida",IF(A988&lt;=Séries!U987,"Data repetida / fora de ordem",IF(COUNTA(B988:E988)&lt;&gt;COUNT(B988:E988),"Use preços numéricos",IF(OR(AND(ISNUMBER(B988),B988&lt;=0),AND(ISNUMBER(C988),C988&lt;=0),AND(ISNUMBER(D988),D988&lt;=0),AND(ISNUMBER(E988),E988&lt;=0)),"Use preços positivos","")))))))</f>
        <v/>
      </c>
    </row>
    <row r="989" spans="1:11" ht="22.95" customHeight="1">
      <c r="A989" s="28"/>
      <c r="B989" s="29"/>
      <c r="C989" s="29"/>
      <c r="D989" s="29"/>
      <c r="E989" s="30"/>
      <c r="F989" s="22" t="str">
        <f>IF(OR($A989="",B989="",B989&lt;=0,Séries!Q988=""),"",B989/Séries!Q988-1)</f>
        <v/>
      </c>
      <c r="G989" s="22" t="str">
        <f>IF(OR($A989="",C989="",C989&lt;=0,Séries!R988=""),"",C989/Séries!R988-1)</f>
        <v/>
      </c>
      <c r="H989" s="22" t="str">
        <f>IF(OR($A989="",D989="",D989&lt;=0,Séries!S988=""),"",D989/Séries!S988-1)</f>
        <v/>
      </c>
      <c r="I989" s="22" t="str">
        <f>IF(OR($A989="",E989="",E989&lt;=0,Séries!T988=""),"",E989/Séries!T988-1)</f>
        <v/>
      </c>
      <c r="J989" s="27"/>
      <c r="K989" s="1" t="str">
        <f>IF(COUNTA(A989:E989)=0,"",IF(A989="","Preencha a data",IF(NOT(ISNUMBER(A989)),"Data inválida",IF(OR(A989&lt;36526,A989&gt;73050,A989&lt;&gt;INT(A989)),"Data inválida",IF(A989&lt;=Séries!U988,"Data repetida / fora de ordem",IF(COUNTA(B989:E989)&lt;&gt;COUNT(B989:E989),"Use preços numéricos",IF(OR(AND(ISNUMBER(B989),B989&lt;=0),AND(ISNUMBER(C989),C989&lt;=0),AND(ISNUMBER(D989),D989&lt;=0),AND(ISNUMBER(E989),E989&lt;=0)),"Use preços positivos","")))))))</f>
        <v/>
      </c>
    </row>
    <row r="990" spans="1:11" ht="22.95" customHeight="1">
      <c r="A990" s="28"/>
      <c r="B990" s="29"/>
      <c r="C990" s="29"/>
      <c r="D990" s="29"/>
      <c r="E990" s="30"/>
      <c r="F990" s="22" t="str">
        <f>IF(OR($A990="",B990="",B990&lt;=0,Séries!Q989=""),"",B990/Séries!Q989-1)</f>
        <v/>
      </c>
      <c r="G990" s="22" t="str">
        <f>IF(OR($A990="",C990="",C990&lt;=0,Séries!R989=""),"",C990/Séries!R989-1)</f>
        <v/>
      </c>
      <c r="H990" s="22" t="str">
        <f>IF(OR($A990="",D990="",D990&lt;=0,Séries!S989=""),"",D990/Séries!S989-1)</f>
        <v/>
      </c>
      <c r="I990" s="22" t="str">
        <f>IF(OR($A990="",E990="",E990&lt;=0,Séries!T989=""),"",E990/Séries!T989-1)</f>
        <v/>
      </c>
      <c r="J990" s="27"/>
      <c r="K990" s="1" t="str">
        <f>IF(COUNTA(A990:E990)=0,"",IF(A990="","Preencha a data",IF(NOT(ISNUMBER(A990)),"Data inválida",IF(OR(A990&lt;36526,A990&gt;73050,A990&lt;&gt;INT(A990)),"Data inválida",IF(A990&lt;=Séries!U989,"Data repetida / fora de ordem",IF(COUNTA(B990:E990)&lt;&gt;COUNT(B990:E990),"Use preços numéricos",IF(OR(AND(ISNUMBER(B990),B990&lt;=0),AND(ISNUMBER(C990),C990&lt;=0),AND(ISNUMBER(D990),D990&lt;=0),AND(ISNUMBER(E990),E990&lt;=0)),"Use preços positivos","")))))))</f>
        <v/>
      </c>
    </row>
    <row r="991" spans="1:11" ht="22.95" customHeight="1">
      <c r="A991" s="28"/>
      <c r="B991" s="29"/>
      <c r="C991" s="29"/>
      <c r="D991" s="29"/>
      <c r="E991" s="30"/>
      <c r="F991" s="22" t="str">
        <f>IF(OR($A991="",B991="",B991&lt;=0,Séries!Q990=""),"",B991/Séries!Q990-1)</f>
        <v/>
      </c>
      <c r="G991" s="22" t="str">
        <f>IF(OR($A991="",C991="",C991&lt;=0,Séries!R990=""),"",C991/Séries!R990-1)</f>
        <v/>
      </c>
      <c r="H991" s="22" t="str">
        <f>IF(OR($A991="",D991="",D991&lt;=0,Séries!S990=""),"",D991/Séries!S990-1)</f>
        <v/>
      </c>
      <c r="I991" s="22" t="str">
        <f>IF(OR($A991="",E991="",E991&lt;=0,Séries!T990=""),"",E991/Séries!T990-1)</f>
        <v/>
      </c>
      <c r="J991" s="27"/>
      <c r="K991" s="1" t="str">
        <f>IF(COUNTA(A991:E991)=0,"",IF(A991="","Preencha a data",IF(NOT(ISNUMBER(A991)),"Data inválida",IF(OR(A991&lt;36526,A991&gt;73050,A991&lt;&gt;INT(A991)),"Data inválida",IF(A991&lt;=Séries!U990,"Data repetida / fora de ordem",IF(COUNTA(B991:E991)&lt;&gt;COUNT(B991:E991),"Use preços numéricos",IF(OR(AND(ISNUMBER(B991),B991&lt;=0),AND(ISNUMBER(C991),C991&lt;=0),AND(ISNUMBER(D991),D991&lt;=0),AND(ISNUMBER(E991),E991&lt;=0)),"Use preços positivos","")))))))</f>
        <v/>
      </c>
    </row>
    <row r="992" spans="1:11" ht="22.95" customHeight="1">
      <c r="A992" s="28"/>
      <c r="B992" s="29"/>
      <c r="C992" s="29"/>
      <c r="D992" s="29"/>
      <c r="E992" s="30"/>
      <c r="F992" s="22" t="str">
        <f>IF(OR($A992="",B992="",B992&lt;=0,Séries!Q991=""),"",B992/Séries!Q991-1)</f>
        <v/>
      </c>
      <c r="G992" s="22" t="str">
        <f>IF(OR($A992="",C992="",C992&lt;=0,Séries!R991=""),"",C992/Séries!R991-1)</f>
        <v/>
      </c>
      <c r="H992" s="22" t="str">
        <f>IF(OR($A992="",D992="",D992&lt;=0,Séries!S991=""),"",D992/Séries!S991-1)</f>
        <v/>
      </c>
      <c r="I992" s="22" t="str">
        <f>IF(OR($A992="",E992="",E992&lt;=0,Séries!T991=""),"",E992/Séries!T991-1)</f>
        <v/>
      </c>
      <c r="J992" s="27"/>
      <c r="K992" s="1" t="str">
        <f>IF(COUNTA(A992:E992)=0,"",IF(A992="","Preencha a data",IF(NOT(ISNUMBER(A992)),"Data inválida",IF(OR(A992&lt;36526,A992&gt;73050,A992&lt;&gt;INT(A992)),"Data inválida",IF(A992&lt;=Séries!U991,"Data repetida / fora de ordem",IF(COUNTA(B992:E992)&lt;&gt;COUNT(B992:E992),"Use preços numéricos",IF(OR(AND(ISNUMBER(B992),B992&lt;=0),AND(ISNUMBER(C992),C992&lt;=0),AND(ISNUMBER(D992),D992&lt;=0),AND(ISNUMBER(E992),E992&lt;=0)),"Use preços positivos","")))))))</f>
        <v/>
      </c>
    </row>
    <row r="993" spans="1:11" ht="22.95" customHeight="1">
      <c r="A993" s="28"/>
      <c r="B993" s="29"/>
      <c r="C993" s="29"/>
      <c r="D993" s="29"/>
      <c r="E993" s="30"/>
      <c r="F993" s="22" t="str">
        <f>IF(OR($A993="",B993="",B993&lt;=0,Séries!Q992=""),"",B993/Séries!Q992-1)</f>
        <v/>
      </c>
      <c r="G993" s="22" t="str">
        <f>IF(OR($A993="",C993="",C993&lt;=0,Séries!R992=""),"",C993/Séries!R992-1)</f>
        <v/>
      </c>
      <c r="H993" s="22" t="str">
        <f>IF(OR($A993="",D993="",D993&lt;=0,Séries!S992=""),"",D993/Séries!S992-1)</f>
        <v/>
      </c>
      <c r="I993" s="22" t="str">
        <f>IF(OR($A993="",E993="",E993&lt;=0,Séries!T992=""),"",E993/Séries!T992-1)</f>
        <v/>
      </c>
      <c r="J993" s="27"/>
      <c r="K993" s="1" t="str">
        <f>IF(COUNTA(A993:E993)=0,"",IF(A993="","Preencha a data",IF(NOT(ISNUMBER(A993)),"Data inválida",IF(OR(A993&lt;36526,A993&gt;73050,A993&lt;&gt;INT(A993)),"Data inválida",IF(A993&lt;=Séries!U992,"Data repetida / fora de ordem",IF(COUNTA(B993:E993)&lt;&gt;COUNT(B993:E993),"Use preços numéricos",IF(OR(AND(ISNUMBER(B993),B993&lt;=0),AND(ISNUMBER(C993),C993&lt;=0),AND(ISNUMBER(D993),D993&lt;=0),AND(ISNUMBER(E993),E993&lt;=0)),"Use preços positivos","")))))))</f>
        <v/>
      </c>
    </row>
    <row r="994" spans="1:11" ht="22.95" customHeight="1">
      <c r="A994" s="28"/>
      <c r="B994" s="29"/>
      <c r="C994" s="29"/>
      <c r="D994" s="29"/>
      <c r="E994" s="30"/>
      <c r="F994" s="22" t="str">
        <f>IF(OR($A994="",B994="",B994&lt;=0,Séries!Q993=""),"",B994/Séries!Q993-1)</f>
        <v/>
      </c>
      <c r="G994" s="22" t="str">
        <f>IF(OR($A994="",C994="",C994&lt;=0,Séries!R993=""),"",C994/Séries!R993-1)</f>
        <v/>
      </c>
      <c r="H994" s="22" t="str">
        <f>IF(OR($A994="",D994="",D994&lt;=0,Séries!S993=""),"",D994/Séries!S993-1)</f>
        <v/>
      </c>
      <c r="I994" s="22" t="str">
        <f>IF(OR($A994="",E994="",E994&lt;=0,Séries!T993=""),"",E994/Séries!T993-1)</f>
        <v/>
      </c>
      <c r="J994" s="27"/>
      <c r="K994" s="1" t="str">
        <f>IF(COUNTA(A994:E994)=0,"",IF(A994="","Preencha a data",IF(NOT(ISNUMBER(A994)),"Data inválida",IF(OR(A994&lt;36526,A994&gt;73050,A994&lt;&gt;INT(A994)),"Data inválida",IF(A994&lt;=Séries!U993,"Data repetida / fora de ordem",IF(COUNTA(B994:E994)&lt;&gt;COUNT(B994:E994),"Use preços numéricos",IF(OR(AND(ISNUMBER(B994),B994&lt;=0),AND(ISNUMBER(C994),C994&lt;=0),AND(ISNUMBER(D994),D994&lt;=0),AND(ISNUMBER(E994),E994&lt;=0)),"Use preços positivos","")))))))</f>
        <v/>
      </c>
    </row>
    <row r="995" spans="1:11" ht="22.95" customHeight="1">
      <c r="A995" s="28"/>
      <c r="B995" s="29"/>
      <c r="C995" s="29"/>
      <c r="D995" s="29"/>
      <c r="E995" s="30"/>
      <c r="F995" s="22" t="str">
        <f>IF(OR($A995="",B995="",B995&lt;=0,Séries!Q994=""),"",B995/Séries!Q994-1)</f>
        <v/>
      </c>
      <c r="G995" s="22" t="str">
        <f>IF(OR($A995="",C995="",C995&lt;=0,Séries!R994=""),"",C995/Séries!R994-1)</f>
        <v/>
      </c>
      <c r="H995" s="22" t="str">
        <f>IF(OR($A995="",D995="",D995&lt;=0,Séries!S994=""),"",D995/Séries!S994-1)</f>
        <v/>
      </c>
      <c r="I995" s="22" t="str">
        <f>IF(OR($A995="",E995="",E995&lt;=0,Séries!T994=""),"",E995/Séries!T994-1)</f>
        <v/>
      </c>
      <c r="J995" s="27"/>
      <c r="K995" s="1" t="str">
        <f>IF(COUNTA(A995:E995)=0,"",IF(A995="","Preencha a data",IF(NOT(ISNUMBER(A995)),"Data inválida",IF(OR(A995&lt;36526,A995&gt;73050,A995&lt;&gt;INT(A995)),"Data inválida",IF(A995&lt;=Séries!U994,"Data repetida / fora de ordem",IF(COUNTA(B995:E995)&lt;&gt;COUNT(B995:E995),"Use preços numéricos",IF(OR(AND(ISNUMBER(B995),B995&lt;=0),AND(ISNUMBER(C995),C995&lt;=0),AND(ISNUMBER(D995),D995&lt;=0),AND(ISNUMBER(E995),E995&lt;=0)),"Use preços positivos","")))))))</f>
        <v/>
      </c>
    </row>
    <row r="996" spans="1:11" ht="22.95" customHeight="1">
      <c r="A996" s="28"/>
      <c r="B996" s="29"/>
      <c r="C996" s="29"/>
      <c r="D996" s="29"/>
      <c r="E996" s="30"/>
      <c r="F996" s="22" t="str">
        <f>IF(OR($A996="",B996="",B996&lt;=0,Séries!Q995=""),"",B996/Séries!Q995-1)</f>
        <v/>
      </c>
      <c r="G996" s="22" t="str">
        <f>IF(OR($A996="",C996="",C996&lt;=0,Séries!R995=""),"",C996/Séries!R995-1)</f>
        <v/>
      </c>
      <c r="H996" s="22" t="str">
        <f>IF(OR($A996="",D996="",D996&lt;=0,Séries!S995=""),"",D996/Séries!S995-1)</f>
        <v/>
      </c>
      <c r="I996" s="22" t="str">
        <f>IF(OR($A996="",E996="",E996&lt;=0,Séries!T995=""),"",E996/Séries!T995-1)</f>
        <v/>
      </c>
      <c r="J996" s="27"/>
      <c r="K996" s="1" t="str">
        <f>IF(COUNTA(A996:E996)=0,"",IF(A996="","Preencha a data",IF(NOT(ISNUMBER(A996)),"Data inválida",IF(OR(A996&lt;36526,A996&gt;73050,A996&lt;&gt;INT(A996)),"Data inválida",IF(A996&lt;=Séries!U995,"Data repetida / fora de ordem",IF(COUNTA(B996:E996)&lt;&gt;COUNT(B996:E996),"Use preços numéricos",IF(OR(AND(ISNUMBER(B996),B996&lt;=0),AND(ISNUMBER(C996),C996&lt;=0),AND(ISNUMBER(D996),D996&lt;=0),AND(ISNUMBER(E996),E996&lt;=0)),"Use preços positivos","")))))))</f>
        <v/>
      </c>
    </row>
    <row r="997" spans="1:11" ht="22.95" customHeight="1">
      <c r="A997" s="28"/>
      <c r="B997" s="29"/>
      <c r="C997" s="29"/>
      <c r="D997" s="29"/>
      <c r="E997" s="30"/>
      <c r="F997" s="22" t="str">
        <f>IF(OR($A997="",B997="",B997&lt;=0,Séries!Q996=""),"",B997/Séries!Q996-1)</f>
        <v/>
      </c>
      <c r="G997" s="22" t="str">
        <f>IF(OR($A997="",C997="",C997&lt;=0,Séries!R996=""),"",C997/Séries!R996-1)</f>
        <v/>
      </c>
      <c r="H997" s="22" t="str">
        <f>IF(OR($A997="",D997="",D997&lt;=0,Séries!S996=""),"",D997/Séries!S996-1)</f>
        <v/>
      </c>
      <c r="I997" s="22" t="str">
        <f>IF(OR($A997="",E997="",E997&lt;=0,Séries!T996=""),"",E997/Séries!T996-1)</f>
        <v/>
      </c>
      <c r="J997" s="27"/>
      <c r="K997" s="1" t="str">
        <f>IF(COUNTA(A997:E997)=0,"",IF(A997="","Preencha a data",IF(NOT(ISNUMBER(A997)),"Data inválida",IF(OR(A997&lt;36526,A997&gt;73050,A997&lt;&gt;INT(A997)),"Data inválida",IF(A997&lt;=Séries!U996,"Data repetida / fora de ordem",IF(COUNTA(B997:E997)&lt;&gt;COUNT(B997:E997),"Use preços numéricos",IF(OR(AND(ISNUMBER(B997),B997&lt;=0),AND(ISNUMBER(C997),C997&lt;=0),AND(ISNUMBER(D997),D997&lt;=0),AND(ISNUMBER(E997),E997&lt;=0)),"Use preços positivos","")))))))</f>
        <v/>
      </c>
    </row>
    <row r="998" spans="1:11" ht="22.95" customHeight="1">
      <c r="A998" s="28"/>
      <c r="B998" s="29"/>
      <c r="C998" s="29"/>
      <c r="D998" s="29"/>
      <c r="E998" s="30"/>
      <c r="F998" s="22" t="str">
        <f>IF(OR($A998="",B998="",B998&lt;=0,Séries!Q997=""),"",B998/Séries!Q997-1)</f>
        <v/>
      </c>
      <c r="G998" s="22" t="str">
        <f>IF(OR($A998="",C998="",C998&lt;=0,Séries!R997=""),"",C998/Séries!R997-1)</f>
        <v/>
      </c>
      <c r="H998" s="22" t="str">
        <f>IF(OR($A998="",D998="",D998&lt;=0,Séries!S997=""),"",D998/Séries!S997-1)</f>
        <v/>
      </c>
      <c r="I998" s="22" t="str">
        <f>IF(OR($A998="",E998="",E998&lt;=0,Séries!T997=""),"",E998/Séries!T997-1)</f>
        <v/>
      </c>
      <c r="J998" s="27"/>
      <c r="K998" s="1" t="str">
        <f>IF(COUNTA(A998:E998)=0,"",IF(A998="","Preencha a data",IF(NOT(ISNUMBER(A998)),"Data inválida",IF(OR(A998&lt;36526,A998&gt;73050,A998&lt;&gt;INT(A998)),"Data inválida",IF(A998&lt;=Séries!U997,"Data repetida / fora de ordem",IF(COUNTA(B998:E998)&lt;&gt;COUNT(B998:E998),"Use preços numéricos",IF(OR(AND(ISNUMBER(B998),B998&lt;=0),AND(ISNUMBER(C998),C998&lt;=0),AND(ISNUMBER(D998),D998&lt;=0),AND(ISNUMBER(E998),E998&lt;=0)),"Use preços positivos","")))))))</f>
        <v/>
      </c>
    </row>
    <row r="999" spans="1:11" ht="22.95" customHeight="1">
      <c r="A999" s="28"/>
      <c r="B999" s="29"/>
      <c r="C999" s="29"/>
      <c r="D999" s="29"/>
      <c r="E999" s="30"/>
      <c r="F999" s="22" t="str">
        <f>IF(OR($A999="",B999="",B999&lt;=0,Séries!Q998=""),"",B999/Séries!Q998-1)</f>
        <v/>
      </c>
      <c r="G999" s="22" t="str">
        <f>IF(OR($A999="",C999="",C999&lt;=0,Séries!R998=""),"",C999/Séries!R998-1)</f>
        <v/>
      </c>
      <c r="H999" s="22" t="str">
        <f>IF(OR($A999="",D999="",D999&lt;=0,Séries!S998=""),"",D999/Séries!S998-1)</f>
        <v/>
      </c>
      <c r="I999" s="22" t="str">
        <f>IF(OR($A999="",E999="",E999&lt;=0,Séries!T998=""),"",E999/Séries!T998-1)</f>
        <v/>
      </c>
      <c r="J999" s="27"/>
      <c r="K999" s="1" t="str">
        <f>IF(COUNTA(A999:E999)=0,"",IF(A999="","Preencha a data",IF(NOT(ISNUMBER(A999)),"Data inválida",IF(OR(A999&lt;36526,A999&gt;73050,A999&lt;&gt;INT(A999)),"Data inválida",IF(A999&lt;=Séries!U998,"Data repetida / fora de ordem",IF(COUNTA(B999:E999)&lt;&gt;COUNT(B999:E999),"Use preços numéricos",IF(OR(AND(ISNUMBER(B999),B999&lt;=0),AND(ISNUMBER(C999),C999&lt;=0),AND(ISNUMBER(D999),D999&lt;=0),AND(ISNUMBER(E999),E999&lt;=0)),"Use preços positivos","")))))))</f>
        <v/>
      </c>
    </row>
    <row r="1000" spans="1:11" ht="22.95" customHeight="1">
      <c r="A1000" s="28"/>
      <c r="B1000" s="29"/>
      <c r="C1000" s="29"/>
      <c r="D1000" s="29"/>
      <c r="E1000" s="30"/>
      <c r="F1000" s="22" t="str">
        <f>IF(OR($A1000="",B1000="",B1000&lt;=0,Séries!Q999=""),"",B1000/Séries!Q999-1)</f>
        <v/>
      </c>
      <c r="G1000" s="22" t="str">
        <f>IF(OR($A1000="",C1000="",C1000&lt;=0,Séries!R999=""),"",C1000/Séries!R999-1)</f>
        <v/>
      </c>
      <c r="H1000" s="22" t="str">
        <f>IF(OR($A1000="",D1000="",D1000&lt;=0,Séries!S999=""),"",D1000/Séries!S999-1)</f>
        <v/>
      </c>
      <c r="I1000" s="22" t="str">
        <f>IF(OR($A1000="",E1000="",E1000&lt;=0,Séries!T999=""),"",E1000/Séries!T999-1)</f>
        <v/>
      </c>
      <c r="J1000" s="27"/>
      <c r="K1000" s="1" t="str">
        <f>IF(COUNTA(A1000:E1000)=0,"",IF(A1000="","Preencha a data",IF(NOT(ISNUMBER(A1000)),"Data inválida",IF(OR(A1000&lt;36526,A1000&gt;73050,A1000&lt;&gt;INT(A1000)),"Data inválida",IF(A1000&lt;=Séries!U999,"Data repetida / fora de ordem",IF(COUNTA(B1000:E1000)&lt;&gt;COUNT(B1000:E1000),"Use preços numéricos",IF(OR(AND(ISNUMBER(B1000),B1000&lt;=0),AND(ISNUMBER(C1000),C1000&lt;=0),AND(ISNUMBER(D1000),D1000&lt;=0),AND(ISNUMBER(E1000),E1000&lt;=0)),"Use preços positivos","")))))))</f>
        <v/>
      </c>
    </row>
    <row r="1001" spans="1:11" ht="22.95" customHeight="1">
      <c r="A1001" s="28"/>
      <c r="B1001" s="29"/>
      <c r="C1001" s="29"/>
      <c r="D1001" s="29"/>
      <c r="E1001" s="30"/>
      <c r="F1001" s="22" t="str">
        <f>IF(OR($A1001="",B1001="",B1001&lt;=0,Séries!Q1000=""),"",B1001/Séries!Q1000-1)</f>
        <v/>
      </c>
      <c r="G1001" s="22" t="str">
        <f>IF(OR($A1001="",C1001="",C1001&lt;=0,Séries!R1000=""),"",C1001/Séries!R1000-1)</f>
        <v/>
      </c>
      <c r="H1001" s="22" t="str">
        <f>IF(OR($A1001="",D1001="",D1001&lt;=0,Séries!S1000=""),"",D1001/Séries!S1000-1)</f>
        <v/>
      </c>
      <c r="I1001" s="22" t="str">
        <f>IF(OR($A1001="",E1001="",E1001&lt;=0,Séries!T1000=""),"",E1001/Séries!T1000-1)</f>
        <v/>
      </c>
      <c r="J1001" s="27"/>
      <c r="K1001" s="1" t="str">
        <f>IF(COUNTA(A1001:E1001)=0,"",IF(A1001="","Preencha a data",IF(NOT(ISNUMBER(A1001)),"Data inválida",IF(OR(A1001&lt;36526,A1001&gt;73050,A1001&lt;&gt;INT(A1001)),"Data inválida",IF(A1001&lt;=Séries!U1000,"Data repetida / fora de ordem",IF(COUNTA(B1001:E1001)&lt;&gt;COUNT(B1001:E1001),"Use preços numéricos",IF(OR(AND(ISNUMBER(B1001),B1001&lt;=0),AND(ISNUMBER(C1001),C1001&lt;=0),AND(ISNUMBER(D1001),D1001&lt;=0),AND(ISNUMBER(E1001),E1001&lt;=0)),"Use preços positivos","")))))))</f>
        <v/>
      </c>
    </row>
    <row r="1002" spans="1:11" ht="22.95" customHeight="1">
      <c r="A1002" s="28"/>
      <c r="B1002" s="29"/>
      <c r="C1002" s="29"/>
      <c r="D1002" s="29"/>
      <c r="E1002" s="30"/>
      <c r="F1002" s="22" t="str">
        <f>IF(OR($A1002="",B1002="",B1002&lt;=0,Séries!Q1001=""),"",B1002/Séries!Q1001-1)</f>
        <v/>
      </c>
      <c r="G1002" s="22" t="str">
        <f>IF(OR($A1002="",C1002="",C1002&lt;=0,Séries!R1001=""),"",C1002/Séries!R1001-1)</f>
        <v/>
      </c>
      <c r="H1002" s="22" t="str">
        <f>IF(OR($A1002="",D1002="",D1002&lt;=0,Séries!S1001=""),"",D1002/Séries!S1001-1)</f>
        <v/>
      </c>
      <c r="I1002" s="22" t="str">
        <f>IF(OR($A1002="",E1002="",E1002&lt;=0,Séries!T1001=""),"",E1002/Séries!T1001-1)</f>
        <v/>
      </c>
      <c r="J1002" s="27"/>
      <c r="K1002" s="1" t="str">
        <f>IF(COUNTA(A1002:E1002)=0,"",IF(A1002="","Preencha a data",IF(NOT(ISNUMBER(A1002)),"Data inválida",IF(OR(A1002&lt;36526,A1002&gt;73050,A1002&lt;&gt;INT(A1002)),"Data inválida",IF(A1002&lt;=Séries!U1001,"Data repetida / fora de ordem",IF(COUNTA(B1002:E1002)&lt;&gt;COUNT(B1002:E1002),"Use preços numéricos",IF(OR(AND(ISNUMBER(B1002),B1002&lt;=0),AND(ISNUMBER(C1002),C1002&lt;=0),AND(ISNUMBER(D1002),D1002&lt;=0),AND(ISNUMBER(E1002),E1002&lt;=0)),"Use preços positivos","")))))))</f>
        <v/>
      </c>
    </row>
    <row r="1003" spans="1:11" ht="22.95" customHeight="1">
      <c r="A1003" s="28"/>
      <c r="B1003" s="29"/>
      <c r="C1003" s="29"/>
      <c r="D1003" s="29"/>
      <c r="E1003" s="30"/>
      <c r="F1003" s="22" t="str">
        <f>IF(OR($A1003="",B1003="",B1003&lt;=0,Séries!Q1002=""),"",B1003/Séries!Q1002-1)</f>
        <v/>
      </c>
      <c r="G1003" s="22" t="str">
        <f>IF(OR($A1003="",C1003="",C1003&lt;=0,Séries!R1002=""),"",C1003/Séries!R1002-1)</f>
        <v/>
      </c>
      <c r="H1003" s="22" t="str">
        <f>IF(OR($A1003="",D1003="",D1003&lt;=0,Séries!S1002=""),"",D1003/Séries!S1002-1)</f>
        <v/>
      </c>
      <c r="I1003" s="22" t="str">
        <f>IF(OR($A1003="",E1003="",E1003&lt;=0,Séries!T1002=""),"",E1003/Séries!T1002-1)</f>
        <v/>
      </c>
      <c r="J1003" s="27"/>
      <c r="K1003" s="1" t="str">
        <f>IF(COUNTA(A1003:E1003)=0,"",IF(A1003="","Preencha a data",IF(NOT(ISNUMBER(A1003)),"Data inválida",IF(OR(A1003&lt;36526,A1003&gt;73050,A1003&lt;&gt;INT(A1003)),"Data inválida",IF(A1003&lt;=Séries!U1002,"Data repetida / fora de ordem",IF(COUNTA(B1003:E1003)&lt;&gt;COUNT(B1003:E1003),"Use preços numéricos",IF(OR(AND(ISNUMBER(B1003),B1003&lt;=0),AND(ISNUMBER(C1003),C1003&lt;=0),AND(ISNUMBER(D1003),D1003&lt;=0),AND(ISNUMBER(E1003),E1003&lt;=0)),"Use preços positivos","")))))))</f>
        <v/>
      </c>
    </row>
    <row r="1004" spans="1:11" ht="22.95" customHeight="1">
      <c r="A1004" s="28"/>
      <c r="B1004" s="29"/>
      <c r="C1004" s="29"/>
      <c r="D1004" s="29"/>
      <c r="E1004" s="30"/>
      <c r="F1004" s="22" t="str">
        <f>IF(OR($A1004="",B1004="",B1004&lt;=0,Séries!Q1003=""),"",B1004/Séries!Q1003-1)</f>
        <v/>
      </c>
      <c r="G1004" s="22" t="str">
        <f>IF(OR($A1004="",C1004="",C1004&lt;=0,Séries!R1003=""),"",C1004/Séries!R1003-1)</f>
        <v/>
      </c>
      <c r="H1004" s="22" t="str">
        <f>IF(OR($A1004="",D1004="",D1004&lt;=0,Séries!S1003=""),"",D1004/Séries!S1003-1)</f>
        <v/>
      </c>
      <c r="I1004" s="22" t="str">
        <f>IF(OR($A1004="",E1004="",E1004&lt;=0,Séries!T1003=""),"",E1004/Séries!T1003-1)</f>
        <v/>
      </c>
      <c r="J1004" s="27"/>
      <c r="K1004" s="1" t="str">
        <f>IF(COUNTA(A1004:E1004)=0,"",IF(A1004="","Preencha a data",IF(NOT(ISNUMBER(A1004)),"Data inválida",IF(OR(A1004&lt;36526,A1004&gt;73050,A1004&lt;&gt;INT(A1004)),"Data inválida",IF(A1004&lt;=Séries!U1003,"Data repetida / fora de ordem",IF(COUNTA(B1004:E1004)&lt;&gt;COUNT(B1004:E1004),"Use preços numéricos",IF(OR(AND(ISNUMBER(B1004),B1004&lt;=0),AND(ISNUMBER(C1004),C1004&lt;=0),AND(ISNUMBER(D1004),D1004&lt;=0),AND(ISNUMBER(E1004),E1004&lt;=0)),"Use preços positivos","")))))))</f>
        <v/>
      </c>
    </row>
    <row r="1005" spans="1:11" ht="22.95" customHeight="1">
      <c r="A1005" s="28"/>
      <c r="B1005" s="29"/>
      <c r="C1005" s="29"/>
      <c r="D1005" s="29"/>
      <c r="E1005" s="30"/>
      <c r="F1005" s="22" t="str">
        <f>IF(OR($A1005="",B1005="",B1005&lt;=0,Séries!Q1004=""),"",B1005/Séries!Q1004-1)</f>
        <v/>
      </c>
      <c r="G1005" s="22" t="str">
        <f>IF(OR($A1005="",C1005="",C1005&lt;=0,Séries!R1004=""),"",C1005/Séries!R1004-1)</f>
        <v/>
      </c>
      <c r="H1005" s="22" t="str">
        <f>IF(OR($A1005="",D1005="",D1005&lt;=0,Séries!S1004=""),"",D1005/Séries!S1004-1)</f>
        <v/>
      </c>
      <c r="I1005" s="22" t="str">
        <f>IF(OR($A1005="",E1005="",E1005&lt;=0,Séries!T1004=""),"",E1005/Séries!T1004-1)</f>
        <v/>
      </c>
      <c r="J1005" s="27"/>
      <c r="K1005" s="1" t="str">
        <f>IF(COUNTA(A1005:E1005)=0,"",IF(A1005="","Preencha a data",IF(NOT(ISNUMBER(A1005)),"Data inválida",IF(OR(A1005&lt;36526,A1005&gt;73050,A1005&lt;&gt;INT(A1005)),"Data inválida",IF(A1005&lt;=Séries!U1004,"Data repetida / fora de ordem",IF(COUNTA(B1005:E1005)&lt;&gt;COUNT(B1005:E1005),"Use preços numéricos",IF(OR(AND(ISNUMBER(B1005),B1005&lt;=0),AND(ISNUMBER(C1005),C1005&lt;=0),AND(ISNUMBER(D1005),D1005&lt;=0),AND(ISNUMBER(E1005),E1005&lt;=0)),"Use preços positivos","")))))))</f>
        <v/>
      </c>
    </row>
    <row r="1006" spans="1:11" ht="22.95" customHeight="1">
      <c r="A1006" s="28"/>
      <c r="B1006" s="29"/>
      <c r="C1006" s="29"/>
      <c r="D1006" s="29"/>
      <c r="E1006" s="30"/>
      <c r="F1006" s="22" t="str">
        <f>IF(OR($A1006="",B1006="",B1006&lt;=0,Séries!Q1005=""),"",B1006/Séries!Q1005-1)</f>
        <v/>
      </c>
      <c r="G1006" s="22" t="str">
        <f>IF(OR($A1006="",C1006="",C1006&lt;=0,Séries!R1005=""),"",C1006/Séries!R1005-1)</f>
        <v/>
      </c>
      <c r="H1006" s="22" t="str">
        <f>IF(OR($A1006="",D1006="",D1006&lt;=0,Séries!S1005=""),"",D1006/Séries!S1005-1)</f>
        <v/>
      </c>
      <c r="I1006" s="22" t="str">
        <f>IF(OR($A1006="",E1006="",E1006&lt;=0,Séries!T1005=""),"",E1006/Séries!T1005-1)</f>
        <v/>
      </c>
      <c r="J1006" s="27"/>
      <c r="K1006" s="1" t="str">
        <f>IF(COUNTA(A1006:E1006)=0,"",IF(A1006="","Preencha a data",IF(NOT(ISNUMBER(A1006)),"Data inválida",IF(OR(A1006&lt;36526,A1006&gt;73050,A1006&lt;&gt;INT(A1006)),"Data inválida",IF(A1006&lt;=Séries!U1005,"Data repetida / fora de ordem",IF(COUNTA(B1006:E1006)&lt;&gt;COUNT(B1006:E1006),"Use preços numéricos",IF(OR(AND(ISNUMBER(B1006),B1006&lt;=0),AND(ISNUMBER(C1006),C1006&lt;=0),AND(ISNUMBER(D1006),D1006&lt;=0),AND(ISNUMBER(E1006),E1006&lt;=0)),"Use preços positivos","")))))))</f>
        <v/>
      </c>
    </row>
    <row r="1007" spans="1:11" ht="22.95" customHeight="1">
      <c r="A1007" s="28"/>
      <c r="B1007" s="29"/>
      <c r="C1007" s="29"/>
      <c r="D1007" s="29"/>
      <c r="E1007" s="30"/>
      <c r="F1007" s="22" t="str">
        <f>IF(OR($A1007="",B1007="",B1007&lt;=0,Séries!Q1006=""),"",B1007/Séries!Q1006-1)</f>
        <v/>
      </c>
      <c r="G1007" s="22" t="str">
        <f>IF(OR($A1007="",C1007="",C1007&lt;=0,Séries!R1006=""),"",C1007/Séries!R1006-1)</f>
        <v/>
      </c>
      <c r="H1007" s="22" t="str">
        <f>IF(OR($A1007="",D1007="",D1007&lt;=0,Séries!S1006=""),"",D1007/Séries!S1006-1)</f>
        <v/>
      </c>
      <c r="I1007" s="22" t="str">
        <f>IF(OR($A1007="",E1007="",E1007&lt;=0,Séries!T1006=""),"",E1007/Séries!T1006-1)</f>
        <v/>
      </c>
      <c r="J1007" s="27"/>
      <c r="K1007" s="1" t="str">
        <f>IF(COUNTA(A1007:E1007)=0,"",IF(A1007="","Preencha a data",IF(NOT(ISNUMBER(A1007)),"Data inválida",IF(OR(A1007&lt;36526,A1007&gt;73050,A1007&lt;&gt;INT(A1007)),"Data inválida",IF(A1007&lt;=Séries!U1006,"Data repetida / fora de ordem",IF(COUNTA(B1007:E1007)&lt;&gt;COUNT(B1007:E1007),"Use preços numéricos",IF(OR(AND(ISNUMBER(B1007),B1007&lt;=0),AND(ISNUMBER(C1007),C1007&lt;=0),AND(ISNUMBER(D1007),D1007&lt;=0),AND(ISNUMBER(E1007),E1007&lt;=0)),"Use preços positivos","")))))))</f>
        <v/>
      </c>
    </row>
  </sheetData>
  <conditionalFormatting sqref="A8:K1007">
    <cfRule type="expression" dxfId="2" priority="1">
      <formula>$K8&lt;&gt;""</formula>
    </cfRule>
  </conditionalFormatting>
  <conditionalFormatting sqref="F8:I1007">
    <cfRule type="cellIs" dxfId="1" priority="2" operator="greaterThan">
      <formula>0</formula>
    </cfRule>
    <cfRule type="cellIs" dxfId="0" priority="3" operator="lessThan">
      <formula>0</formula>
    </cfRule>
  </conditionalFormatting>
  <dataValidations count="1">
    <dataValidation type="whole" sqref="A8:A1007" xr:uid="{00000000-0002-0000-0100-000000000000}">
      <formula1>36526</formula1>
      <formula2>73050</formula2>
    </dataValidation>
  </dataValidations>
  <hyperlinks>
    <hyperlink ref="A4" r:id="rId1" xr:uid="{00000000-0004-0000-0100-000000000000}"/>
    <hyperlink ref="C4" r:id="rId2" xr:uid="{00000000-0004-0000-0100-000001000000}"/>
    <hyperlink ref="E4" r:id="rId3" xr:uid="{00000000-0004-0000-0100-000002000000}"/>
    <hyperlink ref="G4" r:id="rId4" xr:uid="{00000000-0004-0000-0100-000003000000}"/>
    <hyperlink ref="J4" location="'Fontes e guia'!A1" display="Fontes e guia" xr:uid="{00000000-0004-0000-0100-000004000000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10" customWidth="1"/>
    <col min="2" max="2" width="21" customWidth="1"/>
    <col min="3" max="3" width="27" customWidth="1"/>
    <col min="4" max="4" width="22" customWidth="1"/>
    <col min="5" max="5" width="23" customWidth="1"/>
    <col min="6" max="6" width="21" customWidth="1"/>
  </cols>
  <sheetData>
    <row r="1" spans="1:6" ht="33" customHeight="1">
      <c r="A1" s="2" t="s">
        <v>53</v>
      </c>
      <c r="B1" s="3"/>
      <c r="C1" s="3"/>
      <c r="D1" s="3"/>
      <c r="E1" s="3"/>
      <c r="F1" s="3"/>
    </row>
    <row r="2" spans="1:6" ht="22.95" customHeight="1">
      <c r="A2" s="4" t="s">
        <v>54</v>
      </c>
      <c r="B2" s="1"/>
      <c r="C2" s="1"/>
      <c r="D2" s="1"/>
      <c r="E2" s="1"/>
      <c r="F2" s="1"/>
    </row>
    <row r="3" spans="1:6" ht="22.95" customHeight="1">
      <c r="A3" s="1"/>
      <c r="B3" s="1"/>
      <c r="C3" s="1"/>
      <c r="D3" s="1"/>
      <c r="E3" s="1"/>
      <c r="F3" s="1"/>
    </row>
    <row r="4" spans="1:6" ht="34.950000000000003" customHeight="1">
      <c r="A4" s="6" t="s">
        <v>55</v>
      </c>
      <c r="B4" s="7" t="s">
        <v>8</v>
      </c>
      <c r="C4" s="7" t="s">
        <v>56</v>
      </c>
      <c r="D4" s="7" t="s">
        <v>57</v>
      </c>
      <c r="E4" s="7" t="s">
        <v>58</v>
      </c>
      <c r="F4" s="8" t="s">
        <v>59</v>
      </c>
    </row>
    <row r="5" spans="1:6" ht="22.95" customHeight="1">
      <c r="A5" s="10" t="s">
        <v>60</v>
      </c>
      <c r="B5" s="10" t="s">
        <v>18</v>
      </c>
      <c r="C5" s="10" t="s">
        <v>61</v>
      </c>
      <c r="D5" s="10" t="s">
        <v>62</v>
      </c>
      <c r="E5" s="10" t="s">
        <v>63</v>
      </c>
      <c r="F5" s="10" t="s">
        <v>64</v>
      </c>
    </row>
    <row r="6" spans="1:6" ht="30" customHeight="1">
      <c r="A6" s="4" t="s">
        <v>65</v>
      </c>
      <c r="B6" s="38" t="s">
        <v>66</v>
      </c>
      <c r="C6" s="37"/>
      <c r="D6" s="37"/>
      <c r="E6" s="37"/>
      <c r="F6" s="37"/>
    </row>
    <row r="7" spans="1:6" ht="30" customHeight="1">
      <c r="A7" s="4" t="s">
        <v>67</v>
      </c>
      <c r="B7" s="38" t="s">
        <v>68</v>
      </c>
      <c r="C7" s="37"/>
      <c r="D7" s="37"/>
      <c r="E7" s="37"/>
      <c r="F7" s="37"/>
    </row>
    <row r="8" spans="1:6" ht="22.95" customHeight="1">
      <c r="A8" s="1"/>
      <c r="B8" s="1"/>
      <c r="C8" s="1"/>
      <c r="D8" s="1"/>
      <c r="E8" s="1"/>
      <c r="F8" s="1"/>
    </row>
    <row r="9" spans="1:6" ht="22.95" customHeight="1">
      <c r="A9" s="10" t="s">
        <v>69</v>
      </c>
      <c r="B9" s="10" t="s">
        <v>20</v>
      </c>
      <c r="C9" s="10" t="s">
        <v>70</v>
      </c>
      <c r="D9" s="10" t="s">
        <v>62</v>
      </c>
      <c r="E9" s="10" t="s">
        <v>63</v>
      </c>
      <c r="F9" s="10" t="s">
        <v>64</v>
      </c>
    </row>
    <row r="10" spans="1:6" ht="30" customHeight="1">
      <c r="A10" s="4" t="s">
        <v>65</v>
      </c>
      <c r="B10" s="38" t="s">
        <v>71</v>
      </c>
      <c r="C10" s="37"/>
      <c r="D10" s="37"/>
      <c r="E10" s="37"/>
      <c r="F10" s="37"/>
    </row>
    <row r="11" spans="1:6" ht="30" customHeight="1">
      <c r="A11" s="4" t="s">
        <v>67</v>
      </c>
      <c r="B11" s="38" t="s">
        <v>72</v>
      </c>
      <c r="C11" s="37"/>
      <c r="D11" s="37"/>
      <c r="E11" s="37"/>
      <c r="F11" s="37"/>
    </row>
    <row r="12" spans="1:6" ht="22.95" customHeight="1">
      <c r="A12" s="1"/>
      <c r="B12" s="1"/>
      <c r="C12" s="1"/>
      <c r="D12" s="1"/>
      <c r="E12" s="1"/>
      <c r="F12" s="1"/>
    </row>
    <row r="13" spans="1:6" ht="22.95" customHeight="1">
      <c r="A13" s="10" t="s">
        <v>73</v>
      </c>
      <c r="B13" s="10" t="s">
        <v>22</v>
      </c>
      <c r="C13" s="10" t="s">
        <v>74</v>
      </c>
      <c r="D13" s="10" t="s">
        <v>75</v>
      </c>
      <c r="E13" s="10" t="s">
        <v>63</v>
      </c>
      <c r="F13" s="10" t="s">
        <v>64</v>
      </c>
    </row>
    <row r="14" spans="1:6" ht="30" customHeight="1">
      <c r="A14" s="4" t="s">
        <v>65</v>
      </c>
      <c r="B14" s="38" t="s">
        <v>76</v>
      </c>
      <c r="C14" s="37"/>
      <c r="D14" s="37"/>
      <c r="E14" s="37"/>
      <c r="F14" s="37"/>
    </row>
    <row r="15" spans="1:6" ht="30" customHeight="1">
      <c r="A15" s="4" t="s">
        <v>67</v>
      </c>
      <c r="B15" s="38" t="s">
        <v>77</v>
      </c>
      <c r="C15" s="37"/>
      <c r="D15" s="37"/>
      <c r="E15" s="37"/>
      <c r="F15" s="37"/>
    </row>
    <row r="16" spans="1:6" ht="22.95" customHeight="1">
      <c r="A16" s="1"/>
      <c r="B16" s="1"/>
      <c r="C16" s="1"/>
      <c r="D16" s="1"/>
      <c r="E16" s="1"/>
      <c r="F16" s="1"/>
    </row>
    <row r="17" spans="1:6" ht="22.95" customHeight="1">
      <c r="A17" s="10" t="s">
        <v>78</v>
      </c>
      <c r="B17" s="10" t="s">
        <v>24</v>
      </c>
      <c r="C17" s="10" t="s">
        <v>79</v>
      </c>
      <c r="D17" s="10" t="s">
        <v>80</v>
      </c>
      <c r="E17" s="10" t="s">
        <v>81</v>
      </c>
      <c r="F17" s="10" t="s">
        <v>64</v>
      </c>
    </row>
    <row r="18" spans="1:6" ht="30" customHeight="1">
      <c r="A18" s="4" t="s">
        <v>65</v>
      </c>
      <c r="B18" s="38" t="s">
        <v>82</v>
      </c>
      <c r="C18" s="37"/>
      <c r="D18" s="37"/>
      <c r="E18" s="37"/>
      <c r="F18" s="37"/>
    </row>
    <row r="19" spans="1:6" ht="30" customHeight="1">
      <c r="A19" s="4" t="s">
        <v>67</v>
      </c>
      <c r="B19" s="38" t="s">
        <v>83</v>
      </c>
      <c r="C19" s="37"/>
      <c r="D19" s="37"/>
      <c r="E19" s="37"/>
      <c r="F19" s="37"/>
    </row>
    <row r="20" spans="1:6" ht="22.95" customHeight="1">
      <c r="A20" s="1"/>
      <c r="B20" s="1"/>
      <c r="C20" s="1"/>
      <c r="D20" s="1"/>
      <c r="E20" s="1"/>
      <c r="F20" s="1"/>
    </row>
    <row r="21" spans="1:6" ht="22.95" customHeight="1">
      <c r="A21" s="1"/>
      <c r="B21" s="1"/>
      <c r="C21" s="1"/>
      <c r="D21" s="1"/>
      <c r="E21" s="1"/>
      <c r="F21" s="1"/>
    </row>
    <row r="22" spans="1:6" ht="22.95" customHeight="1">
      <c r="A22" s="13" t="s">
        <v>84</v>
      </c>
      <c r="B22" s="1"/>
      <c r="C22" s="1"/>
      <c r="D22" s="1"/>
      <c r="E22" s="1"/>
      <c r="F22" s="1"/>
    </row>
    <row r="23" spans="1:6" ht="22.95" customHeight="1">
      <c r="A23" s="4" t="s">
        <v>85</v>
      </c>
      <c r="B23" s="1"/>
      <c r="C23" s="39" t="s">
        <v>86</v>
      </c>
      <c r="D23" s="40"/>
      <c r="E23" s="40"/>
      <c r="F23" s="40"/>
    </row>
    <row r="24" spans="1:6" ht="22.95" customHeight="1">
      <c r="A24" s="4" t="s">
        <v>87</v>
      </c>
      <c r="B24" s="1"/>
      <c r="C24" s="39" t="s">
        <v>88</v>
      </c>
      <c r="D24" s="40"/>
      <c r="E24" s="40"/>
      <c r="F24" s="40"/>
    </row>
    <row r="25" spans="1:6" ht="30" customHeight="1">
      <c r="A25" s="4" t="s">
        <v>89</v>
      </c>
      <c r="B25" s="1"/>
      <c r="C25" s="38" t="s">
        <v>90</v>
      </c>
      <c r="D25" s="37"/>
      <c r="E25" s="37"/>
      <c r="F25" s="37"/>
    </row>
    <row r="26" spans="1:6" ht="22.95" customHeight="1">
      <c r="A26" s="1"/>
      <c r="B26" s="1"/>
      <c r="C26" s="1"/>
      <c r="D26" s="1"/>
      <c r="E26" s="1"/>
      <c r="F26" s="1"/>
    </row>
    <row r="27" spans="1:6" ht="22.95" customHeight="1">
      <c r="A27" s="1"/>
      <c r="B27" s="1"/>
      <c r="C27" s="1"/>
      <c r="D27" s="1"/>
      <c r="E27" s="1"/>
      <c r="F27" s="1"/>
    </row>
    <row r="28" spans="1:6" ht="22.95" customHeight="1">
      <c r="A28" s="35" t="s">
        <v>91</v>
      </c>
      <c r="B28" s="1"/>
      <c r="C28" s="1"/>
      <c r="D28" s="1"/>
      <c r="E28" s="1"/>
      <c r="F28" s="1"/>
    </row>
    <row r="29" spans="1:6" ht="22.95" customHeight="1">
      <c r="A29" s="1"/>
      <c r="B29" s="1"/>
      <c r="C29" s="1"/>
      <c r="D29" s="1"/>
      <c r="E29" s="1"/>
      <c r="F29" s="1"/>
    </row>
    <row r="30" spans="1:6" ht="31.05" customHeight="1">
      <c r="A30" s="37" t="s">
        <v>92</v>
      </c>
      <c r="B30" s="37"/>
      <c r="C30" s="37"/>
      <c r="D30" s="37"/>
      <c r="E30" s="37"/>
      <c r="F30" s="37"/>
    </row>
    <row r="31" spans="1:6" ht="31.05" customHeight="1">
      <c r="A31" s="37" t="s">
        <v>93</v>
      </c>
      <c r="B31" s="37"/>
      <c r="C31" s="37"/>
      <c r="D31" s="37"/>
      <c r="E31" s="37"/>
      <c r="F31" s="37"/>
    </row>
    <row r="32" spans="1:6" ht="31.05" customHeight="1">
      <c r="A32" s="37" t="s">
        <v>94</v>
      </c>
      <c r="B32" s="37"/>
      <c r="C32" s="37"/>
      <c r="D32" s="37"/>
      <c r="E32" s="37"/>
      <c r="F32" s="37"/>
    </row>
    <row r="33" spans="1:6" ht="31.05" customHeight="1">
      <c r="A33" s="37" t="s">
        <v>95</v>
      </c>
      <c r="B33" s="37"/>
      <c r="C33" s="37"/>
      <c r="D33" s="37"/>
      <c r="E33" s="37"/>
      <c r="F33" s="37"/>
    </row>
    <row r="34" spans="1:6" ht="31.05" customHeight="1">
      <c r="A34" s="37" t="s">
        <v>96</v>
      </c>
      <c r="B34" s="37"/>
      <c r="C34" s="37"/>
      <c r="D34" s="37"/>
      <c r="E34" s="37"/>
      <c r="F34" s="37"/>
    </row>
    <row r="35" spans="1:6" ht="31.05" customHeight="1">
      <c r="A35" s="37" t="s">
        <v>97</v>
      </c>
      <c r="B35" s="37"/>
      <c r="C35" s="37"/>
      <c r="D35" s="37"/>
      <c r="E35" s="37"/>
      <c r="F35" s="37"/>
    </row>
    <row r="36" spans="1:6" ht="31.05" customHeight="1">
      <c r="A36" s="37" t="s">
        <v>98</v>
      </c>
      <c r="B36" s="37"/>
      <c r="C36" s="37"/>
      <c r="D36" s="37"/>
      <c r="E36" s="37"/>
      <c r="F36" s="37"/>
    </row>
    <row r="37" spans="1:6" ht="31.05" customHeight="1">
      <c r="A37" s="37" t="s">
        <v>99</v>
      </c>
      <c r="B37" s="37"/>
      <c r="C37" s="37"/>
      <c r="D37" s="37"/>
      <c r="E37" s="37"/>
      <c r="F37" s="37"/>
    </row>
    <row r="38" spans="1:6" ht="22.95" customHeight="1">
      <c r="A38" s="1"/>
      <c r="B38" s="1"/>
      <c r="C38" s="1"/>
      <c r="D38" s="1"/>
      <c r="E38" s="1"/>
      <c r="F38" s="1"/>
    </row>
    <row r="39" spans="1:6" ht="22.95" customHeight="1">
      <c r="A39" s="1"/>
      <c r="B39" s="1"/>
      <c r="C39" s="1"/>
      <c r="D39" s="1"/>
      <c r="E39" s="1"/>
      <c r="F39" s="1"/>
    </row>
    <row r="40" spans="1:6" ht="30" customHeight="1">
      <c r="A40" s="36" t="s">
        <v>100</v>
      </c>
      <c r="B40" s="37"/>
      <c r="C40" s="37"/>
      <c r="D40" s="37"/>
      <c r="E40" s="37"/>
      <c r="F40" s="37"/>
    </row>
    <row r="41" spans="1:6" ht="30" customHeight="1">
      <c r="A41" s="36" t="s">
        <v>101</v>
      </c>
      <c r="B41" s="37"/>
      <c r="C41" s="37"/>
      <c r="D41" s="37"/>
      <c r="E41" s="37"/>
      <c r="F41" s="37"/>
    </row>
    <row r="42" spans="1:6" ht="30" customHeight="1">
      <c r="A42" s="36" t="s">
        <v>102</v>
      </c>
      <c r="B42" s="37"/>
      <c r="C42" s="37"/>
      <c r="D42" s="37"/>
      <c r="E42" s="37"/>
      <c r="F42" s="37"/>
    </row>
    <row r="43" spans="1:6" ht="30" customHeight="1">
      <c r="A43" s="36" t="s">
        <v>103</v>
      </c>
      <c r="B43" s="37"/>
      <c r="C43" s="37"/>
      <c r="D43" s="37"/>
      <c r="E43" s="37"/>
      <c r="F43" s="37"/>
    </row>
    <row r="44" spans="1:6" ht="22.95" customHeight="1">
      <c r="A44" s="1"/>
      <c r="B44" s="1"/>
      <c r="C44" s="1"/>
      <c r="D44" s="1"/>
      <c r="E44" s="1"/>
      <c r="F44" s="1"/>
    </row>
    <row r="45" spans="1:6" ht="22.95" customHeight="1">
      <c r="A45" s="1"/>
      <c r="B45" s="1"/>
      <c r="C45" s="1"/>
      <c r="D45" s="1"/>
      <c r="E45" s="1"/>
      <c r="F45" s="1"/>
    </row>
    <row r="46" spans="1:6" ht="22.95" customHeight="1">
      <c r="A46" s="1"/>
      <c r="B46" s="1"/>
      <c r="C46" s="1"/>
      <c r="D46" s="1"/>
      <c r="E46" s="1"/>
      <c r="F46" s="1"/>
    </row>
    <row r="47" spans="1:6" ht="22.95" customHeight="1">
      <c r="A47" s="1"/>
      <c r="B47" s="1"/>
      <c r="C47" s="1"/>
      <c r="D47" s="1"/>
      <c r="E47" s="1"/>
      <c r="F47" s="1"/>
    </row>
  </sheetData>
  <mergeCells count="23">
    <mergeCell ref="B6:F6"/>
    <mergeCell ref="B7:F7"/>
    <mergeCell ref="B10:F10"/>
    <mergeCell ref="B11:F11"/>
    <mergeCell ref="B14:F14"/>
    <mergeCell ref="B15:F15"/>
    <mergeCell ref="B18:F18"/>
    <mergeCell ref="B19:F19"/>
    <mergeCell ref="C23:F23"/>
    <mergeCell ref="C24:F24"/>
    <mergeCell ref="C25:F25"/>
    <mergeCell ref="A30:F30"/>
    <mergeCell ref="A31:F31"/>
    <mergeCell ref="A32:F32"/>
    <mergeCell ref="A33:F33"/>
    <mergeCell ref="A41:F41"/>
    <mergeCell ref="A42:F42"/>
    <mergeCell ref="A43:F43"/>
    <mergeCell ref="A34:F34"/>
    <mergeCell ref="A35:F35"/>
    <mergeCell ref="A36:F36"/>
    <mergeCell ref="A37:F37"/>
    <mergeCell ref="A40:F40"/>
  </mergeCells>
  <hyperlinks>
    <hyperlink ref="B6" r:id="rId1" xr:uid="{00000000-0004-0000-0200-000000000000}"/>
    <hyperlink ref="B7" r:id="rId2" xr:uid="{00000000-0004-0000-0200-000001000000}"/>
    <hyperlink ref="B10" r:id="rId3" xr:uid="{00000000-0004-0000-0200-000002000000}"/>
    <hyperlink ref="B11" r:id="rId4" xr:uid="{00000000-0004-0000-0200-000003000000}"/>
    <hyperlink ref="B14" r:id="rId5" xr:uid="{00000000-0004-0000-0200-000004000000}"/>
    <hyperlink ref="B15" r:id="rId6" xr:uid="{00000000-0004-0000-0200-000005000000}"/>
    <hyperlink ref="B18" r:id="rId7" xr:uid="{00000000-0004-0000-0200-000006000000}"/>
    <hyperlink ref="B19" r:id="rId8" xr:uid="{00000000-0004-0000-0200-000007000000}"/>
    <hyperlink ref="C23" r:id="rId9" xr:uid="{00000000-0004-0000-0200-000008000000}"/>
    <hyperlink ref="C24" r:id="rId10" xr:uid="{00000000-0004-0000-0200-000009000000}"/>
    <hyperlink ref="C25" r:id="rId11" xr:uid="{00000000-0004-0000-02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7"/>
  <sheetViews>
    <sheetView showGridLines="0" workbookViewId="0">
      <selection activeCell="C13" sqref="C13"/>
    </sheetView>
  </sheetViews>
  <sheetFormatPr defaultRowHeight="13.8"/>
  <cols>
    <col min="1" max="2" width="15" customWidth="1"/>
    <col min="3" max="3" width="16" customWidth="1"/>
    <col min="4" max="4" width="3" customWidth="1"/>
    <col min="5" max="6" width="15" customWidth="1"/>
    <col min="7" max="7" width="16" customWidth="1"/>
    <col min="8" max="8" width="3" customWidth="1"/>
    <col min="9" max="10" width="15" customWidth="1"/>
    <col min="11" max="11" width="16" customWidth="1"/>
    <col min="12" max="12" width="3" customWidth="1"/>
    <col min="13" max="14" width="15" customWidth="1"/>
    <col min="15" max="15" width="16" customWidth="1"/>
    <col min="17" max="21" width="20" hidden="1" customWidth="1"/>
  </cols>
  <sheetData>
    <row r="1" spans="1:21" ht="33" customHeight="1">
      <c r="A1" s="2" t="s">
        <v>104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1" ht="22.95" customHeight="1">
      <c r="A2" s="4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1" ht="22.95" customHeight="1">
      <c r="A3" s="4" t="s">
        <v>106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1" ht="22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1" ht="22.95" customHeight="1">
      <c r="A5" s="31" t="s">
        <v>107</v>
      </c>
      <c r="B5" s="1"/>
      <c r="C5" s="1"/>
      <c r="D5" s="1"/>
      <c r="E5" s="32" t="s">
        <v>108</v>
      </c>
      <c r="F5" s="1"/>
      <c r="G5" s="1"/>
      <c r="H5" s="1"/>
      <c r="I5" s="33" t="s">
        <v>109</v>
      </c>
      <c r="J5" s="1"/>
      <c r="K5" s="1"/>
      <c r="L5" s="1"/>
      <c r="M5" s="34" t="s">
        <v>110</v>
      </c>
      <c r="N5" s="1"/>
      <c r="O5" s="1"/>
    </row>
    <row r="6" spans="1:21" ht="34.950000000000003" customHeight="1">
      <c r="A6" s="6" t="s">
        <v>111</v>
      </c>
      <c r="B6" s="7" t="s">
        <v>112</v>
      </c>
      <c r="C6" s="8" t="s">
        <v>113</v>
      </c>
      <c r="D6" s="1"/>
      <c r="E6" s="6" t="s">
        <v>111</v>
      </c>
      <c r="F6" s="7" t="s">
        <v>112</v>
      </c>
      <c r="G6" s="8" t="s">
        <v>113</v>
      </c>
      <c r="H6" s="1"/>
      <c r="I6" s="6" t="s">
        <v>111</v>
      </c>
      <c r="J6" s="7" t="s">
        <v>112</v>
      </c>
      <c r="K6" s="8" t="s">
        <v>113</v>
      </c>
      <c r="L6" s="1"/>
      <c r="M6" s="6" t="s">
        <v>111</v>
      </c>
      <c r="N6" s="7" t="s">
        <v>112</v>
      </c>
      <c r="O6" s="8" t="s">
        <v>113</v>
      </c>
      <c r="Q6" s="6" t="s">
        <v>114</v>
      </c>
      <c r="R6" s="7" t="s">
        <v>115</v>
      </c>
      <c r="S6" s="7" t="s">
        <v>116</v>
      </c>
      <c r="T6" s="7" t="s">
        <v>117</v>
      </c>
      <c r="U6" s="8" t="s">
        <v>118</v>
      </c>
    </row>
    <row r="7" spans="1:21" ht="22.95" customHeight="1">
      <c r="A7" s="15"/>
      <c r="B7" s="17" t="str">
        <f>IF(A7="","",INDEX(Histórico!$B$8:$B$1007,MATCH(A7,Histórico!$A$8:$A$1007,0)))</f>
        <v/>
      </c>
      <c r="C7" s="1" t="str">
        <f t="shared" ref="C7:C36" si="0">IF(A7="","",TEXT(A7,"dd/mm"))</f>
        <v/>
      </c>
      <c r="D7" s="1"/>
      <c r="E7" s="15" t="str">
        <f>IF(OR(E8="",COUNTIFS(Histórico!$A$8:$A$1007,"&lt;"&amp;E8,Histórico!$A$8:$A$1007,"&gt;0",Histórico!$C$8:$C$1007,"&gt;0")=0),"",_xlfn.MAXIFS(Histórico!$A$8:$A$1007,Histórico!$A$8:$A$1007,"&lt;"&amp;E8,Histórico!$C$8:$C$1007,"&gt;0"))</f>
        <v/>
      </c>
      <c r="F7" s="17" t="str">
        <f>IF(E7="","",INDEX(Histórico!$C$8:$C$1007,MATCH(E7,Histórico!$A$8:$A$1007,0)))</f>
        <v/>
      </c>
      <c r="G7" s="1" t="str">
        <f t="shared" ref="G7:G36" si="1">IF(E7="","",TEXT(E7,"dd/mm"))</f>
        <v/>
      </c>
      <c r="H7" s="1"/>
      <c r="I7" s="15" t="str">
        <f>IF(OR(I8="",COUNTIFS(Histórico!$A$8:$A$1007,"&lt;"&amp;I8,Histórico!$A$8:$A$1007,"&gt;0",Histórico!$D$8:$D$1007,"&gt;0")=0),"",_xlfn.MAXIFS(Histórico!$A$8:$A$1007,Histórico!$A$8:$A$1007,"&lt;"&amp;I8,Histórico!$D$8:$D$1007,"&gt;0"))</f>
        <v/>
      </c>
      <c r="J7" s="17" t="str">
        <f>IF(I7="","",INDEX(Histórico!$D$8:$D$1007,MATCH(I7,Histórico!$A$8:$A$1007,0)))</f>
        <v/>
      </c>
      <c r="K7" s="1" t="str">
        <f t="shared" ref="K7:K36" si="2">IF(I7="","",TEXT(I7,"dd/mm"))</f>
        <v/>
      </c>
      <c r="L7" s="1"/>
      <c r="M7" s="15">
        <f>IF(OR(M8="",COUNTIFS(Histórico!$A$8:$A$1007,"&lt;"&amp;M8,Histórico!$A$8:$A$1007,"&gt;0",Histórico!$E$8:$E$1007,"&gt;0")=0),"",_xlfn.MAXIFS(Histórico!$A$8:$A$1007,Histórico!$A$8:$A$1007,"&lt;"&amp;M8,Histórico!$E$8:$E$1007,"&gt;0"))</f>
        <v>46282</v>
      </c>
      <c r="N7" s="18">
        <f>IF(M7="","",INDEX(Histórico!$E$8:$E$1007,MATCH(M7,Histórico!$A$8:$A$1007,0)))</f>
        <v>5.1521</v>
      </c>
      <c r="O7" s="1" t="str">
        <f t="shared" ref="O7:O36" si="3">IF(M7="","",TEXT(M7,"dd/mm"))</f>
        <v>17/09</v>
      </c>
      <c r="Q7" s="1"/>
      <c r="R7" s="1"/>
      <c r="S7" s="1"/>
      <c r="T7" s="1"/>
      <c r="U7" s="1"/>
    </row>
    <row r="8" spans="1:21" ht="22.95" customHeight="1">
      <c r="A8" s="15">
        <f>IF(OR(A9="",COUNTIFS(Histórico!$A$8:$A$1007,"&lt;"&amp;A9,Histórico!$A$8:$A$1007,"&gt;0",Histórico!$B$8:$B$1007,"&gt;0")=0),"",_xlfn.MAXIFS(Histórico!$A$8:$A$1007,Histórico!$A$8:$A$1007,"&lt;"&amp;A9,Histórico!$B$8:$B$1007,"&gt;0"))</f>
        <v>46282</v>
      </c>
      <c r="B8" s="17">
        <f>IF(A8="","",INDEX(Histórico!$B$8:$B$1007,MATCH(A8,Histórico!$A$8:$A$1007,0)))</f>
        <v>162.02</v>
      </c>
      <c r="C8" s="1" t="str">
        <f t="shared" si="0"/>
        <v>17/09</v>
      </c>
      <c r="D8" s="1"/>
      <c r="E8" s="15">
        <f>IF(OR(E9="",COUNTIFS(Histórico!$A$8:$A$1007,"&lt;"&amp;E9,Histórico!$A$8:$A$1007,"&gt;0",Histórico!$C$8:$C$1007,"&gt;0")=0),"",_xlfn.MAXIFS(Histórico!$A$8:$A$1007,Histórico!$A$8:$A$1007,"&lt;"&amp;E9,Histórico!$C$8:$C$1007,"&gt;0"))</f>
        <v>46282</v>
      </c>
      <c r="F8" s="17">
        <f>IF(E8="","",INDEX(Histórico!$C$8:$C$1007,MATCH(E8,Histórico!$A$8:$A$1007,0)))</f>
        <v>69.25</v>
      </c>
      <c r="G8" s="1" t="str">
        <f t="shared" si="1"/>
        <v>17/09</v>
      </c>
      <c r="H8" s="1"/>
      <c r="I8" s="15">
        <f>IF(OR(I9="",COUNTIFS(Histórico!$A$8:$A$1007,"&lt;"&amp;I9,Histórico!$A$8:$A$1007,"&gt;0",Histórico!$D$8:$D$1007,"&gt;0")=0),"",_xlfn.MAXIFS(Histórico!$A$8:$A$1007,Histórico!$A$8:$A$1007,"&lt;"&amp;I9,Histórico!$D$8:$D$1007,"&gt;0"))</f>
        <v>46282</v>
      </c>
      <c r="J8" s="17">
        <f>IF(I8="","",INDEX(Histórico!$D$8:$D$1007,MATCH(I8,Histórico!$A$8:$A$1007,0)))</f>
        <v>352.55</v>
      </c>
      <c r="K8" s="1" t="str">
        <f t="shared" si="2"/>
        <v>17/09</v>
      </c>
      <c r="L8" s="1"/>
      <c r="M8" s="15">
        <f>IF(OR(M9="",COUNTIFS(Histórico!$A$8:$A$1007,"&lt;"&amp;M9,Histórico!$A$8:$A$1007,"&gt;0",Histórico!$E$8:$E$1007,"&gt;0")=0),"",_xlfn.MAXIFS(Histórico!$A$8:$A$1007,Histórico!$A$8:$A$1007,"&lt;"&amp;M9,Histórico!$E$8:$E$1007,"&gt;0"))</f>
        <v>46283</v>
      </c>
      <c r="N8" s="18">
        <f>IF(M8="","",INDEX(Histórico!$E$8:$E$1007,MATCH(M8,Histórico!$A$8:$A$1007,0)))</f>
        <v>5.1575</v>
      </c>
      <c r="O8" s="1" t="str">
        <f t="shared" si="3"/>
        <v>18/09</v>
      </c>
      <c r="Q8" s="17">
        <f>IF(AND(ISNUMBER(Histórico!$A8),ISNUMBER(Histórico!B8),Histórico!B8&gt;0),Histórico!B8,"")</f>
        <v>162.02</v>
      </c>
      <c r="R8" s="17">
        <f>IF(AND(ISNUMBER(Histórico!$A8),ISNUMBER(Histórico!C8),Histórico!C8&gt;0),Histórico!C8,"")</f>
        <v>69.25</v>
      </c>
      <c r="S8" s="17">
        <f>IF(AND(ISNUMBER(Histórico!$A8),ISNUMBER(Histórico!D8),Histórico!D8&gt;0),Histórico!D8,"")</f>
        <v>352.55</v>
      </c>
      <c r="T8" s="18">
        <f>IF(AND(ISNUMBER(Histórico!$A8),ISNUMBER(Histórico!E8),Histórico!E8&gt;0),Histórico!E8,"")</f>
        <v>5.1521</v>
      </c>
      <c r="U8" s="15">
        <f>IF(ISNUMBER(Histórico!A8),Histórico!A8,0)</f>
        <v>46282</v>
      </c>
    </row>
    <row r="9" spans="1:21" ht="22.95" customHeight="1">
      <c r="A9" s="15">
        <f>IF(OR(A10="",COUNTIFS(Histórico!$A$8:$A$1007,"&lt;"&amp;A10,Histórico!$A$8:$A$1007,"&gt;0",Histórico!$B$8:$B$1007,"&gt;0")=0),"",_xlfn.MAXIFS(Histórico!$A$8:$A$1007,Histórico!$A$8:$A$1007,"&lt;"&amp;A10,Histórico!$B$8:$B$1007,"&gt;0"))</f>
        <v>46283</v>
      </c>
      <c r="B9" s="17">
        <f>IF(A9="","",INDEX(Histórico!$B$8:$B$1007,MATCH(A9,Histórico!$A$8:$A$1007,0)))</f>
        <v>161.89</v>
      </c>
      <c r="C9" s="1" t="str">
        <f t="shared" si="0"/>
        <v>18/09</v>
      </c>
      <c r="D9" s="1"/>
      <c r="E9" s="15">
        <f>IF(OR(E10="",COUNTIFS(Histórico!$A$8:$A$1007,"&lt;"&amp;E10,Histórico!$A$8:$A$1007,"&gt;0",Histórico!$C$8:$C$1007,"&gt;0")=0),"",_xlfn.MAXIFS(Histórico!$A$8:$A$1007,Histórico!$A$8:$A$1007,"&lt;"&amp;E10,Histórico!$C$8:$C$1007,"&gt;0"))</f>
        <v>46283</v>
      </c>
      <c r="F9" s="17">
        <f>IF(E9="","",INDEX(Histórico!$C$8:$C$1007,MATCH(E9,Histórico!$A$8:$A$1007,0)))</f>
        <v>69.29</v>
      </c>
      <c r="G9" s="1" t="str">
        <f t="shared" si="1"/>
        <v>18/09</v>
      </c>
      <c r="H9" s="1"/>
      <c r="I9" s="15">
        <f>IF(OR(I10="",COUNTIFS(Histórico!$A$8:$A$1007,"&lt;"&amp;I10,Histórico!$A$8:$A$1007,"&gt;0",Histórico!$D$8:$D$1007,"&gt;0")=0),"",_xlfn.MAXIFS(Histórico!$A$8:$A$1007,Histórico!$A$8:$A$1007,"&lt;"&amp;I10,Histórico!$D$8:$D$1007,"&gt;0"))</f>
        <v>46283</v>
      </c>
      <c r="J9" s="17">
        <f>IF(I9="","",INDEX(Histórico!$D$8:$D$1007,MATCH(I9,Histórico!$A$8:$A$1007,0)))</f>
        <v>352.9</v>
      </c>
      <c r="K9" s="1" t="str">
        <f t="shared" si="2"/>
        <v>18/09</v>
      </c>
      <c r="L9" s="1"/>
      <c r="M9" s="15">
        <f>IF(OR(M10="",COUNTIFS(Histórico!$A$8:$A$1007,"&lt;"&amp;M10,Histórico!$A$8:$A$1007,"&gt;0",Histórico!$E$8:$E$1007,"&gt;0")=0),"",_xlfn.MAXIFS(Histórico!$A$8:$A$1007,Histórico!$A$8:$A$1007,"&lt;"&amp;M10,Histórico!$E$8:$E$1007,"&gt;0"))</f>
        <v>46286</v>
      </c>
      <c r="N9" s="18">
        <f>IF(M9="","",INDEX(Histórico!$E$8:$E$1007,MATCH(M9,Histórico!$A$8:$A$1007,0)))</f>
        <v>5.1117</v>
      </c>
      <c r="O9" s="1" t="str">
        <f t="shared" si="3"/>
        <v>21/09</v>
      </c>
      <c r="Q9" s="17">
        <f>IF(AND(ISNUMBER(Histórico!$A9),ISNUMBER(Histórico!B9),Histórico!B9&gt;0),Histórico!B9,Q8)</f>
        <v>161.89</v>
      </c>
      <c r="R9" s="17">
        <f>IF(AND(ISNUMBER(Histórico!$A9),ISNUMBER(Histórico!C9),Histórico!C9&gt;0),Histórico!C9,R8)</f>
        <v>69.29</v>
      </c>
      <c r="S9" s="17">
        <f>IF(AND(ISNUMBER(Histórico!$A9),ISNUMBER(Histórico!D9),Histórico!D9&gt;0),Histórico!D9,S8)</f>
        <v>352.9</v>
      </c>
      <c r="T9" s="18">
        <f>IF(AND(ISNUMBER(Histórico!$A9),ISNUMBER(Histórico!E9),Histórico!E9&gt;0),Histórico!E9,T8)</f>
        <v>5.1575</v>
      </c>
      <c r="U9" s="15">
        <f>IF(ISNUMBER(Histórico!A9),Histórico!A9,U8)</f>
        <v>46283</v>
      </c>
    </row>
    <row r="10" spans="1:21" ht="22.95" customHeight="1">
      <c r="A10" s="15">
        <f>IF(OR(A11="",COUNTIFS(Histórico!$A$8:$A$1007,"&lt;"&amp;A11,Histórico!$A$8:$A$1007,"&gt;0",Histórico!$B$8:$B$1007,"&gt;0")=0),"",_xlfn.MAXIFS(Histórico!$A$8:$A$1007,Histórico!$A$8:$A$1007,"&lt;"&amp;A11,Histórico!$B$8:$B$1007,"&gt;0"))</f>
        <v>46286</v>
      </c>
      <c r="B10" s="17">
        <f>IF(A10="","",INDEX(Histórico!$B$8:$B$1007,MATCH(A10,Histórico!$A$8:$A$1007,0)))</f>
        <v>161.52</v>
      </c>
      <c r="C10" s="1" t="str">
        <f t="shared" si="0"/>
        <v>21/09</v>
      </c>
      <c r="D10" s="1"/>
      <c r="E10" s="15">
        <f>IF(OR(E11="",COUNTIFS(Histórico!$A$8:$A$1007,"&lt;"&amp;E11,Histórico!$A$8:$A$1007,"&gt;0",Histórico!$C$8:$C$1007,"&gt;0")=0),"",_xlfn.MAXIFS(Histórico!$A$8:$A$1007,Histórico!$A$8:$A$1007,"&lt;"&amp;E11,Histórico!$C$8:$C$1007,"&gt;0"))</f>
        <v>46286</v>
      </c>
      <c r="F10" s="17">
        <f>IF(E10="","",INDEX(Histórico!$C$8:$C$1007,MATCH(E10,Histórico!$A$8:$A$1007,0)))</f>
        <v>69.62</v>
      </c>
      <c r="G10" s="1" t="str">
        <f t="shared" si="1"/>
        <v>21/09</v>
      </c>
      <c r="H10" s="1"/>
      <c r="I10" s="15">
        <f>IF(OR(I11="",COUNTIFS(Histórico!$A$8:$A$1007,"&lt;"&amp;I11,Histórico!$A$8:$A$1007,"&gt;0",Histórico!$D$8:$D$1007,"&gt;0")=0),"",_xlfn.MAXIFS(Histórico!$A$8:$A$1007,Histórico!$A$8:$A$1007,"&lt;"&amp;I11,Histórico!$D$8:$D$1007,"&gt;0"))</f>
        <v>46286</v>
      </c>
      <c r="J10" s="17">
        <f>IF(I10="","",INDEX(Histórico!$D$8:$D$1007,MATCH(I10,Histórico!$A$8:$A$1007,0)))</f>
        <v>354.65</v>
      </c>
      <c r="K10" s="1" t="str">
        <f t="shared" si="2"/>
        <v>21/09</v>
      </c>
      <c r="L10" s="1"/>
      <c r="M10" s="15">
        <f>IF(OR(M11="",COUNTIFS(Histórico!$A$8:$A$1007,"&lt;"&amp;M11,Histórico!$A$8:$A$1007,"&gt;0",Histórico!$E$8:$E$1007,"&gt;0")=0),"",_xlfn.MAXIFS(Histórico!$A$8:$A$1007,Histórico!$A$8:$A$1007,"&lt;"&amp;M11,Histórico!$E$8:$E$1007,"&gt;0"))</f>
        <v>46287</v>
      </c>
      <c r="N10" s="18">
        <f>IF(M10="","",INDEX(Histórico!$E$8:$E$1007,MATCH(M10,Histórico!$A$8:$A$1007,0)))</f>
        <v>5.1161</v>
      </c>
      <c r="O10" s="1" t="str">
        <f t="shared" si="3"/>
        <v>22/09</v>
      </c>
      <c r="Q10" s="17">
        <f>IF(AND(ISNUMBER(Histórico!$A10),ISNUMBER(Histórico!B10),Histórico!B10&gt;0),Histórico!B10,Q9)</f>
        <v>161.52</v>
      </c>
      <c r="R10" s="17">
        <f>IF(AND(ISNUMBER(Histórico!$A10),ISNUMBER(Histórico!C10),Histórico!C10&gt;0),Histórico!C10,R9)</f>
        <v>69.62</v>
      </c>
      <c r="S10" s="17">
        <f>IF(AND(ISNUMBER(Histórico!$A10),ISNUMBER(Histórico!D10),Histórico!D10&gt;0),Histórico!D10,S9)</f>
        <v>354.65</v>
      </c>
      <c r="T10" s="18">
        <f>IF(AND(ISNUMBER(Histórico!$A10),ISNUMBER(Histórico!E10),Histórico!E10&gt;0),Histórico!E10,T9)</f>
        <v>5.1117</v>
      </c>
      <c r="U10" s="15">
        <f>IF(ISNUMBER(Histórico!A10),Histórico!A10,U9)</f>
        <v>46286</v>
      </c>
    </row>
    <row r="11" spans="1:21" ht="22.95" customHeight="1">
      <c r="A11" s="15">
        <f>IF(OR(A12="",COUNTIFS(Histórico!$A$8:$A$1007,"&lt;"&amp;A12,Histórico!$A$8:$A$1007,"&gt;0",Histórico!$B$8:$B$1007,"&gt;0")=0),"",_xlfn.MAXIFS(Histórico!$A$8:$A$1007,Histórico!$A$8:$A$1007,"&lt;"&amp;A12,Histórico!$B$8:$B$1007,"&gt;0"))</f>
        <v>46287</v>
      </c>
      <c r="B11" s="17">
        <f>IF(A11="","",INDEX(Histórico!$B$8:$B$1007,MATCH(A11,Histórico!$A$8:$A$1007,0)))</f>
        <v>161.93</v>
      </c>
      <c r="C11" s="1" t="str">
        <f t="shared" si="0"/>
        <v>22/09</v>
      </c>
      <c r="D11" s="1"/>
      <c r="E11" s="15">
        <f>IF(OR(E12="",COUNTIFS(Histórico!$A$8:$A$1007,"&lt;"&amp;E12,Histórico!$A$8:$A$1007,"&gt;0",Histórico!$C$8:$C$1007,"&gt;0")=0),"",_xlfn.MAXIFS(Histórico!$A$8:$A$1007,Histórico!$A$8:$A$1007,"&lt;"&amp;E12,Histórico!$C$8:$C$1007,"&gt;0"))</f>
        <v>46287</v>
      </c>
      <c r="F11" s="17">
        <f>IF(E11="","",INDEX(Histórico!$C$8:$C$1007,MATCH(E11,Histórico!$A$8:$A$1007,0)))</f>
        <v>69.74</v>
      </c>
      <c r="G11" s="1" t="str">
        <f t="shared" si="1"/>
        <v>22/09</v>
      </c>
      <c r="H11" s="1"/>
      <c r="I11" s="15">
        <f>IF(OR(I12="",COUNTIFS(Histórico!$A$8:$A$1007,"&lt;"&amp;I12,Histórico!$A$8:$A$1007,"&gt;0",Histórico!$D$8:$D$1007,"&gt;0")=0),"",_xlfn.MAXIFS(Histórico!$A$8:$A$1007,Histórico!$A$8:$A$1007,"&lt;"&amp;I12,Histórico!$D$8:$D$1007,"&gt;0"))</f>
        <v>46287</v>
      </c>
      <c r="J11" s="17">
        <f>IF(I11="","",INDEX(Histórico!$D$8:$D$1007,MATCH(I11,Histórico!$A$8:$A$1007,0)))</f>
        <v>356.1</v>
      </c>
      <c r="K11" s="1" t="str">
        <f t="shared" si="2"/>
        <v>22/09</v>
      </c>
      <c r="L11" s="1"/>
      <c r="M11" s="15">
        <f>IF(OR(M12="",COUNTIFS(Histórico!$A$8:$A$1007,"&lt;"&amp;M12,Histórico!$A$8:$A$1007,"&gt;0",Histórico!$E$8:$E$1007,"&gt;0")=0),"",_xlfn.MAXIFS(Histórico!$A$8:$A$1007,Histórico!$A$8:$A$1007,"&lt;"&amp;M12,Histórico!$E$8:$E$1007,"&gt;0"))</f>
        <v>46288</v>
      </c>
      <c r="N11" s="18">
        <f>IF(M11="","",INDEX(Histórico!$E$8:$E$1007,MATCH(M11,Histórico!$A$8:$A$1007,0)))</f>
        <v>5.1414</v>
      </c>
      <c r="O11" s="1" t="str">
        <f t="shared" si="3"/>
        <v>23/09</v>
      </c>
      <c r="Q11" s="17">
        <f>IF(AND(ISNUMBER(Histórico!$A11),ISNUMBER(Histórico!B11),Histórico!B11&gt;0),Histórico!B11,Q10)</f>
        <v>161.93</v>
      </c>
      <c r="R11" s="17">
        <f>IF(AND(ISNUMBER(Histórico!$A11),ISNUMBER(Histórico!C11),Histórico!C11&gt;0),Histórico!C11,R10)</f>
        <v>69.74</v>
      </c>
      <c r="S11" s="17">
        <f>IF(AND(ISNUMBER(Histórico!$A11),ISNUMBER(Histórico!D11),Histórico!D11&gt;0),Histórico!D11,S10)</f>
        <v>356.1</v>
      </c>
      <c r="T11" s="18">
        <f>IF(AND(ISNUMBER(Histórico!$A11),ISNUMBER(Histórico!E11),Histórico!E11&gt;0),Histórico!E11,T10)</f>
        <v>5.1161</v>
      </c>
      <c r="U11" s="15">
        <f>IF(ISNUMBER(Histórico!A11),Histórico!A11,U10)</f>
        <v>46287</v>
      </c>
    </row>
    <row r="12" spans="1:21" ht="22.95" customHeight="1">
      <c r="A12" s="15">
        <f>IF(OR(A13="",COUNTIFS(Histórico!$A$8:$A$1007,"&lt;"&amp;A13,Histórico!$A$8:$A$1007,"&gt;0",Histórico!$B$8:$B$1007,"&gt;0")=0),"",_xlfn.MAXIFS(Histórico!$A$8:$A$1007,Histórico!$A$8:$A$1007,"&lt;"&amp;A13,Histórico!$B$8:$B$1007,"&gt;0"))</f>
        <v>46288</v>
      </c>
      <c r="B12" s="17">
        <f>IF(A12="","",INDEX(Histórico!$B$8:$B$1007,MATCH(A12,Histórico!$A$8:$A$1007,0)))</f>
        <v>161.65</v>
      </c>
      <c r="C12" s="1" t="str">
        <f t="shared" si="0"/>
        <v>23/09</v>
      </c>
      <c r="D12" s="1"/>
      <c r="E12" s="15">
        <f>IF(OR(E13="",COUNTIFS(Histórico!$A$8:$A$1007,"&lt;"&amp;E13,Histórico!$A$8:$A$1007,"&gt;0",Histórico!$C$8:$C$1007,"&gt;0")=0),"",_xlfn.MAXIFS(Histórico!$A$8:$A$1007,Histórico!$A$8:$A$1007,"&lt;"&amp;E13,Histórico!$C$8:$C$1007,"&gt;0"))</f>
        <v>46288</v>
      </c>
      <c r="F12" s="17">
        <f>IF(E12="","",INDEX(Histórico!$C$8:$C$1007,MATCH(E12,Histórico!$A$8:$A$1007,0)))</f>
        <v>69.82</v>
      </c>
      <c r="G12" s="1" t="str">
        <f t="shared" si="1"/>
        <v>23/09</v>
      </c>
      <c r="H12" s="1"/>
      <c r="I12" s="15">
        <f>IF(OR(I13="",COUNTIFS(Histórico!$A$8:$A$1007,"&lt;"&amp;I13,Histórico!$A$8:$A$1007,"&gt;0",Histórico!$D$8:$D$1007,"&gt;0")=0),"",_xlfn.MAXIFS(Histórico!$A$8:$A$1007,Histórico!$A$8:$A$1007,"&lt;"&amp;I13,Histórico!$D$8:$D$1007,"&gt;0"))</f>
        <v>46288</v>
      </c>
      <c r="J12" s="17">
        <f>IF(I12="","",INDEX(Histórico!$D$8:$D$1007,MATCH(I12,Histórico!$A$8:$A$1007,0)))</f>
        <v>357.4</v>
      </c>
      <c r="K12" s="1" t="str">
        <f t="shared" si="2"/>
        <v>23/09</v>
      </c>
      <c r="L12" s="1"/>
      <c r="M12" s="15">
        <f>IF(OR(M13="",COUNTIFS(Histórico!$A$8:$A$1007,"&lt;"&amp;M13,Histórico!$A$8:$A$1007,"&gt;0",Histórico!$E$8:$E$1007,"&gt;0")=0),"",_xlfn.MAXIFS(Histórico!$A$8:$A$1007,Histórico!$A$8:$A$1007,"&lt;"&amp;M13,Histórico!$E$8:$E$1007,"&gt;0"))</f>
        <v>46289</v>
      </c>
      <c r="N12" s="18">
        <f>IF(M12="","",INDEX(Histórico!$E$8:$E$1007,MATCH(M12,Histórico!$A$8:$A$1007,0)))</f>
        <v>5.1795</v>
      </c>
      <c r="O12" s="1" t="str">
        <f t="shared" si="3"/>
        <v>24/09</v>
      </c>
      <c r="Q12" s="17">
        <f>IF(AND(ISNUMBER(Histórico!$A12),ISNUMBER(Histórico!B12),Histórico!B12&gt;0),Histórico!B12,Q11)</f>
        <v>161.65</v>
      </c>
      <c r="R12" s="17">
        <f>IF(AND(ISNUMBER(Histórico!$A12),ISNUMBER(Histórico!C12),Histórico!C12&gt;0),Histórico!C12,R11)</f>
        <v>69.82</v>
      </c>
      <c r="S12" s="17">
        <f>IF(AND(ISNUMBER(Histórico!$A12),ISNUMBER(Histórico!D12),Histórico!D12&gt;0),Histórico!D12,S11)</f>
        <v>357.4</v>
      </c>
      <c r="T12" s="18">
        <f>IF(AND(ISNUMBER(Histórico!$A12),ISNUMBER(Histórico!E12),Histórico!E12&gt;0),Histórico!E12,T11)</f>
        <v>5.1414</v>
      </c>
      <c r="U12" s="15">
        <f>IF(ISNUMBER(Histórico!A12),Histórico!A12,U11)</f>
        <v>46288</v>
      </c>
    </row>
    <row r="13" spans="1:21" ht="22.95" customHeight="1">
      <c r="A13" s="15">
        <f>IF(OR(A14="",COUNTIFS(Histórico!$A$8:$A$1007,"&lt;"&amp;A14,Histórico!$A$8:$A$1007,"&gt;0",Histórico!$B$8:$B$1007,"&gt;0")=0),"",_xlfn.MAXIFS(Histórico!$A$8:$A$1007,Histórico!$A$8:$A$1007,"&lt;"&amp;A14,Histórico!$B$8:$B$1007,"&gt;0"))</f>
        <v>46289</v>
      </c>
      <c r="B13" s="17">
        <f>IF(A13="","",INDEX(Histórico!$B$8:$B$1007,MATCH(A13,Histórico!$A$8:$A$1007,0)))</f>
        <v>161.84</v>
      </c>
      <c r="C13" s="1" t="str">
        <f t="shared" si="0"/>
        <v>24/09</v>
      </c>
      <c r="D13" s="1"/>
      <c r="E13" s="15">
        <f>IF(OR(E14="",COUNTIFS(Histórico!$A$8:$A$1007,"&lt;"&amp;E14,Histórico!$A$8:$A$1007,"&gt;0",Histórico!$C$8:$C$1007,"&gt;0")=0),"",_xlfn.MAXIFS(Histórico!$A$8:$A$1007,Histórico!$A$8:$A$1007,"&lt;"&amp;E14,Histórico!$C$8:$C$1007,"&gt;0"))</f>
        <v>46289</v>
      </c>
      <c r="F13" s="17">
        <f>IF(E13="","",INDEX(Histórico!$C$8:$C$1007,MATCH(E13,Histórico!$A$8:$A$1007,0)))</f>
        <v>69.81</v>
      </c>
      <c r="G13" s="1" t="str">
        <f t="shared" si="1"/>
        <v>24/09</v>
      </c>
      <c r="H13" s="1"/>
      <c r="I13" s="15">
        <f>IF(OR(I14="",COUNTIFS(Histórico!$A$8:$A$1007,"&lt;"&amp;I14,Histórico!$A$8:$A$1007,"&gt;0",Histórico!$D$8:$D$1007,"&gt;0")=0),"",_xlfn.MAXIFS(Histórico!$A$8:$A$1007,Histórico!$A$8:$A$1007,"&lt;"&amp;I14,Histórico!$D$8:$D$1007,"&gt;0"))</f>
        <v>46289</v>
      </c>
      <c r="J13" s="17">
        <f>IF(I13="","",INDEX(Histórico!$D$8:$D$1007,MATCH(I13,Histórico!$A$8:$A$1007,0)))</f>
        <v>358.2</v>
      </c>
      <c r="K13" s="1" t="str">
        <f t="shared" si="2"/>
        <v>24/09</v>
      </c>
      <c r="L13" s="1"/>
      <c r="M13" s="15">
        <f>IF(OR(M14="",COUNTIFS(Histórico!$A$8:$A$1007,"&lt;"&amp;M14,Histórico!$A$8:$A$1007,"&gt;0",Histórico!$E$8:$E$1007,"&gt;0")=0),"",_xlfn.MAXIFS(Histórico!$A$8:$A$1007,Histórico!$A$8:$A$1007,"&lt;"&amp;M14,Histórico!$E$8:$E$1007,"&gt;0"))</f>
        <v>46290</v>
      </c>
      <c r="N13" s="18">
        <f>IF(M13="","",INDEX(Histórico!$E$8:$E$1007,MATCH(M13,Histórico!$A$8:$A$1007,0)))</f>
        <v>5.1991</v>
      </c>
      <c r="O13" s="1" t="str">
        <f t="shared" si="3"/>
        <v>25/09</v>
      </c>
      <c r="Q13" s="17">
        <f>IF(AND(ISNUMBER(Histórico!$A13),ISNUMBER(Histórico!B13),Histórico!B13&gt;0),Histórico!B13,Q12)</f>
        <v>161.84</v>
      </c>
      <c r="R13" s="17">
        <f>IF(AND(ISNUMBER(Histórico!$A13),ISNUMBER(Histórico!C13),Histórico!C13&gt;0),Histórico!C13,R12)</f>
        <v>69.81</v>
      </c>
      <c r="S13" s="17">
        <f>IF(AND(ISNUMBER(Histórico!$A13),ISNUMBER(Histórico!D13),Histórico!D13&gt;0),Histórico!D13,S12)</f>
        <v>358.2</v>
      </c>
      <c r="T13" s="18">
        <f>IF(AND(ISNUMBER(Histórico!$A13),ISNUMBER(Histórico!E13),Histórico!E13&gt;0),Histórico!E13,T12)</f>
        <v>5.1795</v>
      </c>
      <c r="U13" s="15">
        <f>IF(ISNUMBER(Histórico!A13),Histórico!A13,U12)</f>
        <v>46289</v>
      </c>
    </row>
    <row r="14" spans="1:21" ht="22.95" customHeight="1">
      <c r="A14" s="15">
        <f>IF(OR(A15="",COUNTIFS(Histórico!$A$8:$A$1007,"&lt;"&amp;A15,Histórico!$A$8:$A$1007,"&gt;0",Histórico!$B$8:$B$1007,"&gt;0")=0),"",_xlfn.MAXIFS(Histórico!$A$8:$A$1007,Histórico!$A$8:$A$1007,"&lt;"&amp;A15,Histórico!$B$8:$B$1007,"&gt;0"))</f>
        <v>46290</v>
      </c>
      <c r="B14" s="17">
        <f>IF(A14="","",INDEX(Histórico!$B$8:$B$1007,MATCH(A14,Histórico!$A$8:$A$1007,0)))</f>
        <v>161</v>
      </c>
      <c r="C14" s="1" t="str">
        <f t="shared" si="0"/>
        <v>25/09</v>
      </c>
      <c r="D14" s="1"/>
      <c r="E14" s="15">
        <f>IF(OR(E15="",COUNTIFS(Histórico!$A$8:$A$1007,"&lt;"&amp;E15,Histórico!$A$8:$A$1007,"&gt;0",Histórico!$C$8:$C$1007,"&gt;0")=0),"",_xlfn.MAXIFS(Histórico!$A$8:$A$1007,Histórico!$A$8:$A$1007,"&lt;"&amp;E15,Histórico!$C$8:$C$1007,"&gt;0"))</f>
        <v>46290</v>
      </c>
      <c r="F14" s="17">
        <f>IF(E14="","",INDEX(Histórico!$C$8:$C$1007,MATCH(E14,Histórico!$A$8:$A$1007,0)))</f>
        <v>69.65</v>
      </c>
      <c r="G14" s="1" t="str">
        <f t="shared" si="1"/>
        <v>25/09</v>
      </c>
      <c r="H14" s="1"/>
      <c r="I14" s="15">
        <f>IF(OR(I15="",COUNTIFS(Histórico!$A$8:$A$1007,"&lt;"&amp;I15,Histórico!$A$8:$A$1007,"&gt;0",Histórico!$D$8:$D$1007,"&gt;0")=0),"",_xlfn.MAXIFS(Histórico!$A$8:$A$1007,Histórico!$A$8:$A$1007,"&lt;"&amp;I15,Histórico!$D$8:$D$1007,"&gt;0"))</f>
        <v>46290</v>
      </c>
      <c r="J14" s="17">
        <f>IF(I14="","",INDEX(Histórico!$D$8:$D$1007,MATCH(I14,Histórico!$A$8:$A$1007,0)))</f>
        <v>358.8</v>
      </c>
      <c r="K14" s="1" t="str">
        <f t="shared" si="2"/>
        <v>25/09</v>
      </c>
      <c r="L14" s="1"/>
      <c r="M14" s="15">
        <f>IF(OR(M15="",COUNTIFS(Histórico!$A$8:$A$1007,"&lt;"&amp;M15,Histórico!$A$8:$A$1007,"&gt;0",Histórico!$E$8:$E$1007,"&gt;0")=0),"",_xlfn.MAXIFS(Histórico!$A$8:$A$1007,Histórico!$A$8:$A$1007,"&lt;"&amp;M15,Histórico!$E$8:$E$1007,"&gt;0"))</f>
        <v>46293</v>
      </c>
      <c r="N14" s="18">
        <f>IF(M14="","",INDEX(Histórico!$E$8:$E$1007,MATCH(M14,Histórico!$A$8:$A$1007,0)))</f>
        <v>5.2132</v>
      </c>
      <c r="O14" s="1" t="str">
        <f t="shared" si="3"/>
        <v>28/09</v>
      </c>
      <c r="Q14" s="17">
        <f>IF(AND(ISNUMBER(Histórico!$A14),ISNUMBER(Histórico!B14),Histórico!B14&gt;0),Histórico!B14,Q13)</f>
        <v>161</v>
      </c>
      <c r="R14" s="17">
        <f>IF(AND(ISNUMBER(Histórico!$A14),ISNUMBER(Histórico!C14),Histórico!C14&gt;0),Histórico!C14,R13)</f>
        <v>69.65</v>
      </c>
      <c r="S14" s="17">
        <f>IF(AND(ISNUMBER(Histórico!$A14),ISNUMBER(Histórico!D14),Histórico!D14&gt;0),Histórico!D14,S13)</f>
        <v>358.8</v>
      </c>
      <c r="T14" s="18">
        <f>IF(AND(ISNUMBER(Histórico!$A14),ISNUMBER(Histórico!E14),Histórico!E14&gt;0),Histórico!E14,T13)</f>
        <v>5.1991</v>
      </c>
      <c r="U14" s="15">
        <f>IF(ISNUMBER(Histórico!A14),Histórico!A14,U13)</f>
        <v>46290</v>
      </c>
    </row>
    <row r="15" spans="1:21" ht="22.95" customHeight="1">
      <c r="A15" s="15">
        <f>IF(OR(A16="",COUNTIFS(Histórico!$A$8:$A$1007,"&lt;"&amp;A16,Histórico!$A$8:$A$1007,"&gt;0",Histórico!$B$8:$B$1007,"&gt;0")=0),"",_xlfn.MAXIFS(Histórico!$A$8:$A$1007,Histórico!$A$8:$A$1007,"&lt;"&amp;A16,Histórico!$B$8:$B$1007,"&gt;0"))</f>
        <v>46293</v>
      </c>
      <c r="B15" s="17">
        <f>IF(A15="","",INDEX(Histórico!$B$8:$B$1007,MATCH(A15,Histórico!$A$8:$A$1007,0)))</f>
        <v>160.43</v>
      </c>
      <c r="C15" s="1" t="str">
        <f t="shared" si="0"/>
        <v>28/09</v>
      </c>
      <c r="D15" s="1"/>
      <c r="E15" s="15">
        <f>IF(OR(E16="",COUNTIFS(Histórico!$A$8:$A$1007,"&lt;"&amp;E16,Histórico!$A$8:$A$1007,"&gt;0",Histórico!$C$8:$C$1007,"&gt;0")=0),"",_xlfn.MAXIFS(Histórico!$A$8:$A$1007,Histórico!$A$8:$A$1007,"&lt;"&amp;E16,Histórico!$C$8:$C$1007,"&gt;0"))</f>
        <v>46293</v>
      </c>
      <c r="F15" s="17">
        <f>IF(E15="","",INDEX(Histórico!$C$8:$C$1007,MATCH(E15,Histórico!$A$8:$A$1007,0)))</f>
        <v>69.48</v>
      </c>
      <c r="G15" s="1" t="str">
        <f t="shared" si="1"/>
        <v>28/09</v>
      </c>
      <c r="H15" s="1"/>
      <c r="I15" s="15">
        <f>IF(OR(I16="",COUNTIFS(Histórico!$A$8:$A$1007,"&lt;"&amp;I16,Histórico!$A$8:$A$1007,"&gt;0",Histórico!$D$8:$D$1007,"&gt;0")=0),"",_xlfn.MAXIFS(Histórico!$A$8:$A$1007,Histórico!$A$8:$A$1007,"&lt;"&amp;I16,Histórico!$D$8:$D$1007,"&gt;0"))</f>
        <v>46293</v>
      </c>
      <c r="J15" s="17">
        <f>IF(I15="","",INDEX(Histórico!$D$8:$D$1007,MATCH(I15,Histórico!$A$8:$A$1007,0)))</f>
        <v>359.95</v>
      </c>
      <c r="K15" s="1" t="str">
        <f t="shared" si="2"/>
        <v>28/09</v>
      </c>
      <c r="L15" s="1"/>
      <c r="M15" s="15">
        <f>IF(OR(M16="",COUNTIFS(Histórico!$A$8:$A$1007,"&lt;"&amp;M16,Histórico!$A$8:$A$1007,"&gt;0",Histórico!$E$8:$E$1007,"&gt;0")=0),"",_xlfn.MAXIFS(Histórico!$A$8:$A$1007,Histórico!$A$8:$A$1007,"&lt;"&amp;M16,Histórico!$E$8:$E$1007,"&gt;0"))</f>
        <v>46294</v>
      </c>
      <c r="N15" s="18">
        <f>IF(M15="","",INDEX(Histórico!$E$8:$E$1007,MATCH(M15,Histórico!$A$8:$A$1007,0)))</f>
        <v>5.2204</v>
      </c>
      <c r="O15" s="1" t="str">
        <f t="shared" si="3"/>
        <v>29/09</v>
      </c>
      <c r="Q15" s="17">
        <f>IF(AND(ISNUMBER(Histórico!$A15),ISNUMBER(Histórico!B15),Histórico!B15&gt;0),Histórico!B15,Q14)</f>
        <v>160.43</v>
      </c>
      <c r="R15" s="17">
        <f>IF(AND(ISNUMBER(Histórico!$A15),ISNUMBER(Histórico!C15),Histórico!C15&gt;0),Histórico!C15,R14)</f>
        <v>69.48</v>
      </c>
      <c r="S15" s="17">
        <f>IF(AND(ISNUMBER(Histórico!$A15),ISNUMBER(Histórico!D15),Histórico!D15&gt;0),Histórico!D15,S14)</f>
        <v>359.95</v>
      </c>
      <c r="T15" s="18">
        <f>IF(AND(ISNUMBER(Histórico!$A15),ISNUMBER(Histórico!E15),Histórico!E15&gt;0),Histórico!E15,T14)</f>
        <v>5.2132</v>
      </c>
      <c r="U15" s="15">
        <f>IF(ISNUMBER(Histórico!A15),Histórico!A15,U14)</f>
        <v>46293</v>
      </c>
    </row>
    <row r="16" spans="1:21" ht="22.95" customHeight="1">
      <c r="A16" s="15">
        <f>IF(OR(A17="",COUNTIFS(Histórico!$A$8:$A$1007,"&lt;"&amp;A17,Histórico!$A$8:$A$1007,"&gt;0",Histórico!$B$8:$B$1007,"&gt;0")=0),"",_xlfn.MAXIFS(Histórico!$A$8:$A$1007,Histórico!$A$8:$A$1007,"&lt;"&amp;A17,Histórico!$B$8:$B$1007,"&gt;0"))</f>
        <v>46294</v>
      </c>
      <c r="B16" s="17">
        <f>IF(A16="","",INDEX(Histórico!$B$8:$B$1007,MATCH(A16,Histórico!$A$8:$A$1007,0)))</f>
        <v>161.27</v>
      </c>
      <c r="C16" s="1" t="str">
        <f t="shared" si="0"/>
        <v>29/09</v>
      </c>
      <c r="D16" s="1"/>
      <c r="E16" s="15">
        <f>IF(OR(E17="",COUNTIFS(Histórico!$A$8:$A$1007,"&lt;"&amp;E17,Histórico!$A$8:$A$1007,"&gt;0",Histórico!$C$8:$C$1007,"&gt;0")=0),"",_xlfn.MAXIFS(Histórico!$A$8:$A$1007,Histórico!$A$8:$A$1007,"&lt;"&amp;E17,Histórico!$C$8:$C$1007,"&gt;0"))</f>
        <v>46294</v>
      </c>
      <c r="F16" s="17">
        <f>IF(E16="","",INDEX(Histórico!$C$8:$C$1007,MATCH(E16,Histórico!$A$8:$A$1007,0)))</f>
        <v>69.2</v>
      </c>
      <c r="G16" s="1" t="str">
        <f t="shared" si="1"/>
        <v>29/09</v>
      </c>
      <c r="H16" s="1"/>
      <c r="I16" s="15">
        <f>IF(OR(I17="",COUNTIFS(Histórico!$A$8:$A$1007,"&lt;"&amp;I17,Histórico!$A$8:$A$1007,"&gt;0",Histórico!$D$8:$D$1007,"&gt;0")=0),"",_xlfn.MAXIFS(Histórico!$A$8:$A$1007,Histórico!$A$8:$A$1007,"&lt;"&amp;I17,Histórico!$D$8:$D$1007,"&gt;0"))</f>
        <v>46294</v>
      </c>
      <c r="J16" s="17">
        <f>IF(I16="","",INDEX(Histórico!$D$8:$D$1007,MATCH(I16,Histórico!$A$8:$A$1007,0)))</f>
        <v>363.05</v>
      </c>
      <c r="K16" s="1" t="str">
        <f t="shared" si="2"/>
        <v>29/09</v>
      </c>
      <c r="L16" s="1"/>
      <c r="M16" s="15">
        <f>IF(OR(M17="",COUNTIFS(Histórico!$A$8:$A$1007,"&lt;"&amp;M17,Histórico!$A$8:$A$1007,"&gt;0",Histórico!$E$8:$E$1007,"&gt;0")=0),"",_xlfn.MAXIFS(Histórico!$A$8:$A$1007,Histórico!$A$8:$A$1007,"&lt;"&amp;M17,Histórico!$E$8:$E$1007,"&gt;0"))</f>
        <v>46295</v>
      </c>
      <c r="N16" s="18">
        <f>IF(M16="","",INDEX(Histórico!$E$8:$E$1007,MATCH(M16,Histórico!$A$8:$A$1007,0)))</f>
        <v>5.1809</v>
      </c>
      <c r="O16" s="1" t="str">
        <f t="shared" si="3"/>
        <v>30/09</v>
      </c>
      <c r="Q16" s="17">
        <f>IF(AND(ISNUMBER(Histórico!$A16),ISNUMBER(Histórico!B16),Histórico!B16&gt;0),Histórico!B16,Q15)</f>
        <v>161.27</v>
      </c>
      <c r="R16" s="17">
        <f>IF(AND(ISNUMBER(Histórico!$A16),ISNUMBER(Histórico!C16),Histórico!C16&gt;0),Histórico!C16,R15)</f>
        <v>69.2</v>
      </c>
      <c r="S16" s="17">
        <f>IF(AND(ISNUMBER(Histórico!$A16),ISNUMBER(Histórico!D16),Histórico!D16&gt;0),Histórico!D16,S15)</f>
        <v>363.05</v>
      </c>
      <c r="T16" s="18">
        <f>IF(AND(ISNUMBER(Histórico!$A16),ISNUMBER(Histórico!E16),Histórico!E16&gt;0),Histórico!E16,T15)</f>
        <v>5.2204</v>
      </c>
      <c r="U16" s="15">
        <f>IF(ISNUMBER(Histórico!A16),Histórico!A16,U15)</f>
        <v>46294</v>
      </c>
    </row>
    <row r="17" spans="1:21" ht="22.95" customHeight="1">
      <c r="A17" s="15">
        <f>IF(OR(A18="",COUNTIFS(Histórico!$A$8:$A$1007,"&lt;"&amp;A18,Histórico!$A$8:$A$1007,"&gt;0",Histórico!$B$8:$B$1007,"&gt;0")=0),"",_xlfn.MAXIFS(Histórico!$A$8:$A$1007,Histórico!$A$8:$A$1007,"&lt;"&amp;A18,Histórico!$B$8:$B$1007,"&gt;0"))</f>
        <v>46295</v>
      </c>
      <c r="B17" s="17">
        <f>IF(A17="","",INDEX(Histórico!$B$8:$B$1007,MATCH(A17,Histórico!$A$8:$A$1007,0)))</f>
        <v>161.56</v>
      </c>
      <c r="C17" s="1" t="str">
        <f t="shared" si="0"/>
        <v>30/09</v>
      </c>
      <c r="D17" s="1"/>
      <c r="E17" s="15">
        <f>IF(OR(E18="",COUNTIFS(Histórico!$A$8:$A$1007,"&lt;"&amp;E18,Histórico!$A$8:$A$1007,"&gt;0",Histórico!$C$8:$C$1007,"&gt;0")=0),"",_xlfn.MAXIFS(Histórico!$A$8:$A$1007,Histórico!$A$8:$A$1007,"&lt;"&amp;E18,Histórico!$C$8:$C$1007,"&gt;0"))</f>
        <v>46295</v>
      </c>
      <c r="F17" s="17">
        <f>IF(E17="","",INDEX(Histórico!$C$8:$C$1007,MATCH(E17,Histórico!$A$8:$A$1007,0)))</f>
        <v>68.67</v>
      </c>
      <c r="G17" s="1" t="str">
        <f t="shared" si="1"/>
        <v>30/09</v>
      </c>
      <c r="H17" s="1"/>
      <c r="I17" s="15">
        <f>IF(OR(I18="",COUNTIFS(Histórico!$A$8:$A$1007,"&lt;"&amp;I18,Histórico!$A$8:$A$1007,"&gt;0",Histórico!$D$8:$D$1007,"&gt;0")=0),"",_xlfn.MAXIFS(Histórico!$A$8:$A$1007,Histórico!$A$8:$A$1007,"&lt;"&amp;I18,Histórico!$D$8:$D$1007,"&gt;0"))</f>
        <v>46295</v>
      </c>
      <c r="J17" s="17">
        <f>IF(I17="","",INDEX(Histórico!$D$8:$D$1007,MATCH(I17,Histórico!$A$8:$A$1007,0)))</f>
        <v>364.3</v>
      </c>
      <c r="K17" s="1" t="str">
        <f t="shared" si="2"/>
        <v>30/09</v>
      </c>
      <c r="L17" s="1"/>
      <c r="M17" s="15">
        <f>IF(OR(M18="",COUNTIFS(Histórico!$A$8:$A$1007,"&lt;"&amp;M18,Histórico!$A$8:$A$1007,"&gt;0",Histórico!$E$8:$E$1007,"&gt;0")=0),"",_xlfn.MAXIFS(Histórico!$A$8:$A$1007,Histórico!$A$8:$A$1007,"&lt;"&amp;M18,Histórico!$E$8:$E$1007,"&gt;0"))</f>
        <v>46296</v>
      </c>
      <c r="N17" s="18">
        <f>IF(M17="","",INDEX(Histórico!$E$8:$E$1007,MATCH(M17,Histórico!$A$8:$A$1007,0)))</f>
        <v>5.2079</v>
      </c>
      <c r="O17" s="1" t="str">
        <f t="shared" si="3"/>
        <v>01/10</v>
      </c>
      <c r="Q17" s="17">
        <f>IF(AND(ISNUMBER(Histórico!$A17),ISNUMBER(Histórico!B17),Histórico!B17&gt;0),Histórico!B17,Q16)</f>
        <v>161.56</v>
      </c>
      <c r="R17" s="17">
        <f>IF(AND(ISNUMBER(Histórico!$A17),ISNUMBER(Histórico!C17),Histórico!C17&gt;0),Histórico!C17,R16)</f>
        <v>68.67</v>
      </c>
      <c r="S17" s="17">
        <f>IF(AND(ISNUMBER(Histórico!$A17),ISNUMBER(Histórico!D17),Histórico!D17&gt;0),Histórico!D17,S16)</f>
        <v>364.3</v>
      </c>
      <c r="T17" s="18">
        <f>IF(AND(ISNUMBER(Histórico!$A17),ISNUMBER(Histórico!E17),Histórico!E17&gt;0),Histórico!E17,T16)</f>
        <v>5.1809</v>
      </c>
      <c r="U17" s="15">
        <f>IF(ISNUMBER(Histórico!A17),Histórico!A17,U16)</f>
        <v>46295</v>
      </c>
    </row>
    <row r="18" spans="1:21" ht="22.95" customHeight="1">
      <c r="A18" s="15">
        <f>IF(OR(A19="",COUNTIFS(Histórico!$A$8:$A$1007,"&lt;"&amp;A19,Histórico!$A$8:$A$1007,"&gt;0",Histórico!$B$8:$B$1007,"&gt;0")=0),"",_xlfn.MAXIFS(Histórico!$A$8:$A$1007,Histórico!$A$8:$A$1007,"&lt;"&amp;A19,Histórico!$B$8:$B$1007,"&gt;0"))</f>
        <v>46296</v>
      </c>
      <c r="B18" s="17">
        <f>IF(A18="","",INDEX(Histórico!$B$8:$B$1007,MATCH(A18,Histórico!$A$8:$A$1007,0)))</f>
        <v>160.9</v>
      </c>
      <c r="C18" s="1" t="str">
        <f t="shared" si="0"/>
        <v>01/10</v>
      </c>
      <c r="D18" s="1"/>
      <c r="E18" s="15">
        <f>IF(OR(E19="",COUNTIFS(Histórico!$A$8:$A$1007,"&lt;"&amp;E19,Histórico!$A$8:$A$1007,"&gt;0",Histórico!$C$8:$C$1007,"&gt;0")=0),"",_xlfn.MAXIFS(Histórico!$A$8:$A$1007,Histórico!$A$8:$A$1007,"&lt;"&amp;E19,Histórico!$C$8:$C$1007,"&gt;0"))</f>
        <v>46296</v>
      </c>
      <c r="F18" s="17">
        <f>IF(E18="","",INDEX(Histórico!$C$8:$C$1007,MATCH(E18,Histórico!$A$8:$A$1007,0)))</f>
        <v>68.58</v>
      </c>
      <c r="G18" s="1" t="str">
        <f t="shared" si="1"/>
        <v>01/10</v>
      </c>
      <c r="H18" s="1"/>
      <c r="I18" s="15">
        <f>IF(OR(I19="",COUNTIFS(Histórico!$A$8:$A$1007,"&lt;"&amp;I19,Histórico!$A$8:$A$1007,"&gt;0",Histórico!$D$8:$D$1007,"&gt;0")=0),"",_xlfn.MAXIFS(Histórico!$A$8:$A$1007,Histórico!$A$8:$A$1007,"&lt;"&amp;I19,Histórico!$D$8:$D$1007,"&gt;0"))</f>
        <v>46296</v>
      </c>
      <c r="J18" s="17">
        <f>IF(I18="","",INDEX(Histórico!$D$8:$D$1007,MATCH(I18,Histórico!$A$8:$A$1007,0)))</f>
        <v>366.5</v>
      </c>
      <c r="K18" s="1" t="str">
        <f t="shared" si="2"/>
        <v>01/10</v>
      </c>
      <c r="L18" s="1"/>
      <c r="M18" s="15">
        <f>IF(OR(M19="",COUNTIFS(Histórico!$A$8:$A$1007,"&lt;"&amp;M19,Histórico!$A$8:$A$1007,"&gt;0",Histórico!$E$8:$E$1007,"&gt;0")=0),"",_xlfn.MAXIFS(Histórico!$A$8:$A$1007,Histórico!$A$8:$A$1007,"&lt;"&amp;M19,Histórico!$E$8:$E$1007,"&gt;0"))</f>
        <v>46297</v>
      </c>
      <c r="N18" s="18">
        <f>IF(M18="","",INDEX(Histórico!$E$8:$E$1007,MATCH(M18,Histórico!$A$8:$A$1007,0)))</f>
        <v>5.2238</v>
      </c>
      <c r="O18" s="1" t="str">
        <f t="shared" si="3"/>
        <v>02/10</v>
      </c>
      <c r="Q18" s="17">
        <f>IF(AND(ISNUMBER(Histórico!$A18),ISNUMBER(Histórico!B18),Histórico!B18&gt;0),Histórico!B18,Q17)</f>
        <v>160.9</v>
      </c>
      <c r="R18" s="17">
        <f>IF(AND(ISNUMBER(Histórico!$A18),ISNUMBER(Histórico!C18),Histórico!C18&gt;0),Histórico!C18,R17)</f>
        <v>68.58</v>
      </c>
      <c r="S18" s="17">
        <f>IF(AND(ISNUMBER(Histórico!$A18),ISNUMBER(Histórico!D18),Histórico!D18&gt;0),Histórico!D18,S17)</f>
        <v>366.5</v>
      </c>
      <c r="T18" s="18">
        <f>IF(AND(ISNUMBER(Histórico!$A18),ISNUMBER(Histórico!E18),Histórico!E18&gt;0),Histórico!E18,T17)</f>
        <v>5.2079</v>
      </c>
      <c r="U18" s="15">
        <f>IF(ISNUMBER(Histórico!A18),Histórico!A18,U17)</f>
        <v>46296</v>
      </c>
    </row>
    <row r="19" spans="1:21" ht="22.95" customHeight="1">
      <c r="A19" s="15">
        <f>IF(OR(A20="",COUNTIFS(Histórico!$A$8:$A$1007,"&lt;"&amp;A20,Histórico!$A$8:$A$1007,"&gt;0",Histórico!$B$8:$B$1007,"&gt;0")=0),"",_xlfn.MAXIFS(Histórico!$A$8:$A$1007,Histórico!$A$8:$A$1007,"&lt;"&amp;A20,Histórico!$B$8:$B$1007,"&gt;0"))</f>
        <v>46297</v>
      </c>
      <c r="B19" s="17">
        <f>IF(A19="","",INDEX(Histórico!$B$8:$B$1007,MATCH(A19,Histórico!$A$8:$A$1007,0)))</f>
        <v>159.94</v>
      </c>
      <c r="C19" s="1" t="str">
        <f t="shared" si="0"/>
        <v>02/10</v>
      </c>
      <c r="D19" s="1"/>
      <c r="E19" s="15">
        <f>IF(OR(E20="",COUNTIFS(Histórico!$A$8:$A$1007,"&lt;"&amp;E20,Histórico!$A$8:$A$1007,"&gt;0",Histórico!$C$8:$C$1007,"&gt;0")=0),"",_xlfn.MAXIFS(Histórico!$A$8:$A$1007,Histórico!$A$8:$A$1007,"&lt;"&amp;E20,Histórico!$C$8:$C$1007,"&gt;0"))</f>
        <v>46297</v>
      </c>
      <c r="F19" s="17">
        <f>IF(E19="","",INDEX(Histórico!$C$8:$C$1007,MATCH(E19,Histórico!$A$8:$A$1007,0)))</f>
        <v>68.53</v>
      </c>
      <c r="G19" s="1" t="str">
        <f t="shared" si="1"/>
        <v>02/10</v>
      </c>
      <c r="H19" s="1"/>
      <c r="I19" s="15">
        <f>IF(OR(I20="",COUNTIFS(Histórico!$A$8:$A$1007,"&lt;"&amp;I20,Histórico!$A$8:$A$1007,"&gt;0",Histórico!$D$8:$D$1007,"&gt;0")=0),"",_xlfn.MAXIFS(Histórico!$A$8:$A$1007,Histórico!$A$8:$A$1007,"&lt;"&amp;I20,Histórico!$D$8:$D$1007,"&gt;0"))</f>
        <v>46297</v>
      </c>
      <c r="J19" s="17">
        <f>IF(I19="","",INDEX(Histórico!$D$8:$D$1007,MATCH(I19,Histórico!$A$8:$A$1007,0)))</f>
        <v>369.9</v>
      </c>
      <c r="K19" s="1" t="str">
        <f t="shared" si="2"/>
        <v>02/10</v>
      </c>
      <c r="L19" s="1"/>
      <c r="M19" s="15">
        <f>IF(OR(M20="",COUNTIFS(Histórico!$A$8:$A$1007,"&lt;"&amp;M20,Histórico!$A$8:$A$1007,"&gt;0",Histórico!$E$8:$E$1007,"&gt;0")=0),"",_xlfn.MAXIFS(Histórico!$A$8:$A$1007,Histórico!$A$8:$A$1007,"&lt;"&amp;M20,Histórico!$E$8:$E$1007,"&gt;0"))</f>
        <v>46300</v>
      </c>
      <c r="N19" s="18">
        <f>IF(M19="","",INDEX(Histórico!$E$8:$E$1007,MATCH(M19,Histórico!$A$8:$A$1007,0)))</f>
        <v>4.9859</v>
      </c>
      <c r="O19" s="1" t="str">
        <f t="shared" si="3"/>
        <v>05/10</v>
      </c>
      <c r="Q19" s="17">
        <f>IF(AND(ISNUMBER(Histórico!$A19),ISNUMBER(Histórico!B19),Histórico!B19&gt;0),Histórico!B19,Q18)</f>
        <v>159.94</v>
      </c>
      <c r="R19" s="17">
        <f>IF(AND(ISNUMBER(Histórico!$A19),ISNUMBER(Histórico!C19),Histórico!C19&gt;0),Histórico!C19,R18)</f>
        <v>68.53</v>
      </c>
      <c r="S19" s="17">
        <f>IF(AND(ISNUMBER(Histórico!$A19),ISNUMBER(Histórico!D19),Histórico!D19&gt;0),Histórico!D19,S18)</f>
        <v>369.9</v>
      </c>
      <c r="T19" s="18">
        <f>IF(AND(ISNUMBER(Histórico!$A19),ISNUMBER(Histórico!E19),Histórico!E19&gt;0),Histórico!E19,T18)</f>
        <v>5.2238</v>
      </c>
      <c r="U19" s="15">
        <f>IF(ISNUMBER(Histórico!A19),Histórico!A19,U18)</f>
        <v>46297</v>
      </c>
    </row>
    <row r="20" spans="1:21" ht="22.95" customHeight="1">
      <c r="A20" s="15">
        <f>IF(OR(A21="",COUNTIFS(Histórico!$A$8:$A$1007,"&lt;"&amp;A21,Histórico!$A$8:$A$1007,"&gt;0",Histórico!$B$8:$B$1007,"&gt;0")=0),"",_xlfn.MAXIFS(Histórico!$A$8:$A$1007,Histórico!$A$8:$A$1007,"&lt;"&amp;A21,Histórico!$B$8:$B$1007,"&gt;0"))</f>
        <v>46300</v>
      </c>
      <c r="B20" s="17">
        <f>IF(A20="","",INDEX(Histórico!$B$8:$B$1007,MATCH(A20,Histórico!$A$8:$A$1007,0)))</f>
        <v>158.09</v>
      </c>
      <c r="C20" s="1" t="str">
        <f t="shared" si="0"/>
        <v>05/10</v>
      </c>
      <c r="D20" s="1"/>
      <c r="E20" s="15">
        <f>IF(OR(E21="",COUNTIFS(Histórico!$A$8:$A$1007,"&lt;"&amp;E21,Histórico!$A$8:$A$1007,"&gt;0",Histórico!$C$8:$C$1007,"&gt;0")=0),"",_xlfn.MAXIFS(Histórico!$A$8:$A$1007,Histórico!$A$8:$A$1007,"&lt;"&amp;E21,Histórico!$C$8:$C$1007,"&gt;0"))</f>
        <v>46300</v>
      </c>
      <c r="F20" s="17">
        <f>IF(E20="","",INDEX(Histórico!$C$8:$C$1007,MATCH(E20,Histórico!$A$8:$A$1007,0)))</f>
        <v>67.26</v>
      </c>
      <c r="G20" s="1" t="str">
        <f t="shared" si="1"/>
        <v>05/10</v>
      </c>
      <c r="H20" s="1"/>
      <c r="I20" s="15">
        <f>IF(OR(I21="",COUNTIFS(Histórico!$A$8:$A$1007,"&lt;"&amp;I21,Histórico!$A$8:$A$1007,"&gt;0",Histórico!$D$8:$D$1007,"&gt;0")=0),"",_xlfn.MAXIFS(Histórico!$A$8:$A$1007,Histórico!$A$8:$A$1007,"&lt;"&amp;I21,Histórico!$D$8:$D$1007,"&gt;0"))</f>
        <v>46300</v>
      </c>
      <c r="J20" s="17">
        <f>IF(I20="","",INDEX(Histórico!$D$8:$D$1007,MATCH(I20,Histórico!$A$8:$A$1007,0)))</f>
        <v>372.95</v>
      </c>
      <c r="K20" s="1" t="str">
        <f t="shared" si="2"/>
        <v>05/10</v>
      </c>
      <c r="L20" s="1"/>
      <c r="M20" s="15">
        <f>IF(OR(M21="",COUNTIFS(Histórico!$A$8:$A$1007,"&lt;"&amp;M21,Histórico!$A$8:$A$1007,"&gt;0",Histórico!$E$8:$E$1007,"&gt;0")=0),"",_xlfn.MAXIFS(Histórico!$A$8:$A$1007,Histórico!$A$8:$A$1007,"&lt;"&amp;M21,Histórico!$E$8:$E$1007,"&gt;0"))</f>
        <v>46301</v>
      </c>
      <c r="N20" s="18">
        <f>IF(M20="","",INDEX(Histórico!$E$8:$E$1007,MATCH(M20,Histórico!$A$8:$A$1007,0)))</f>
        <v>4.9698</v>
      </c>
      <c r="O20" s="1" t="str">
        <f t="shared" si="3"/>
        <v>06/10</v>
      </c>
      <c r="Q20" s="17">
        <f>IF(AND(ISNUMBER(Histórico!$A20),ISNUMBER(Histórico!B20),Histórico!B20&gt;0),Histórico!B20,Q19)</f>
        <v>158.09</v>
      </c>
      <c r="R20" s="17">
        <f>IF(AND(ISNUMBER(Histórico!$A20),ISNUMBER(Histórico!C20),Histórico!C20&gt;0),Histórico!C20,R19)</f>
        <v>67.26</v>
      </c>
      <c r="S20" s="17">
        <f>IF(AND(ISNUMBER(Histórico!$A20),ISNUMBER(Histórico!D20),Histórico!D20&gt;0),Histórico!D20,S19)</f>
        <v>372.95</v>
      </c>
      <c r="T20" s="18">
        <f>IF(AND(ISNUMBER(Histórico!$A20),ISNUMBER(Histórico!E20),Histórico!E20&gt;0),Histórico!E20,T19)</f>
        <v>4.9859</v>
      </c>
      <c r="U20" s="15">
        <f>IF(ISNUMBER(Histórico!A20),Histórico!A20,U19)</f>
        <v>46300</v>
      </c>
    </row>
    <row r="21" spans="1:21" ht="22.95" customHeight="1">
      <c r="A21" s="15">
        <f>IF(OR(A22="",COUNTIFS(Histórico!$A$8:$A$1007,"&lt;"&amp;A22,Histórico!$A$8:$A$1007,"&gt;0",Histórico!$B$8:$B$1007,"&gt;0")=0),"",_xlfn.MAXIFS(Histórico!$A$8:$A$1007,Histórico!$A$8:$A$1007,"&lt;"&amp;A22,Histórico!$B$8:$B$1007,"&gt;0"))</f>
        <v>46301</v>
      </c>
      <c r="B21" s="17">
        <f>IF(A21="","",INDEX(Histórico!$B$8:$B$1007,MATCH(A21,Histórico!$A$8:$A$1007,0)))</f>
        <v>155.67</v>
      </c>
      <c r="C21" s="1" t="str">
        <f t="shared" si="0"/>
        <v>06/10</v>
      </c>
      <c r="D21" s="1"/>
      <c r="E21" s="15">
        <f>IF(OR(E22="",COUNTIFS(Histórico!$A$8:$A$1007,"&lt;"&amp;E22,Histórico!$A$8:$A$1007,"&gt;0",Histórico!$C$8:$C$1007,"&gt;0")=0),"",_xlfn.MAXIFS(Histórico!$A$8:$A$1007,Histórico!$A$8:$A$1007,"&lt;"&amp;E22,Histórico!$C$8:$C$1007,"&gt;0"))</f>
        <v>46301</v>
      </c>
      <c r="F21" s="17">
        <f>IF(E21="","",INDEX(Histórico!$C$8:$C$1007,MATCH(E21,Histórico!$A$8:$A$1007,0)))</f>
        <v>67.23</v>
      </c>
      <c r="G21" s="1" t="str">
        <f t="shared" si="1"/>
        <v>06/10</v>
      </c>
      <c r="H21" s="1"/>
      <c r="I21" s="15">
        <f>IF(OR(I22="",COUNTIFS(Histórico!$A$8:$A$1007,"&lt;"&amp;I22,Histórico!$A$8:$A$1007,"&gt;0",Histórico!$D$8:$D$1007,"&gt;0")=0),"",_xlfn.MAXIFS(Histórico!$A$8:$A$1007,Histórico!$A$8:$A$1007,"&lt;"&amp;I22,Histórico!$D$8:$D$1007,"&gt;0"))</f>
        <v>46301</v>
      </c>
      <c r="J21" s="17">
        <f>IF(I21="","",INDEX(Histórico!$D$8:$D$1007,MATCH(I21,Histórico!$A$8:$A$1007,0)))</f>
        <v>373.25</v>
      </c>
      <c r="K21" s="1" t="str">
        <f t="shared" si="2"/>
        <v>06/10</v>
      </c>
      <c r="L21" s="1"/>
      <c r="M21" s="15">
        <f>IF(OR(M22="",COUNTIFS(Histórico!$A$8:$A$1007,"&lt;"&amp;M22,Histórico!$A$8:$A$1007,"&gt;0",Histórico!$E$8:$E$1007,"&gt;0")=0),"",_xlfn.MAXIFS(Histórico!$A$8:$A$1007,Histórico!$A$8:$A$1007,"&lt;"&amp;M22,Histórico!$E$8:$E$1007,"&gt;0"))</f>
        <v>46302</v>
      </c>
      <c r="N21" s="18">
        <f>IF(M21="","",INDEX(Histórico!$E$8:$E$1007,MATCH(M21,Histórico!$A$8:$A$1007,0)))</f>
        <v>4.9935</v>
      </c>
      <c r="O21" s="1" t="str">
        <f t="shared" si="3"/>
        <v>07/10</v>
      </c>
      <c r="Q21" s="17">
        <f>IF(AND(ISNUMBER(Histórico!$A21),ISNUMBER(Histórico!B21),Histórico!B21&gt;0),Histórico!B21,Q20)</f>
        <v>155.67</v>
      </c>
      <c r="R21" s="17">
        <f>IF(AND(ISNUMBER(Histórico!$A21),ISNUMBER(Histórico!C21),Histórico!C21&gt;0),Histórico!C21,R20)</f>
        <v>67.23</v>
      </c>
      <c r="S21" s="17">
        <f>IF(AND(ISNUMBER(Histórico!$A21),ISNUMBER(Histórico!D21),Histórico!D21&gt;0),Histórico!D21,S20)</f>
        <v>373.25</v>
      </c>
      <c r="T21" s="18">
        <f>IF(AND(ISNUMBER(Histórico!$A21),ISNUMBER(Histórico!E21),Histórico!E21&gt;0),Histórico!E21,T20)</f>
        <v>4.9698</v>
      </c>
      <c r="U21" s="15">
        <f>IF(ISNUMBER(Histórico!A21),Histórico!A21,U20)</f>
        <v>46301</v>
      </c>
    </row>
    <row r="22" spans="1:21" ht="22.95" customHeight="1">
      <c r="A22" s="15">
        <f>IF(OR(A23="",COUNTIFS(Histórico!$A$8:$A$1007,"&lt;"&amp;A23,Histórico!$A$8:$A$1007,"&gt;0",Histórico!$B$8:$B$1007,"&gt;0")=0),"",_xlfn.MAXIFS(Histórico!$A$8:$A$1007,Histórico!$A$8:$A$1007,"&lt;"&amp;A23,Histórico!$B$8:$B$1007,"&gt;0"))</f>
        <v>46302</v>
      </c>
      <c r="B22" s="17">
        <f>IF(A22="","",INDEX(Histórico!$B$8:$B$1007,MATCH(A22,Histórico!$A$8:$A$1007,0)))</f>
        <v>153.9</v>
      </c>
      <c r="C22" s="1" t="str">
        <f t="shared" si="0"/>
        <v>07/10</v>
      </c>
      <c r="D22" s="1"/>
      <c r="E22" s="15">
        <f>IF(OR(E23="",COUNTIFS(Histórico!$A$8:$A$1007,"&lt;"&amp;E23,Histórico!$A$8:$A$1007,"&gt;0",Histórico!$C$8:$C$1007,"&gt;0")=0),"",_xlfn.MAXIFS(Histórico!$A$8:$A$1007,Histórico!$A$8:$A$1007,"&lt;"&amp;E23,Histórico!$C$8:$C$1007,"&gt;0"))</f>
        <v>46302</v>
      </c>
      <c r="F22" s="17">
        <f>IF(E22="","",INDEX(Histórico!$C$8:$C$1007,MATCH(E22,Histórico!$A$8:$A$1007,0)))</f>
        <v>67.24</v>
      </c>
      <c r="G22" s="1" t="str">
        <f t="shared" si="1"/>
        <v>07/10</v>
      </c>
      <c r="H22" s="1"/>
      <c r="I22" s="15">
        <f>IF(OR(I23="",COUNTIFS(Histórico!$A$8:$A$1007,"&lt;"&amp;I23,Histórico!$A$8:$A$1007,"&gt;0",Histórico!$D$8:$D$1007,"&gt;0")=0),"",_xlfn.MAXIFS(Histórico!$A$8:$A$1007,Histórico!$A$8:$A$1007,"&lt;"&amp;I23,Histórico!$D$8:$D$1007,"&gt;0"))</f>
        <v>46302</v>
      </c>
      <c r="J22" s="17">
        <f>IF(I22="","",INDEX(Histórico!$D$8:$D$1007,MATCH(I22,Histórico!$A$8:$A$1007,0)))</f>
        <v>376.1</v>
      </c>
      <c r="K22" s="1" t="str">
        <f t="shared" si="2"/>
        <v>07/10</v>
      </c>
      <c r="L22" s="1"/>
      <c r="M22" s="15">
        <f>IF(OR(M23="",COUNTIFS(Histórico!$A$8:$A$1007,"&lt;"&amp;M23,Histórico!$A$8:$A$1007,"&gt;0",Histórico!$E$8:$E$1007,"&gt;0")=0),"",_xlfn.MAXIFS(Histórico!$A$8:$A$1007,Histórico!$A$8:$A$1007,"&lt;"&amp;M23,Histórico!$E$8:$E$1007,"&gt;0"))</f>
        <v>46303</v>
      </c>
      <c r="N22" s="18">
        <f>IF(M22="","",INDEX(Histórico!$E$8:$E$1007,MATCH(M22,Histórico!$A$8:$A$1007,0)))</f>
        <v>5.0119</v>
      </c>
      <c r="O22" s="1" t="str">
        <f t="shared" si="3"/>
        <v>08/10</v>
      </c>
      <c r="Q22" s="17">
        <f>IF(AND(ISNUMBER(Histórico!$A22),ISNUMBER(Histórico!B22),Histórico!B22&gt;0),Histórico!B22,Q21)</f>
        <v>153.9</v>
      </c>
      <c r="R22" s="17">
        <f>IF(AND(ISNUMBER(Histórico!$A22),ISNUMBER(Histórico!C22),Histórico!C22&gt;0),Histórico!C22,R21)</f>
        <v>67.24</v>
      </c>
      <c r="S22" s="17">
        <f>IF(AND(ISNUMBER(Histórico!$A22),ISNUMBER(Histórico!D22),Histórico!D22&gt;0),Histórico!D22,S21)</f>
        <v>376.1</v>
      </c>
      <c r="T22" s="18">
        <f>IF(AND(ISNUMBER(Histórico!$A22),ISNUMBER(Histórico!E22),Histórico!E22&gt;0),Histórico!E22,T21)</f>
        <v>4.9935</v>
      </c>
      <c r="U22" s="15">
        <f>IF(ISNUMBER(Histórico!A22),Histórico!A22,U21)</f>
        <v>46302</v>
      </c>
    </row>
    <row r="23" spans="1:21" ht="22.95" customHeight="1">
      <c r="A23" s="15">
        <f>IF(OR(A24="",COUNTIFS(Histórico!$A$8:$A$1007,"&lt;"&amp;A24,Histórico!$A$8:$A$1007,"&gt;0",Histórico!$B$8:$B$1007,"&gt;0")=0),"",_xlfn.MAXIFS(Histórico!$A$8:$A$1007,Histórico!$A$8:$A$1007,"&lt;"&amp;A24,Histórico!$B$8:$B$1007,"&gt;0"))</f>
        <v>46303</v>
      </c>
      <c r="B23" s="17">
        <f>IF(A23="","",INDEX(Histórico!$B$8:$B$1007,MATCH(A23,Histórico!$A$8:$A$1007,0)))</f>
        <v>154.91</v>
      </c>
      <c r="C23" s="1" t="str">
        <f t="shared" si="0"/>
        <v>08/10</v>
      </c>
      <c r="D23" s="1"/>
      <c r="E23" s="15">
        <f>IF(OR(E24="",COUNTIFS(Histórico!$A$8:$A$1007,"&lt;"&amp;E24,Histórico!$A$8:$A$1007,"&gt;0",Histórico!$C$8:$C$1007,"&gt;0")=0),"",_xlfn.MAXIFS(Histórico!$A$8:$A$1007,Histórico!$A$8:$A$1007,"&lt;"&amp;E24,Histórico!$C$8:$C$1007,"&gt;0"))</f>
        <v>46303</v>
      </c>
      <c r="F23" s="17">
        <f>IF(E23="","",INDEX(Histórico!$C$8:$C$1007,MATCH(E23,Histórico!$A$8:$A$1007,0)))</f>
        <v>67.18</v>
      </c>
      <c r="G23" s="1" t="str">
        <f t="shared" si="1"/>
        <v>08/10</v>
      </c>
      <c r="H23" s="1"/>
      <c r="I23" s="15">
        <f>IF(OR(I24="",COUNTIFS(Histórico!$A$8:$A$1007,"&lt;"&amp;I24,Histórico!$A$8:$A$1007,"&gt;0",Histórico!$D$8:$D$1007,"&gt;0")=0),"",_xlfn.MAXIFS(Histórico!$A$8:$A$1007,Histórico!$A$8:$A$1007,"&lt;"&amp;I24,Histórico!$D$8:$D$1007,"&gt;0"))</f>
        <v>46303</v>
      </c>
      <c r="J23" s="17">
        <f>IF(I23="","",INDEX(Histórico!$D$8:$D$1007,MATCH(I23,Histórico!$A$8:$A$1007,0)))</f>
        <v>376.3</v>
      </c>
      <c r="K23" s="1" t="str">
        <f t="shared" si="2"/>
        <v>08/10</v>
      </c>
      <c r="L23" s="1"/>
      <c r="M23" s="15">
        <f>IF(OR(M24="",COUNTIFS(Histórico!$A$8:$A$1007,"&lt;"&amp;M24,Histórico!$A$8:$A$1007,"&gt;0",Histórico!$E$8:$E$1007,"&gt;0")=0),"",_xlfn.MAXIFS(Histórico!$A$8:$A$1007,Histórico!$A$8:$A$1007,"&lt;"&amp;M24,Histórico!$E$8:$E$1007,"&gt;0"))</f>
        <v>46304</v>
      </c>
      <c r="N23" s="18">
        <f>IF(M23="","",INDEX(Histórico!$E$8:$E$1007,MATCH(M23,Histórico!$A$8:$A$1007,0)))</f>
        <v>4.9892</v>
      </c>
      <c r="O23" s="1" t="str">
        <f t="shared" si="3"/>
        <v>09/10</v>
      </c>
      <c r="Q23" s="17">
        <f>IF(AND(ISNUMBER(Histórico!$A23),ISNUMBER(Histórico!B23),Histórico!B23&gt;0),Histórico!B23,Q22)</f>
        <v>154.91</v>
      </c>
      <c r="R23" s="17">
        <f>IF(AND(ISNUMBER(Histórico!$A23),ISNUMBER(Histórico!C23),Histórico!C23&gt;0),Histórico!C23,R22)</f>
        <v>67.18</v>
      </c>
      <c r="S23" s="17">
        <f>IF(AND(ISNUMBER(Histórico!$A23),ISNUMBER(Histórico!D23),Histórico!D23&gt;0),Histórico!D23,S22)</f>
        <v>376.3</v>
      </c>
      <c r="T23" s="18">
        <f>IF(AND(ISNUMBER(Histórico!$A23),ISNUMBER(Histórico!E23),Histórico!E23&gt;0),Histórico!E23,T22)</f>
        <v>5.0119</v>
      </c>
      <c r="U23" s="15">
        <f>IF(ISNUMBER(Histórico!A23),Histórico!A23,U22)</f>
        <v>46303</v>
      </c>
    </row>
    <row r="24" spans="1:21" ht="22.95" customHeight="1">
      <c r="A24" s="15">
        <f>IF(OR(A25="",COUNTIFS(Histórico!$A$8:$A$1007,"&lt;"&amp;A25,Histórico!$A$8:$A$1007,"&gt;0",Histórico!$B$8:$B$1007,"&gt;0")=0),"",_xlfn.MAXIFS(Histórico!$A$8:$A$1007,Histórico!$A$8:$A$1007,"&lt;"&amp;A25,Histórico!$B$8:$B$1007,"&gt;0"))</f>
        <v>46304</v>
      </c>
      <c r="B24" s="17">
        <f>IF(A24="","",INDEX(Histórico!$B$8:$B$1007,MATCH(A24,Histórico!$A$8:$A$1007,0)))</f>
        <v>154.75</v>
      </c>
      <c r="C24" s="1" t="str">
        <f t="shared" si="0"/>
        <v>09/10</v>
      </c>
      <c r="D24" s="1"/>
      <c r="E24" s="15">
        <f>IF(OR(E25="",COUNTIFS(Histórico!$A$8:$A$1007,"&lt;"&amp;E25,Histórico!$A$8:$A$1007,"&gt;0",Histórico!$C$8:$C$1007,"&gt;0")=0),"",_xlfn.MAXIFS(Histórico!$A$8:$A$1007,Histórico!$A$8:$A$1007,"&lt;"&amp;E25,Histórico!$C$8:$C$1007,"&gt;0"))</f>
        <v>46304</v>
      </c>
      <c r="F24" s="17">
        <f>IF(E24="","",INDEX(Histórico!$C$8:$C$1007,MATCH(E24,Histórico!$A$8:$A$1007,0)))</f>
        <v>67.35</v>
      </c>
      <c r="G24" s="1" t="str">
        <f t="shared" si="1"/>
        <v>09/10</v>
      </c>
      <c r="H24" s="1"/>
      <c r="I24" s="15">
        <f>IF(OR(I25="",COUNTIFS(Histórico!$A$8:$A$1007,"&lt;"&amp;I25,Histórico!$A$8:$A$1007,"&gt;0",Histórico!$D$8:$D$1007,"&gt;0")=0),"",_xlfn.MAXIFS(Histórico!$A$8:$A$1007,Histórico!$A$8:$A$1007,"&lt;"&amp;I25,Histórico!$D$8:$D$1007,"&gt;0"))</f>
        <v>46304</v>
      </c>
      <c r="J24" s="17">
        <f>IF(I24="","",INDEX(Histórico!$D$8:$D$1007,MATCH(I24,Histórico!$A$8:$A$1007,0)))</f>
        <v>377.8</v>
      </c>
      <c r="K24" s="1" t="str">
        <f t="shared" si="2"/>
        <v>09/10</v>
      </c>
      <c r="L24" s="1"/>
      <c r="M24" s="15">
        <f>IF(OR(M25="",COUNTIFS(Histórico!$A$8:$A$1007,"&lt;"&amp;M25,Histórico!$A$8:$A$1007,"&gt;0",Histórico!$E$8:$E$1007,"&gt;0")=0),"",_xlfn.MAXIFS(Histórico!$A$8:$A$1007,Histórico!$A$8:$A$1007,"&lt;"&amp;M25,Histórico!$E$8:$E$1007,"&gt;0"))</f>
        <v>46308</v>
      </c>
      <c r="N24" s="18">
        <f>IF(M24="","",INDEX(Histórico!$E$8:$E$1007,MATCH(M24,Histórico!$A$8:$A$1007,0)))</f>
        <v>5.0096</v>
      </c>
      <c r="O24" s="1" t="str">
        <f t="shared" si="3"/>
        <v>13/10</v>
      </c>
      <c r="Q24" s="17">
        <f>IF(AND(ISNUMBER(Histórico!$A24),ISNUMBER(Histórico!B24),Histórico!B24&gt;0),Histórico!B24,Q23)</f>
        <v>154.75</v>
      </c>
      <c r="R24" s="17">
        <f>IF(AND(ISNUMBER(Histórico!$A24),ISNUMBER(Histórico!C24),Histórico!C24&gt;0),Histórico!C24,R23)</f>
        <v>67.35</v>
      </c>
      <c r="S24" s="17">
        <f>IF(AND(ISNUMBER(Histórico!$A24),ISNUMBER(Histórico!D24),Histórico!D24&gt;0),Histórico!D24,S23)</f>
        <v>377.8</v>
      </c>
      <c r="T24" s="18">
        <f>IF(AND(ISNUMBER(Histórico!$A24),ISNUMBER(Histórico!E24),Histórico!E24&gt;0),Histórico!E24,T23)</f>
        <v>4.9892</v>
      </c>
      <c r="U24" s="15">
        <f>IF(ISNUMBER(Histórico!A24),Histórico!A24,U23)</f>
        <v>46304</v>
      </c>
    </row>
    <row r="25" spans="1:21" ht="22.95" customHeight="1">
      <c r="A25" s="15">
        <f>IF(OR(A26="",COUNTIFS(Histórico!$A$8:$A$1007,"&lt;"&amp;A26,Histórico!$A$8:$A$1007,"&gt;0",Histórico!$B$8:$B$1007,"&gt;0")=0),"",_xlfn.MAXIFS(Histórico!$A$8:$A$1007,Histórico!$A$8:$A$1007,"&lt;"&amp;A26,Histórico!$B$8:$B$1007,"&gt;0"))</f>
        <v>46308</v>
      </c>
      <c r="B25" s="17">
        <f>IF(A25="","",INDEX(Histórico!$B$8:$B$1007,MATCH(A25,Histórico!$A$8:$A$1007,0)))</f>
        <v>154.15</v>
      </c>
      <c r="C25" s="1" t="str">
        <f t="shared" si="0"/>
        <v>13/10</v>
      </c>
      <c r="D25" s="1"/>
      <c r="E25" s="15">
        <f>IF(OR(E26="",COUNTIFS(Histórico!$A$8:$A$1007,"&lt;"&amp;E26,Histórico!$A$8:$A$1007,"&gt;0",Histórico!$C$8:$C$1007,"&gt;0")=0),"",_xlfn.MAXIFS(Histórico!$A$8:$A$1007,Histórico!$A$8:$A$1007,"&lt;"&amp;E26,Histórico!$C$8:$C$1007,"&gt;0"))</f>
        <v>46308</v>
      </c>
      <c r="F25" s="17">
        <f>IF(E25="","",INDEX(Histórico!$C$8:$C$1007,MATCH(E25,Histórico!$A$8:$A$1007,0)))</f>
        <v>65.59</v>
      </c>
      <c r="G25" s="1" t="str">
        <f t="shared" si="1"/>
        <v>13/10</v>
      </c>
      <c r="H25" s="1"/>
      <c r="I25" s="15">
        <f>IF(OR(I26="",COUNTIFS(Histórico!$A$8:$A$1007,"&lt;"&amp;I26,Histórico!$A$8:$A$1007,"&gt;0",Histórico!$D$8:$D$1007,"&gt;0")=0),"",_xlfn.MAXIFS(Histórico!$A$8:$A$1007,Histórico!$A$8:$A$1007,"&lt;"&amp;I26,Histórico!$D$8:$D$1007,"&gt;0"))</f>
        <v>46308</v>
      </c>
      <c r="J25" s="17">
        <f>IF(I25="","",INDEX(Histórico!$D$8:$D$1007,MATCH(I25,Histórico!$A$8:$A$1007,0)))</f>
        <v>378</v>
      </c>
      <c r="K25" s="1" t="str">
        <f t="shared" si="2"/>
        <v>13/10</v>
      </c>
      <c r="L25" s="1"/>
      <c r="M25" s="15">
        <f>IF(OR(M26="",COUNTIFS(Histórico!$A$8:$A$1007,"&lt;"&amp;M26,Histórico!$A$8:$A$1007,"&gt;0",Histórico!$E$8:$E$1007,"&gt;0")=0),"",_xlfn.MAXIFS(Histórico!$A$8:$A$1007,Histórico!$A$8:$A$1007,"&lt;"&amp;M26,Histórico!$E$8:$E$1007,"&gt;0"))</f>
        <v>46309</v>
      </c>
      <c r="N25" s="18">
        <f>IF(M25="","",INDEX(Histórico!$E$8:$E$1007,MATCH(M25,Histórico!$A$8:$A$1007,0)))</f>
        <v>5.0441</v>
      </c>
      <c r="O25" s="1" t="str">
        <f t="shared" si="3"/>
        <v>14/10</v>
      </c>
      <c r="Q25" s="17">
        <f>IF(AND(ISNUMBER(Histórico!$A25),ISNUMBER(Histórico!B25),Histórico!B25&gt;0),Histórico!B25,Q24)</f>
        <v>154.15</v>
      </c>
      <c r="R25" s="17">
        <f>IF(AND(ISNUMBER(Histórico!$A25),ISNUMBER(Histórico!C25),Histórico!C25&gt;0),Histórico!C25,R24)</f>
        <v>65.59</v>
      </c>
      <c r="S25" s="17">
        <f>IF(AND(ISNUMBER(Histórico!$A25),ISNUMBER(Histórico!D25),Histórico!D25&gt;0),Histórico!D25,S24)</f>
        <v>378</v>
      </c>
      <c r="T25" s="18">
        <f>IF(AND(ISNUMBER(Histórico!$A25),ISNUMBER(Histórico!E25),Histórico!E25&gt;0),Histórico!E25,T24)</f>
        <v>5.0096</v>
      </c>
      <c r="U25" s="15">
        <f>IF(ISNUMBER(Histórico!A25),Histórico!A25,U24)</f>
        <v>46308</v>
      </c>
    </row>
    <row r="26" spans="1:21" ht="22.95" customHeight="1">
      <c r="A26" s="15">
        <f>IF(OR(A27="",COUNTIFS(Histórico!$A$8:$A$1007,"&lt;"&amp;A27,Histórico!$A$8:$A$1007,"&gt;0",Histórico!$B$8:$B$1007,"&gt;0")=0),"",_xlfn.MAXIFS(Histórico!$A$8:$A$1007,Histórico!$A$8:$A$1007,"&lt;"&amp;A27,Histórico!$B$8:$B$1007,"&gt;0"))</f>
        <v>46309</v>
      </c>
      <c r="B26" s="17">
        <f>IF(A26="","",INDEX(Histórico!$B$8:$B$1007,MATCH(A26,Histórico!$A$8:$A$1007,0)))</f>
        <v>154.29</v>
      </c>
      <c r="C26" s="1" t="str">
        <f t="shared" si="0"/>
        <v>14/10</v>
      </c>
      <c r="D26" s="1"/>
      <c r="E26" s="15">
        <f>IF(OR(E27="",COUNTIFS(Histórico!$A$8:$A$1007,"&lt;"&amp;E27,Histórico!$A$8:$A$1007,"&gt;0",Histórico!$C$8:$C$1007,"&gt;0")=0),"",_xlfn.MAXIFS(Histórico!$A$8:$A$1007,Histórico!$A$8:$A$1007,"&lt;"&amp;E27,Histórico!$C$8:$C$1007,"&gt;0"))</f>
        <v>46309</v>
      </c>
      <c r="F26" s="17">
        <f>IF(E26="","",INDEX(Histórico!$C$8:$C$1007,MATCH(E26,Histórico!$A$8:$A$1007,0)))</f>
        <v>65.43</v>
      </c>
      <c r="G26" s="1" t="str">
        <f t="shared" si="1"/>
        <v>14/10</v>
      </c>
      <c r="H26" s="1"/>
      <c r="I26" s="15">
        <f>IF(OR(I27="",COUNTIFS(Histórico!$A$8:$A$1007,"&lt;"&amp;I27,Histórico!$A$8:$A$1007,"&gt;0",Histórico!$D$8:$D$1007,"&gt;0")=0),"",_xlfn.MAXIFS(Histórico!$A$8:$A$1007,Histórico!$A$8:$A$1007,"&lt;"&amp;I27,Histórico!$D$8:$D$1007,"&gt;0"))</f>
        <v>46309</v>
      </c>
      <c r="J26" s="17">
        <f>IF(I26="","",INDEX(Histórico!$D$8:$D$1007,MATCH(I26,Histórico!$A$8:$A$1007,0)))</f>
        <v>379.4</v>
      </c>
      <c r="K26" s="1" t="str">
        <f t="shared" si="2"/>
        <v>14/10</v>
      </c>
      <c r="L26" s="1"/>
      <c r="M26" s="15">
        <f>IF(OR(M27="",COUNTIFS(Histórico!$A$8:$A$1007,"&lt;"&amp;M27,Histórico!$A$8:$A$1007,"&gt;0",Histórico!$E$8:$E$1007,"&gt;0")=0),"",_xlfn.MAXIFS(Histórico!$A$8:$A$1007,Histórico!$A$8:$A$1007,"&lt;"&amp;M27,Histórico!$E$8:$E$1007,"&gt;0"))</f>
        <v>46310</v>
      </c>
      <c r="N26" s="18">
        <f>IF(M26="","",INDEX(Histórico!$E$8:$E$1007,MATCH(M26,Histórico!$A$8:$A$1007,0)))</f>
        <v>5.0521</v>
      </c>
      <c r="O26" s="1" t="str">
        <f t="shared" si="3"/>
        <v>15/10</v>
      </c>
      <c r="Q26" s="17">
        <f>IF(AND(ISNUMBER(Histórico!$A26),ISNUMBER(Histórico!B26),Histórico!B26&gt;0),Histórico!B26,Q25)</f>
        <v>154.29</v>
      </c>
      <c r="R26" s="17">
        <f>IF(AND(ISNUMBER(Histórico!$A26),ISNUMBER(Histórico!C26),Histórico!C26&gt;0),Histórico!C26,R25)</f>
        <v>65.43</v>
      </c>
      <c r="S26" s="17">
        <f>IF(AND(ISNUMBER(Histórico!$A26),ISNUMBER(Histórico!D26),Histórico!D26&gt;0),Histórico!D26,S25)</f>
        <v>379.4</v>
      </c>
      <c r="T26" s="18">
        <f>IF(AND(ISNUMBER(Histórico!$A26),ISNUMBER(Histórico!E26),Histórico!E26&gt;0),Histórico!E26,T25)</f>
        <v>5.0441</v>
      </c>
      <c r="U26" s="15">
        <f>IF(ISNUMBER(Histórico!A26),Histórico!A26,U25)</f>
        <v>46309</v>
      </c>
    </row>
    <row r="27" spans="1:21" ht="22.95" customHeight="1">
      <c r="A27" s="15">
        <f>IF(OR(A28="",COUNTIFS(Histórico!$A$8:$A$1007,"&lt;"&amp;A28,Histórico!$A$8:$A$1007,"&gt;0",Histórico!$B$8:$B$1007,"&gt;0")=0),"",_xlfn.MAXIFS(Histórico!$A$8:$A$1007,Histórico!$A$8:$A$1007,"&lt;"&amp;A28,Histórico!$B$8:$B$1007,"&gt;0"))</f>
        <v>46310</v>
      </c>
      <c r="B27" s="17">
        <f>IF(A27="","",INDEX(Histórico!$B$8:$B$1007,MATCH(A27,Histórico!$A$8:$A$1007,0)))</f>
        <v>154.7</v>
      </c>
      <c r="C27" s="1" t="str">
        <f t="shared" si="0"/>
        <v>15/10</v>
      </c>
      <c r="D27" s="1"/>
      <c r="E27" s="15">
        <f>IF(OR(E28="",COUNTIFS(Histórico!$A$8:$A$1007,"&lt;"&amp;E28,Histórico!$A$8:$A$1007,"&gt;0",Histórico!$C$8:$C$1007,"&gt;0")=0),"",_xlfn.MAXIFS(Histórico!$A$8:$A$1007,Histórico!$A$8:$A$1007,"&lt;"&amp;E28,Histórico!$C$8:$C$1007,"&gt;0"))</f>
        <v>46310</v>
      </c>
      <c r="F27" s="17">
        <f>IF(E27="","",INDEX(Histórico!$C$8:$C$1007,MATCH(E27,Histórico!$A$8:$A$1007,0)))</f>
        <v>64.81</v>
      </c>
      <c r="G27" s="1" t="str">
        <f t="shared" si="1"/>
        <v>15/10</v>
      </c>
      <c r="H27" s="1"/>
      <c r="I27" s="15">
        <f>IF(OR(I28="",COUNTIFS(Histórico!$A$8:$A$1007,"&lt;"&amp;I28,Histórico!$A$8:$A$1007,"&gt;0",Histórico!$D$8:$D$1007,"&gt;0")=0),"",_xlfn.MAXIFS(Histórico!$A$8:$A$1007,Histórico!$A$8:$A$1007,"&lt;"&amp;I28,Histórico!$D$8:$D$1007,"&gt;0"))</f>
        <v>46310</v>
      </c>
      <c r="J27" s="17">
        <f>IF(I27="","",INDEX(Histórico!$D$8:$D$1007,MATCH(I27,Histórico!$A$8:$A$1007,0)))</f>
        <v>380.2</v>
      </c>
      <c r="K27" s="1" t="str">
        <f t="shared" si="2"/>
        <v>15/10</v>
      </c>
      <c r="L27" s="1"/>
      <c r="M27" s="15">
        <f>IF(OR(M28="",COUNTIFS(Histórico!$A$8:$A$1007,"&lt;"&amp;M28,Histórico!$A$8:$A$1007,"&gt;0",Histórico!$E$8:$E$1007,"&gt;0")=0),"",_xlfn.MAXIFS(Histórico!$A$8:$A$1007,Histórico!$A$8:$A$1007,"&lt;"&amp;M28,Histórico!$E$8:$E$1007,"&gt;0"))</f>
        <v>46311</v>
      </c>
      <c r="N27" s="18">
        <f>IF(M27="","",INDEX(Histórico!$E$8:$E$1007,MATCH(M27,Histórico!$A$8:$A$1007,0)))</f>
        <v>5.0826</v>
      </c>
      <c r="O27" s="1" t="str">
        <f t="shared" si="3"/>
        <v>16/10</v>
      </c>
      <c r="Q27" s="17">
        <f>IF(AND(ISNUMBER(Histórico!$A27),ISNUMBER(Histórico!B27),Histórico!B27&gt;0),Histórico!B27,Q26)</f>
        <v>154.7</v>
      </c>
      <c r="R27" s="17">
        <f>IF(AND(ISNUMBER(Histórico!$A27),ISNUMBER(Histórico!C27),Histórico!C27&gt;0),Histórico!C27,R26)</f>
        <v>64.81</v>
      </c>
      <c r="S27" s="17">
        <f>IF(AND(ISNUMBER(Histórico!$A27),ISNUMBER(Histórico!D27),Histórico!D27&gt;0),Histórico!D27,S26)</f>
        <v>380.2</v>
      </c>
      <c r="T27" s="18">
        <f>IF(AND(ISNUMBER(Histórico!$A27),ISNUMBER(Histórico!E27),Histórico!E27&gt;0),Histórico!E27,T26)</f>
        <v>5.0521</v>
      </c>
      <c r="U27" s="15">
        <f>IF(ISNUMBER(Histórico!A27),Histórico!A27,U26)</f>
        <v>46310</v>
      </c>
    </row>
    <row r="28" spans="1:21" ht="22.95" customHeight="1">
      <c r="A28" s="15">
        <f>IF(OR(A29="",COUNTIFS(Histórico!$A$8:$A$1007,"&lt;"&amp;A29,Histórico!$A$8:$A$1007,"&gt;0",Histórico!$B$8:$B$1007,"&gt;0")=0),"",_xlfn.MAXIFS(Histórico!$A$8:$A$1007,Histórico!$A$8:$A$1007,"&lt;"&amp;A29,Histórico!$B$8:$B$1007,"&gt;0"))</f>
        <v>46311</v>
      </c>
      <c r="B28" s="17">
        <f>IF(A28="","",INDEX(Histórico!$B$8:$B$1007,MATCH(A28,Histórico!$A$8:$A$1007,0)))</f>
        <v>154.61</v>
      </c>
      <c r="C28" s="1" t="str">
        <f t="shared" si="0"/>
        <v>16/10</v>
      </c>
      <c r="D28" s="1"/>
      <c r="E28" s="15">
        <f>IF(OR(E29="",COUNTIFS(Histórico!$A$8:$A$1007,"&lt;"&amp;E29,Histórico!$A$8:$A$1007,"&gt;0",Histórico!$C$8:$C$1007,"&gt;0")=0),"",_xlfn.MAXIFS(Histórico!$A$8:$A$1007,Histórico!$A$8:$A$1007,"&lt;"&amp;E29,Histórico!$C$8:$C$1007,"&gt;0"))</f>
        <v>46311</v>
      </c>
      <c r="F28" s="17">
        <f>IF(E28="","",INDEX(Histórico!$C$8:$C$1007,MATCH(E28,Histórico!$A$8:$A$1007,0)))</f>
        <v>64.85</v>
      </c>
      <c r="G28" s="1" t="str">
        <f t="shared" si="1"/>
        <v>16/10</v>
      </c>
      <c r="H28" s="1"/>
      <c r="I28" s="15">
        <f>IF(OR(I29="",COUNTIFS(Histórico!$A$8:$A$1007,"&lt;"&amp;I29,Histórico!$A$8:$A$1007,"&gt;0",Histórico!$D$8:$D$1007,"&gt;0")=0),"",_xlfn.MAXIFS(Histórico!$A$8:$A$1007,Histórico!$A$8:$A$1007,"&lt;"&amp;I29,Histórico!$D$8:$D$1007,"&gt;0"))</f>
        <v>46311</v>
      </c>
      <c r="J28" s="17">
        <f>IF(I28="","",INDEX(Histórico!$D$8:$D$1007,MATCH(I28,Histórico!$A$8:$A$1007,0)))</f>
        <v>380.7</v>
      </c>
      <c r="K28" s="1" t="str">
        <f t="shared" si="2"/>
        <v>16/10</v>
      </c>
      <c r="L28" s="1"/>
      <c r="M28" s="15">
        <f>IF(OR(M29="",COUNTIFS(Histórico!$A$8:$A$1007,"&lt;"&amp;M29,Histórico!$A$8:$A$1007,"&gt;0",Histórico!$E$8:$E$1007,"&gt;0")=0),"",_xlfn.MAXIFS(Histórico!$A$8:$A$1007,Histórico!$A$8:$A$1007,"&lt;"&amp;M29,Histórico!$E$8:$E$1007,"&gt;0"))</f>
        <v>46314</v>
      </c>
      <c r="N28" s="18">
        <f>IF(M28="","",INDEX(Histórico!$E$8:$E$1007,MATCH(M28,Histórico!$A$8:$A$1007,0)))</f>
        <v>5.0564</v>
      </c>
      <c r="O28" s="1" t="str">
        <f t="shared" si="3"/>
        <v>19/10</v>
      </c>
      <c r="Q28" s="17">
        <f>IF(AND(ISNUMBER(Histórico!$A28),ISNUMBER(Histórico!B28),Histórico!B28&gt;0),Histórico!B28,Q27)</f>
        <v>154.61</v>
      </c>
      <c r="R28" s="17">
        <f>IF(AND(ISNUMBER(Histórico!$A28),ISNUMBER(Histórico!C28),Histórico!C28&gt;0),Histórico!C28,R27)</f>
        <v>64.85</v>
      </c>
      <c r="S28" s="17">
        <f>IF(AND(ISNUMBER(Histórico!$A28),ISNUMBER(Histórico!D28),Histórico!D28&gt;0),Histórico!D28,S27)</f>
        <v>380.7</v>
      </c>
      <c r="T28" s="18">
        <f>IF(AND(ISNUMBER(Histórico!$A28),ISNUMBER(Histórico!E28),Histórico!E28&gt;0),Histórico!E28,T27)</f>
        <v>5.0826</v>
      </c>
      <c r="U28" s="15">
        <f>IF(ISNUMBER(Histórico!A28),Histórico!A28,U27)</f>
        <v>46311</v>
      </c>
    </row>
    <row r="29" spans="1:21" ht="22.95" customHeight="1">
      <c r="A29" s="15">
        <f>IF(OR(A30="",COUNTIFS(Histórico!$A$8:$A$1007,"&lt;"&amp;A30,Histórico!$A$8:$A$1007,"&gt;0",Histórico!$B$8:$B$1007,"&gt;0")=0),"",_xlfn.MAXIFS(Histórico!$A$8:$A$1007,Histórico!$A$8:$A$1007,"&lt;"&amp;A30,Histórico!$B$8:$B$1007,"&gt;0"))</f>
        <v>46314</v>
      </c>
      <c r="B29" s="17">
        <f>IF(A29="","",INDEX(Histórico!$B$8:$B$1007,MATCH(A29,Histórico!$A$8:$A$1007,0)))</f>
        <v>154.24</v>
      </c>
      <c r="C29" s="1" t="str">
        <f t="shared" si="0"/>
        <v>19/10</v>
      </c>
      <c r="D29" s="1"/>
      <c r="E29" s="15">
        <f>IF(OR(E30="",COUNTIFS(Histórico!$A$8:$A$1007,"&lt;"&amp;E30,Histórico!$A$8:$A$1007,"&gt;0",Histórico!$C$8:$C$1007,"&gt;0")=0),"",_xlfn.MAXIFS(Histórico!$A$8:$A$1007,Histórico!$A$8:$A$1007,"&lt;"&amp;E30,Histórico!$C$8:$C$1007,"&gt;0"))</f>
        <v>46314</v>
      </c>
      <c r="F29" s="17">
        <f>IF(E29="","",INDEX(Histórico!$C$8:$C$1007,MATCH(E29,Histórico!$A$8:$A$1007,0)))</f>
        <v>64.74</v>
      </c>
      <c r="G29" s="1" t="str">
        <f t="shared" si="1"/>
        <v>19/10</v>
      </c>
      <c r="H29" s="1"/>
      <c r="I29" s="15">
        <f>IF(OR(I30="",COUNTIFS(Histórico!$A$8:$A$1007,"&lt;"&amp;I30,Histórico!$A$8:$A$1007,"&gt;0",Histórico!$D$8:$D$1007,"&gt;0")=0),"",_xlfn.MAXIFS(Histórico!$A$8:$A$1007,Histórico!$A$8:$A$1007,"&lt;"&amp;I30,Histórico!$D$8:$D$1007,"&gt;0"))</f>
        <v>46314</v>
      </c>
      <c r="J29" s="17">
        <f>IF(I29="","",INDEX(Histórico!$D$8:$D$1007,MATCH(I29,Histórico!$A$8:$A$1007,0)))</f>
        <v>380.7</v>
      </c>
      <c r="K29" s="1" t="str">
        <f t="shared" si="2"/>
        <v>19/10</v>
      </c>
      <c r="L29" s="1"/>
      <c r="M29" s="15">
        <f>IF(OR(M30="",COUNTIFS(Histórico!$A$8:$A$1007,"&lt;"&amp;M30,Histórico!$A$8:$A$1007,"&gt;0",Histórico!$E$8:$E$1007,"&gt;0")=0),"",_xlfn.MAXIFS(Histórico!$A$8:$A$1007,Histórico!$A$8:$A$1007,"&lt;"&amp;M30,Histórico!$E$8:$E$1007,"&gt;0"))</f>
        <v>46315</v>
      </c>
      <c r="N29" s="18">
        <f>IF(M29="","",INDEX(Histórico!$E$8:$E$1007,MATCH(M29,Histórico!$A$8:$A$1007,0)))</f>
        <v>5.014</v>
      </c>
      <c r="O29" s="1" t="str">
        <f t="shared" si="3"/>
        <v>20/10</v>
      </c>
      <c r="Q29" s="17">
        <f>IF(AND(ISNUMBER(Histórico!$A29),ISNUMBER(Histórico!B29),Histórico!B29&gt;0),Histórico!B29,Q28)</f>
        <v>154.24</v>
      </c>
      <c r="R29" s="17">
        <f>IF(AND(ISNUMBER(Histórico!$A29),ISNUMBER(Histórico!C29),Histórico!C29&gt;0),Histórico!C29,R28)</f>
        <v>64.74</v>
      </c>
      <c r="S29" s="17">
        <f>IF(AND(ISNUMBER(Histórico!$A29),ISNUMBER(Histórico!D29),Histórico!D29&gt;0),Histórico!D29,S28)</f>
        <v>380.7</v>
      </c>
      <c r="T29" s="18">
        <f>IF(AND(ISNUMBER(Histórico!$A29),ISNUMBER(Histórico!E29),Histórico!E29&gt;0),Histórico!E29,T28)</f>
        <v>5.0564</v>
      </c>
      <c r="U29" s="15">
        <f>IF(ISNUMBER(Histórico!A29),Histórico!A29,U28)</f>
        <v>46314</v>
      </c>
    </row>
    <row r="30" spans="1:21" ht="22.95" customHeight="1">
      <c r="A30" s="15">
        <f>IF(OR(A31="",COUNTIFS(Histórico!$A$8:$A$1007,"&lt;"&amp;A31,Histórico!$A$8:$A$1007,"&gt;0",Histórico!$B$8:$B$1007,"&gt;0")=0),"",_xlfn.MAXIFS(Histórico!$A$8:$A$1007,Histórico!$A$8:$A$1007,"&lt;"&amp;A31,Histórico!$B$8:$B$1007,"&gt;0"))</f>
        <v>46315</v>
      </c>
      <c r="B30" s="17">
        <f>IF(A30="","",INDEX(Histórico!$B$8:$B$1007,MATCH(A30,Histórico!$A$8:$A$1007,0)))</f>
        <v>153.4</v>
      </c>
      <c r="C30" s="1" t="str">
        <f t="shared" si="0"/>
        <v>20/10</v>
      </c>
      <c r="D30" s="1"/>
      <c r="E30" s="15">
        <f>IF(OR(E31="",COUNTIFS(Histórico!$A$8:$A$1007,"&lt;"&amp;E31,Histórico!$A$8:$A$1007,"&gt;0",Histórico!$C$8:$C$1007,"&gt;0")=0),"",_xlfn.MAXIFS(Histórico!$A$8:$A$1007,Histórico!$A$8:$A$1007,"&lt;"&amp;E31,Histórico!$C$8:$C$1007,"&gt;0"))</f>
        <v>46315</v>
      </c>
      <c r="F30" s="17">
        <f>IF(E30="","",INDEX(Histórico!$C$8:$C$1007,MATCH(E30,Histórico!$A$8:$A$1007,0)))</f>
        <v>64.34</v>
      </c>
      <c r="G30" s="1" t="str">
        <f t="shared" si="1"/>
        <v>20/10</v>
      </c>
      <c r="H30" s="1"/>
      <c r="I30" s="15">
        <f>IF(OR(I31="",COUNTIFS(Histórico!$A$8:$A$1007,"&lt;"&amp;I31,Histórico!$A$8:$A$1007,"&gt;0",Histórico!$D$8:$D$1007,"&gt;0")=0),"",_xlfn.MAXIFS(Histórico!$A$8:$A$1007,Histórico!$A$8:$A$1007,"&lt;"&amp;I31,Histórico!$D$8:$D$1007,"&gt;0"))</f>
        <v>46315</v>
      </c>
      <c r="J30" s="17">
        <f>IF(I30="","",INDEX(Histórico!$D$8:$D$1007,MATCH(I30,Histórico!$A$8:$A$1007,0)))</f>
        <v>380.45</v>
      </c>
      <c r="K30" s="1" t="str">
        <f t="shared" si="2"/>
        <v>20/10</v>
      </c>
      <c r="L30" s="1"/>
      <c r="M30" s="15">
        <f>IF(OR(M31="",COUNTIFS(Histórico!$A$8:$A$1007,"&lt;"&amp;M31,Histórico!$A$8:$A$1007,"&gt;0",Histórico!$E$8:$E$1007,"&gt;0")=0),"",_xlfn.MAXIFS(Histórico!$A$8:$A$1007,Histórico!$A$8:$A$1007,"&lt;"&amp;M31,Histórico!$E$8:$E$1007,"&gt;0"))</f>
        <v>46316</v>
      </c>
      <c r="N30" s="18">
        <f>IF(M30="","",INDEX(Histórico!$E$8:$E$1007,MATCH(M30,Histórico!$A$8:$A$1007,0)))</f>
        <v>5.0277</v>
      </c>
      <c r="O30" s="1" t="str">
        <f t="shared" si="3"/>
        <v>21/10</v>
      </c>
      <c r="Q30" s="17">
        <f>IF(AND(ISNUMBER(Histórico!$A30),ISNUMBER(Histórico!B30),Histórico!B30&gt;0),Histórico!B30,Q29)</f>
        <v>153.4</v>
      </c>
      <c r="R30" s="17">
        <f>IF(AND(ISNUMBER(Histórico!$A30),ISNUMBER(Histórico!C30),Histórico!C30&gt;0),Histórico!C30,R29)</f>
        <v>64.34</v>
      </c>
      <c r="S30" s="17">
        <f>IF(AND(ISNUMBER(Histórico!$A30),ISNUMBER(Histórico!D30),Histórico!D30&gt;0),Histórico!D30,S29)</f>
        <v>380.45</v>
      </c>
      <c r="T30" s="18">
        <f>IF(AND(ISNUMBER(Histórico!$A30),ISNUMBER(Histórico!E30),Histórico!E30&gt;0),Histórico!E30,T29)</f>
        <v>5.014</v>
      </c>
      <c r="U30" s="15">
        <f>IF(ISNUMBER(Histórico!A30),Histórico!A30,U29)</f>
        <v>46315</v>
      </c>
    </row>
    <row r="31" spans="1:21" ht="22.95" customHeight="1">
      <c r="A31" s="15">
        <f>IF(OR(A32="",COUNTIFS(Histórico!$A$8:$A$1007,"&lt;"&amp;A32,Histórico!$A$8:$A$1007,"&gt;0",Histórico!$B$8:$B$1007,"&gt;0")=0),"",_xlfn.MAXIFS(Histórico!$A$8:$A$1007,Histórico!$A$8:$A$1007,"&lt;"&amp;A32,Histórico!$B$8:$B$1007,"&gt;0"))</f>
        <v>46316</v>
      </c>
      <c r="B31" s="17">
        <f>IF(A31="","",INDEX(Histórico!$B$8:$B$1007,MATCH(A31,Histórico!$A$8:$A$1007,0)))</f>
        <v>152.13</v>
      </c>
      <c r="C31" s="1" t="str">
        <f t="shared" si="0"/>
        <v>21/10</v>
      </c>
      <c r="D31" s="1"/>
      <c r="E31" s="15">
        <f>IF(OR(E32="",COUNTIFS(Histórico!$A$8:$A$1007,"&lt;"&amp;E32,Histórico!$A$8:$A$1007,"&gt;0",Histórico!$C$8:$C$1007,"&gt;0")=0),"",_xlfn.MAXIFS(Histórico!$A$8:$A$1007,Histórico!$A$8:$A$1007,"&lt;"&amp;E32,Histórico!$C$8:$C$1007,"&gt;0"))</f>
        <v>46316</v>
      </c>
      <c r="F31" s="17">
        <f>IF(E31="","",INDEX(Histórico!$C$8:$C$1007,MATCH(E31,Histórico!$A$8:$A$1007,0)))</f>
        <v>64.3</v>
      </c>
      <c r="G31" s="1" t="str">
        <f t="shared" si="1"/>
        <v>21/10</v>
      </c>
      <c r="H31" s="1"/>
      <c r="I31" s="15">
        <f>IF(OR(I32="",COUNTIFS(Histórico!$A$8:$A$1007,"&lt;"&amp;I32,Histórico!$A$8:$A$1007,"&gt;0",Histórico!$D$8:$D$1007,"&gt;0")=0),"",_xlfn.MAXIFS(Histórico!$A$8:$A$1007,Histórico!$A$8:$A$1007,"&lt;"&amp;I32,Histórico!$D$8:$D$1007,"&gt;0"))</f>
        <v>46316</v>
      </c>
      <c r="J31" s="17">
        <f>IF(I31="","",INDEX(Histórico!$D$8:$D$1007,MATCH(I31,Histórico!$A$8:$A$1007,0)))</f>
        <v>380.4</v>
      </c>
      <c r="K31" s="1" t="str">
        <f t="shared" si="2"/>
        <v>21/10</v>
      </c>
      <c r="L31" s="1"/>
      <c r="M31" s="15">
        <f>IF(OR(M32="",COUNTIFS(Histórico!$A$8:$A$1007,"&lt;"&amp;M32,Histórico!$A$8:$A$1007,"&gt;0",Histórico!$E$8:$E$1007,"&gt;0")=0),"",_xlfn.MAXIFS(Histórico!$A$8:$A$1007,Histórico!$A$8:$A$1007,"&lt;"&amp;M32,Histórico!$E$8:$E$1007,"&gt;0"))</f>
        <v>46317</v>
      </c>
      <c r="N31" s="18">
        <f>IF(M31="","",INDEX(Histórico!$E$8:$E$1007,MATCH(M31,Histórico!$A$8:$A$1007,0)))</f>
        <v>5.0383</v>
      </c>
      <c r="O31" s="1" t="str">
        <f t="shared" si="3"/>
        <v>22/10</v>
      </c>
      <c r="Q31" s="17">
        <f>IF(AND(ISNUMBER(Histórico!$A31),ISNUMBER(Histórico!B31),Histórico!B31&gt;0),Histórico!B31,Q30)</f>
        <v>152.13</v>
      </c>
      <c r="R31" s="17">
        <f>IF(AND(ISNUMBER(Histórico!$A31),ISNUMBER(Histórico!C31),Histórico!C31&gt;0),Histórico!C31,R30)</f>
        <v>64.3</v>
      </c>
      <c r="S31" s="17">
        <f>IF(AND(ISNUMBER(Histórico!$A31),ISNUMBER(Histórico!D31),Histórico!D31&gt;0),Histórico!D31,S30)</f>
        <v>380.4</v>
      </c>
      <c r="T31" s="18">
        <f>IF(AND(ISNUMBER(Histórico!$A31),ISNUMBER(Histórico!E31),Histórico!E31&gt;0),Histórico!E31,T30)</f>
        <v>5.0277</v>
      </c>
      <c r="U31" s="15">
        <f>IF(ISNUMBER(Histórico!A31),Histórico!A31,U30)</f>
        <v>46316</v>
      </c>
    </row>
    <row r="32" spans="1:21" ht="22.95" customHeight="1">
      <c r="A32" s="15">
        <f>IF(OR(A33="",COUNTIFS(Histórico!$A$8:$A$1007,"&lt;"&amp;A33,Histórico!$A$8:$A$1007,"&gt;0",Histórico!$B$8:$B$1007,"&gt;0")=0),"",_xlfn.MAXIFS(Histórico!$A$8:$A$1007,Histórico!$A$8:$A$1007,"&lt;"&amp;A33,Histórico!$B$8:$B$1007,"&gt;0"))</f>
        <v>46317</v>
      </c>
      <c r="B32" s="17">
        <f>IF(A32="","",INDEX(Histórico!$B$8:$B$1007,MATCH(A32,Histórico!$A$8:$A$1007,0)))</f>
        <v>151.92</v>
      </c>
      <c r="C32" s="1" t="str">
        <f t="shared" si="0"/>
        <v>22/10</v>
      </c>
      <c r="D32" s="1"/>
      <c r="E32" s="15">
        <f>IF(OR(E33="",COUNTIFS(Histórico!$A$8:$A$1007,"&lt;"&amp;E33,Histórico!$A$8:$A$1007,"&gt;0",Histórico!$C$8:$C$1007,"&gt;0")=0),"",_xlfn.MAXIFS(Histórico!$A$8:$A$1007,Histórico!$A$8:$A$1007,"&lt;"&amp;E33,Histórico!$C$8:$C$1007,"&gt;0"))</f>
        <v>46317</v>
      </c>
      <c r="F32" s="17">
        <f>IF(E32="","",INDEX(Histórico!$C$8:$C$1007,MATCH(E32,Histórico!$A$8:$A$1007,0)))</f>
        <v>64.24</v>
      </c>
      <c r="G32" s="1" t="str">
        <f t="shared" si="1"/>
        <v>22/10</v>
      </c>
      <c r="H32" s="1"/>
      <c r="I32" s="15">
        <f>IF(OR(I33="",COUNTIFS(Histórico!$A$8:$A$1007,"&lt;"&amp;I33,Histórico!$A$8:$A$1007,"&gt;0",Histórico!$D$8:$D$1007,"&gt;0")=0),"",_xlfn.MAXIFS(Histórico!$A$8:$A$1007,Histórico!$A$8:$A$1007,"&lt;"&amp;I33,Histórico!$D$8:$D$1007,"&gt;0"))</f>
        <v>46317</v>
      </c>
      <c r="J32" s="17">
        <f>IF(I32="","",INDEX(Histórico!$D$8:$D$1007,MATCH(I32,Histórico!$A$8:$A$1007,0)))</f>
        <v>380.55</v>
      </c>
      <c r="K32" s="1" t="str">
        <f t="shared" si="2"/>
        <v>22/10</v>
      </c>
      <c r="L32" s="1"/>
      <c r="M32" s="15">
        <f>IF(OR(M33="",COUNTIFS(Histórico!$A$8:$A$1007,"&lt;"&amp;M33,Histórico!$A$8:$A$1007,"&gt;0",Histórico!$E$8:$E$1007,"&gt;0")=0),"",_xlfn.MAXIFS(Histórico!$A$8:$A$1007,Histórico!$A$8:$A$1007,"&lt;"&amp;M33,Histórico!$E$8:$E$1007,"&gt;0"))</f>
        <v>46318</v>
      </c>
      <c r="N32" s="18">
        <f>IF(M32="","",INDEX(Histórico!$E$8:$E$1007,MATCH(M32,Histórico!$A$8:$A$1007,0)))</f>
        <v>5.0377</v>
      </c>
      <c r="O32" s="1" t="str">
        <f t="shared" si="3"/>
        <v>23/10</v>
      </c>
      <c r="Q32" s="17">
        <f>IF(AND(ISNUMBER(Histórico!$A32),ISNUMBER(Histórico!B32),Histórico!B32&gt;0),Histórico!B32,Q31)</f>
        <v>151.92</v>
      </c>
      <c r="R32" s="17">
        <f>IF(AND(ISNUMBER(Histórico!$A32),ISNUMBER(Histórico!C32),Histórico!C32&gt;0),Histórico!C32,R31)</f>
        <v>64.24</v>
      </c>
      <c r="S32" s="17">
        <f>IF(AND(ISNUMBER(Histórico!$A32),ISNUMBER(Histórico!D32),Histórico!D32&gt;0),Histórico!D32,S31)</f>
        <v>380.55</v>
      </c>
      <c r="T32" s="18">
        <f>IF(AND(ISNUMBER(Histórico!$A32),ISNUMBER(Histórico!E32),Histórico!E32&gt;0),Histórico!E32,T31)</f>
        <v>5.0383</v>
      </c>
      <c r="U32" s="15">
        <f>IF(ISNUMBER(Histórico!A32),Histórico!A32,U31)</f>
        <v>46317</v>
      </c>
    </row>
    <row r="33" spans="1:21" ht="22.95" customHeight="1">
      <c r="A33" s="15">
        <f>IF(OR(A34="",COUNTIFS(Histórico!$A$8:$A$1007,"&lt;"&amp;A34,Histórico!$A$8:$A$1007,"&gt;0",Histórico!$B$8:$B$1007,"&gt;0")=0),"",_xlfn.MAXIFS(Histórico!$A$8:$A$1007,Histórico!$A$8:$A$1007,"&lt;"&amp;A34,Histórico!$B$8:$B$1007,"&gt;0"))</f>
        <v>46318</v>
      </c>
      <c r="B33" s="17">
        <f>IF(A33="","",INDEX(Histórico!$B$8:$B$1007,MATCH(A33,Histórico!$A$8:$A$1007,0)))</f>
        <v>152.41</v>
      </c>
      <c r="C33" s="1" t="str">
        <f t="shared" si="0"/>
        <v>23/10</v>
      </c>
      <c r="D33" s="1"/>
      <c r="E33" s="15">
        <f>IF(OR(E34="",COUNTIFS(Histórico!$A$8:$A$1007,"&lt;"&amp;E34,Histórico!$A$8:$A$1007,"&gt;0",Histórico!$C$8:$C$1007,"&gt;0")=0),"",_xlfn.MAXIFS(Histórico!$A$8:$A$1007,Histórico!$A$8:$A$1007,"&lt;"&amp;E34,Histórico!$C$8:$C$1007,"&gt;0"))</f>
        <v>46318</v>
      </c>
      <c r="F33" s="17">
        <f>IF(E33="","",INDEX(Histórico!$C$8:$C$1007,MATCH(E33,Histórico!$A$8:$A$1007,0)))</f>
        <v>64.27</v>
      </c>
      <c r="G33" s="1" t="str">
        <f t="shared" si="1"/>
        <v>23/10</v>
      </c>
      <c r="H33" s="1"/>
      <c r="I33" s="15">
        <f>IF(OR(I34="",COUNTIFS(Histórico!$A$8:$A$1007,"&lt;"&amp;I34,Histórico!$A$8:$A$1007,"&gt;0",Histórico!$D$8:$D$1007,"&gt;0")=0),"",_xlfn.MAXIFS(Histórico!$A$8:$A$1007,Histórico!$A$8:$A$1007,"&lt;"&amp;I34,Histórico!$D$8:$D$1007,"&gt;0"))</f>
        <v>46318</v>
      </c>
      <c r="J33" s="17">
        <f>IF(I33="","",INDEX(Histórico!$D$8:$D$1007,MATCH(I33,Histórico!$A$8:$A$1007,0)))</f>
        <v>381.4</v>
      </c>
      <c r="K33" s="1" t="str">
        <f t="shared" si="2"/>
        <v>23/10</v>
      </c>
      <c r="L33" s="1"/>
      <c r="M33" s="15">
        <f>IF(OR(M34="",COUNTIFS(Histórico!$A$8:$A$1007,"&lt;"&amp;M34,Histórico!$A$8:$A$1007,"&gt;0",Histórico!$E$8:$E$1007,"&gt;0")=0),"",_xlfn.MAXIFS(Histórico!$A$8:$A$1007,Histórico!$A$8:$A$1007,"&lt;"&amp;M34,Histórico!$E$8:$E$1007,"&gt;0"))</f>
        <v>46321</v>
      </c>
      <c r="N33" s="18">
        <f>IF(M33="","",INDEX(Histórico!$E$8:$E$1007,MATCH(M33,Histórico!$A$8:$A$1007,0)))</f>
        <v>5.5007</v>
      </c>
      <c r="O33" s="1" t="str">
        <f t="shared" si="3"/>
        <v>26/10</v>
      </c>
      <c r="Q33" s="17">
        <f>IF(AND(ISNUMBER(Histórico!$A33),ISNUMBER(Histórico!B33),Histórico!B33&gt;0),Histórico!B33,Q32)</f>
        <v>152.41</v>
      </c>
      <c r="R33" s="17">
        <f>IF(AND(ISNUMBER(Histórico!$A33),ISNUMBER(Histórico!C33),Histórico!C33&gt;0),Histórico!C33,R32)</f>
        <v>64.27</v>
      </c>
      <c r="S33" s="17">
        <f>IF(AND(ISNUMBER(Histórico!$A33),ISNUMBER(Histórico!D33),Histórico!D33&gt;0),Histórico!D33,S32)</f>
        <v>381.4</v>
      </c>
      <c r="T33" s="18">
        <f>IF(AND(ISNUMBER(Histórico!$A33),ISNUMBER(Histórico!E33),Histórico!E33&gt;0),Histórico!E33,T32)</f>
        <v>5.0377</v>
      </c>
      <c r="U33" s="15">
        <f>IF(ISNUMBER(Histórico!A33),Histórico!A33,U32)</f>
        <v>46318</v>
      </c>
    </row>
    <row r="34" spans="1:21" ht="22.95" customHeight="1">
      <c r="A34" s="15">
        <f>IF(OR(A35="",COUNTIFS(Histórico!$A$8:$A$1007,"&lt;"&amp;A35,Histórico!$A$8:$A$1007,"&gt;0",Histórico!$B$8:$B$1007,"&gt;0")=0),"",_xlfn.MAXIFS(Histórico!$A$8:$A$1007,Histórico!$A$8:$A$1007,"&lt;"&amp;A35,Histórico!$B$8:$B$1007,"&gt;0"))</f>
        <v>46321</v>
      </c>
      <c r="B34" s="17">
        <f>IF(A34="","",INDEX(Histórico!$B$8:$B$1007,MATCH(A34,Histórico!$A$8:$A$1007,0)))</f>
        <v>155.55</v>
      </c>
      <c r="C34" s="1" t="str">
        <f t="shared" si="0"/>
        <v>26/10</v>
      </c>
      <c r="D34" s="1"/>
      <c r="E34" s="15">
        <f>IF(OR(E35="",COUNTIFS(Histórico!$A$8:$A$1007,"&lt;"&amp;E35,Histórico!$A$8:$A$1007,"&gt;0",Histórico!$C$8:$C$1007,"&gt;0")=0),"",_xlfn.MAXIFS(Histórico!$A$8:$A$1007,Histórico!$A$8:$A$1007,"&lt;"&amp;E35,Histórico!$C$8:$C$1007,"&gt;0"))</f>
        <v>46321</v>
      </c>
      <c r="F34" s="17">
        <f>IF(E34="","",INDEX(Histórico!$C$8:$C$1007,MATCH(E34,Histórico!$A$8:$A$1007,0)))</f>
        <v>64.24</v>
      </c>
      <c r="G34" s="1" t="str">
        <f t="shared" si="1"/>
        <v>26/10</v>
      </c>
      <c r="H34" s="1"/>
      <c r="I34" s="15">
        <f>IF(OR(I35="",COUNTIFS(Histórico!$A$8:$A$1007,"&lt;"&amp;I35,Histórico!$A$8:$A$1007,"&gt;0",Histórico!$D$8:$D$1007,"&gt;0")=0),"",_xlfn.MAXIFS(Histórico!$A$8:$A$1007,Histórico!$A$8:$A$1007,"&lt;"&amp;I35,Histórico!$D$8:$D$1007,"&gt;0"))</f>
        <v>46321</v>
      </c>
      <c r="J34" s="17">
        <f>IF(I34="","",INDEX(Histórico!$D$8:$D$1007,MATCH(I34,Histórico!$A$8:$A$1007,0)))</f>
        <v>381.4</v>
      </c>
      <c r="K34" s="1" t="str">
        <f t="shared" si="2"/>
        <v>26/10</v>
      </c>
      <c r="L34" s="1"/>
      <c r="M34" s="15">
        <f>IF(OR(M35="",COUNTIFS(Histórico!$A$8:$A$1007,"&lt;"&amp;M35,Histórico!$A$8:$A$1007,"&gt;0",Histórico!$E$8:$E$1007,"&gt;0")=0),"",_xlfn.MAXIFS(Histórico!$A$8:$A$1007,Histórico!$A$8:$A$1007,"&lt;"&amp;M35,Histórico!$E$8:$E$1007,"&gt;0"))</f>
        <v>46322</v>
      </c>
      <c r="N34" s="18">
        <f>IF(M34="","",INDEX(Histórico!$E$8:$E$1007,MATCH(M34,Histórico!$A$8:$A$1007,0)))</f>
        <v>5.3346</v>
      </c>
      <c r="O34" s="1" t="str">
        <f t="shared" si="3"/>
        <v>27/10</v>
      </c>
      <c r="Q34" s="17">
        <f>IF(AND(ISNUMBER(Histórico!$A34),ISNUMBER(Histórico!B34),Histórico!B34&gt;0),Histórico!B34,Q33)</f>
        <v>155.55</v>
      </c>
      <c r="R34" s="17">
        <f>IF(AND(ISNUMBER(Histórico!$A34),ISNUMBER(Histórico!C34),Histórico!C34&gt;0),Histórico!C34,R33)</f>
        <v>64.24</v>
      </c>
      <c r="S34" s="17">
        <f>IF(AND(ISNUMBER(Histórico!$A34),ISNUMBER(Histórico!D34),Histórico!D34&gt;0),Histórico!D34,S33)</f>
        <v>381.4</v>
      </c>
      <c r="T34" s="18">
        <f>IF(AND(ISNUMBER(Histórico!$A34),ISNUMBER(Histórico!E34),Histórico!E34&gt;0),Histórico!E34,T33)</f>
        <v>5.5007</v>
      </c>
      <c r="U34" s="15">
        <f>IF(ISNUMBER(Histórico!A34),Histórico!A34,U33)</f>
        <v>46321</v>
      </c>
    </row>
    <row r="35" spans="1:21" ht="22.95" customHeight="1">
      <c r="A35" s="15">
        <f>IF(OR(A36="",COUNTIFS(Histórico!$A$8:$A$1007,"&lt;"&amp;A36,Histórico!$A$8:$A$1007,"&gt;0",Histórico!$B$8:$B$1007,"&gt;0")=0),"",_xlfn.MAXIFS(Histórico!$A$8:$A$1007,Histórico!$A$8:$A$1007,"&lt;"&amp;A36,Histórico!$B$8:$B$1007,"&gt;0"))</f>
        <v>46322</v>
      </c>
      <c r="B35" s="17">
        <f>IF(A35="","",INDEX(Histórico!$B$8:$B$1007,MATCH(A35,Histórico!$A$8:$A$1007,0)))</f>
        <v>157.41</v>
      </c>
      <c r="C35" s="1" t="str">
        <f t="shared" si="0"/>
        <v>27/10</v>
      </c>
      <c r="D35" s="1"/>
      <c r="E35" s="15">
        <f>IF(OR(E36="",COUNTIFS(Histórico!$A$8:$A$1007,"&lt;"&amp;E36,Histórico!$A$8:$A$1007,"&gt;0",Histórico!$C$8:$C$1007,"&gt;0")=0),"",_xlfn.MAXIFS(Histórico!$A$8:$A$1007,Histórico!$A$8:$A$1007,"&lt;"&amp;E36,Histórico!$C$8:$C$1007,"&gt;0"))</f>
        <v>46322</v>
      </c>
      <c r="F35" s="17">
        <f>IF(E35="","",INDEX(Histórico!$C$8:$C$1007,MATCH(E35,Histórico!$A$8:$A$1007,0)))</f>
        <v>64.87</v>
      </c>
      <c r="G35" s="1" t="str">
        <f t="shared" si="1"/>
        <v>27/10</v>
      </c>
      <c r="H35" s="1"/>
      <c r="I35" s="15">
        <f>IF(OR(I36="",COUNTIFS(Histórico!$A$8:$A$1007,"&lt;"&amp;I36,Histórico!$A$8:$A$1007,"&gt;0",Histórico!$D$8:$D$1007,"&gt;0")=0),"",_xlfn.MAXIFS(Histórico!$A$8:$A$1007,Histórico!$A$8:$A$1007,"&lt;"&amp;I36,Histórico!$D$8:$D$1007,"&gt;0"))</f>
        <v>46322</v>
      </c>
      <c r="J35" s="17">
        <f>IF(I35="","",INDEX(Histórico!$D$8:$D$1007,MATCH(I35,Histórico!$A$8:$A$1007,0)))</f>
        <v>386.3</v>
      </c>
      <c r="K35" s="1" t="str">
        <f t="shared" si="2"/>
        <v>27/10</v>
      </c>
      <c r="L35" s="1"/>
      <c r="M35" s="15">
        <f>IF(OR(M36="",COUNTIFS(Histórico!$A$8:$A$1007,"&lt;"&amp;M36,Histórico!$A$8:$A$1007,"&gt;0",Histórico!$E$8:$E$1007,"&gt;0")=0),"",_xlfn.MAXIFS(Histórico!$A$8:$A$1007,Histórico!$A$8:$A$1007,"&lt;"&amp;M36,Histórico!$E$8:$E$1007,"&gt;0"))</f>
        <v>46323</v>
      </c>
      <c r="N35" s="18">
        <f>IF(M35="","",INDEX(Histórico!$E$8:$E$1007,MATCH(M35,Histórico!$A$8:$A$1007,0)))</f>
        <v>5.342</v>
      </c>
      <c r="O35" s="1" t="str">
        <f t="shared" si="3"/>
        <v>28/10</v>
      </c>
      <c r="Q35" s="17">
        <f>IF(AND(ISNUMBER(Histórico!$A35),ISNUMBER(Histórico!B35),Histórico!B35&gt;0),Histórico!B35,Q34)</f>
        <v>157.41</v>
      </c>
      <c r="R35" s="17">
        <f>IF(AND(ISNUMBER(Histórico!$A35),ISNUMBER(Histórico!C35),Histórico!C35&gt;0),Histórico!C35,R34)</f>
        <v>64.87</v>
      </c>
      <c r="S35" s="17">
        <f>IF(AND(ISNUMBER(Histórico!$A35),ISNUMBER(Histórico!D35),Histórico!D35&gt;0),Histórico!D35,S34)</f>
        <v>386.3</v>
      </c>
      <c r="T35" s="18">
        <f>IF(AND(ISNUMBER(Histórico!$A35),ISNUMBER(Histórico!E35),Histórico!E35&gt;0),Histórico!E35,T34)</f>
        <v>5.3346</v>
      </c>
      <c r="U35" s="15">
        <f>IF(ISNUMBER(Histórico!A35),Histórico!A35,U34)</f>
        <v>46322</v>
      </c>
    </row>
    <row r="36" spans="1:21" ht="22.95" customHeight="1">
      <c r="A36" s="15">
        <f>IF(Informativo!J7=0,"",Informativo!C7)</f>
        <v>46323</v>
      </c>
      <c r="B36" s="17">
        <f>IF(A36="","",INDEX(Histórico!$B$8:$B$1007,MATCH(A36,Histórico!$A$8:$A$1007,0)))</f>
        <v>157.42</v>
      </c>
      <c r="C36" s="1" t="str">
        <f t="shared" si="0"/>
        <v>28/10</v>
      </c>
      <c r="D36" s="1"/>
      <c r="E36" s="15">
        <f>IF(Informativo!J8=0,"",Informativo!C8)</f>
        <v>46323</v>
      </c>
      <c r="F36" s="17">
        <f>IF(E36="","",INDEX(Histórico!$C$8:$C$1007,MATCH(E36,Histórico!$A$8:$A$1007,0)))</f>
        <v>64.73</v>
      </c>
      <c r="G36" s="1" t="str">
        <f t="shared" si="1"/>
        <v>28/10</v>
      </c>
      <c r="H36" s="1"/>
      <c r="I36" s="15">
        <f>IF(Informativo!J9=0,"",Informativo!C9)</f>
        <v>46323</v>
      </c>
      <c r="J36" s="17">
        <f>IF(I36="","",INDEX(Histórico!$D$8:$D$1007,MATCH(I36,Histórico!$A$8:$A$1007,0)))</f>
        <v>389.05</v>
      </c>
      <c r="K36" s="1" t="str">
        <f t="shared" si="2"/>
        <v>28/10</v>
      </c>
      <c r="L36" s="1"/>
      <c r="M36" s="15">
        <f>IF(Informativo!J10=0,"",Informativo!C10)</f>
        <v>46324</v>
      </c>
      <c r="N36" s="18">
        <f>IF(M36="","",INDEX(Histórico!$E$8:$E$1007,MATCH(M36,Histórico!$A$8:$A$1007,0)))</f>
        <v>5.3744</v>
      </c>
      <c r="O36" s="1" t="str">
        <f t="shared" si="3"/>
        <v>29/10</v>
      </c>
      <c r="Q36" s="17">
        <f>IF(AND(ISNUMBER(Histórico!$A36),ISNUMBER(Histórico!B36),Histórico!B36&gt;0),Histórico!B36,Q35)</f>
        <v>157.42</v>
      </c>
      <c r="R36" s="17">
        <f>IF(AND(ISNUMBER(Histórico!$A36),ISNUMBER(Histórico!C36),Histórico!C36&gt;0),Histórico!C36,R35)</f>
        <v>64.73</v>
      </c>
      <c r="S36" s="17">
        <f>IF(AND(ISNUMBER(Histórico!$A36),ISNUMBER(Histórico!D36),Histórico!D36&gt;0),Histórico!D36,S35)</f>
        <v>389.05</v>
      </c>
      <c r="T36" s="18">
        <f>IF(AND(ISNUMBER(Histórico!$A36),ISNUMBER(Histórico!E36),Histórico!E36&gt;0),Histórico!E36,T35)</f>
        <v>5.342</v>
      </c>
      <c r="U36" s="15">
        <f>IF(ISNUMBER(Histórico!A36),Histórico!A36,U35)</f>
        <v>46323</v>
      </c>
    </row>
    <row r="37" spans="1:21" ht="22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Q37" s="17">
        <f>IF(AND(ISNUMBER(Histórico!$A37),ISNUMBER(Histórico!B37),Histórico!B37&gt;0),Histórico!B37,Q36)</f>
        <v>157.42</v>
      </c>
      <c r="R37" s="17">
        <f>IF(AND(ISNUMBER(Histórico!$A37),ISNUMBER(Histórico!C37),Histórico!C37&gt;0),Histórico!C37,R36)</f>
        <v>64.73</v>
      </c>
      <c r="S37" s="17">
        <f>IF(AND(ISNUMBER(Histórico!$A37),ISNUMBER(Histórico!D37),Histórico!D37&gt;0),Histórico!D37,S36)</f>
        <v>389.05</v>
      </c>
      <c r="T37" s="18">
        <f>IF(AND(ISNUMBER(Histórico!$A37),ISNUMBER(Histórico!E37),Histórico!E37&gt;0),Histórico!E37,T36)</f>
        <v>5.3744</v>
      </c>
      <c r="U37" s="15">
        <f>IF(ISNUMBER(Histórico!A37),Histórico!A37,U36)</f>
        <v>46324</v>
      </c>
    </row>
    <row r="38" spans="1:21" ht="22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Q38" s="17">
        <f>IF(AND(ISNUMBER(Histórico!$A38),ISNUMBER(Histórico!B38),Histórico!B38&gt;0),Histórico!B38,Q37)</f>
        <v>157.42</v>
      </c>
      <c r="R38" s="17">
        <f>IF(AND(ISNUMBER(Histórico!$A38),ISNUMBER(Histórico!C38),Histórico!C38&gt;0),Histórico!C38,R37)</f>
        <v>64.73</v>
      </c>
      <c r="S38" s="17">
        <f>IF(AND(ISNUMBER(Histórico!$A38),ISNUMBER(Histórico!D38),Histórico!D38&gt;0),Histórico!D38,S37)</f>
        <v>389.05</v>
      </c>
      <c r="T38" s="18">
        <f>IF(AND(ISNUMBER(Histórico!$A38),ISNUMBER(Histórico!E38),Histórico!E38&gt;0),Histórico!E38,T37)</f>
        <v>5.3744</v>
      </c>
      <c r="U38" s="15">
        <f>IF(ISNUMBER(Histórico!A38),Histórico!A38,U37)</f>
        <v>46324</v>
      </c>
    </row>
    <row r="39" spans="1:21" ht="22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s="17">
        <f>IF(AND(ISNUMBER(Histórico!$A39),ISNUMBER(Histórico!B39),Histórico!B39&gt;0),Histórico!B39,Q38)</f>
        <v>157.42</v>
      </c>
      <c r="R39" s="17">
        <f>IF(AND(ISNUMBER(Histórico!$A39),ISNUMBER(Histórico!C39),Histórico!C39&gt;0),Histórico!C39,R38)</f>
        <v>64.73</v>
      </c>
      <c r="S39" s="17">
        <f>IF(AND(ISNUMBER(Histórico!$A39),ISNUMBER(Histórico!D39),Histórico!D39&gt;0),Histórico!D39,S38)</f>
        <v>389.05</v>
      </c>
      <c r="T39" s="18">
        <f>IF(AND(ISNUMBER(Histórico!$A39),ISNUMBER(Histórico!E39),Histórico!E39&gt;0),Histórico!E39,T38)</f>
        <v>5.3744</v>
      </c>
      <c r="U39" s="15">
        <f>IF(ISNUMBER(Histórico!A39),Histórico!A39,U38)</f>
        <v>46324</v>
      </c>
    </row>
    <row r="40" spans="1:21" ht="22.95" customHeight="1">
      <c r="Q40" s="17">
        <f>IF(AND(ISNUMBER(Histórico!$A40),ISNUMBER(Histórico!B40),Histórico!B40&gt;0),Histórico!B40,Q39)</f>
        <v>157.42</v>
      </c>
      <c r="R40" s="17">
        <f>IF(AND(ISNUMBER(Histórico!$A40),ISNUMBER(Histórico!C40),Histórico!C40&gt;0),Histórico!C40,R39)</f>
        <v>64.73</v>
      </c>
      <c r="S40" s="17">
        <f>IF(AND(ISNUMBER(Histórico!$A40),ISNUMBER(Histórico!D40),Histórico!D40&gt;0),Histórico!D40,S39)</f>
        <v>389.05</v>
      </c>
      <c r="T40" s="18">
        <f>IF(AND(ISNUMBER(Histórico!$A40),ISNUMBER(Histórico!E40),Histórico!E40&gt;0),Histórico!E40,T39)</f>
        <v>5.3744</v>
      </c>
      <c r="U40" s="15">
        <f>IF(ISNUMBER(Histórico!A40),Histórico!A40,U39)</f>
        <v>46324</v>
      </c>
    </row>
    <row r="41" spans="1:21" ht="22.95" customHeight="1">
      <c r="Q41" s="17">
        <f>IF(AND(ISNUMBER(Histórico!$A41),ISNUMBER(Histórico!B41),Histórico!B41&gt;0),Histórico!B41,Q40)</f>
        <v>157.42</v>
      </c>
      <c r="R41" s="17">
        <f>IF(AND(ISNUMBER(Histórico!$A41),ISNUMBER(Histórico!C41),Histórico!C41&gt;0),Histórico!C41,R40)</f>
        <v>64.73</v>
      </c>
      <c r="S41" s="17">
        <f>IF(AND(ISNUMBER(Histórico!$A41),ISNUMBER(Histórico!D41),Histórico!D41&gt;0),Histórico!D41,S40)</f>
        <v>389.05</v>
      </c>
      <c r="T41" s="18">
        <f>IF(AND(ISNUMBER(Histórico!$A41),ISNUMBER(Histórico!E41),Histórico!E41&gt;0),Histórico!E41,T40)</f>
        <v>5.3744</v>
      </c>
      <c r="U41" s="15">
        <f>IF(ISNUMBER(Histórico!A41),Histórico!A41,U40)</f>
        <v>46324</v>
      </c>
    </row>
    <row r="42" spans="1:21" ht="22.95" customHeight="1">
      <c r="Q42" s="17">
        <f>IF(AND(ISNUMBER(Histórico!$A42),ISNUMBER(Histórico!B42),Histórico!B42&gt;0),Histórico!B42,Q41)</f>
        <v>157.42</v>
      </c>
      <c r="R42" s="17">
        <f>IF(AND(ISNUMBER(Histórico!$A42),ISNUMBER(Histórico!C42),Histórico!C42&gt;0),Histórico!C42,R41)</f>
        <v>64.73</v>
      </c>
      <c r="S42" s="17">
        <f>IF(AND(ISNUMBER(Histórico!$A42),ISNUMBER(Histórico!D42),Histórico!D42&gt;0),Histórico!D42,S41)</f>
        <v>389.05</v>
      </c>
      <c r="T42" s="18">
        <f>IF(AND(ISNUMBER(Histórico!$A42),ISNUMBER(Histórico!E42),Histórico!E42&gt;0),Histórico!E42,T41)</f>
        <v>5.3744</v>
      </c>
      <c r="U42" s="15">
        <f>IF(ISNUMBER(Histórico!A42),Histórico!A42,U41)</f>
        <v>46324</v>
      </c>
    </row>
    <row r="43" spans="1:21" ht="22.95" customHeight="1">
      <c r="Q43" s="17">
        <f>IF(AND(ISNUMBER(Histórico!$A43),ISNUMBER(Histórico!B43),Histórico!B43&gt;0),Histórico!B43,Q42)</f>
        <v>157.42</v>
      </c>
      <c r="R43" s="17">
        <f>IF(AND(ISNUMBER(Histórico!$A43),ISNUMBER(Histórico!C43),Histórico!C43&gt;0),Histórico!C43,R42)</f>
        <v>64.73</v>
      </c>
      <c r="S43" s="17">
        <f>IF(AND(ISNUMBER(Histórico!$A43),ISNUMBER(Histórico!D43),Histórico!D43&gt;0),Histórico!D43,S42)</f>
        <v>389.05</v>
      </c>
      <c r="T43" s="18">
        <f>IF(AND(ISNUMBER(Histórico!$A43),ISNUMBER(Histórico!E43),Histórico!E43&gt;0),Histórico!E43,T42)</f>
        <v>5.3744</v>
      </c>
      <c r="U43" s="15">
        <f>IF(ISNUMBER(Histórico!A43),Histórico!A43,U42)</f>
        <v>46324</v>
      </c>
    </row>
    <row r="44" spans="1:21" ht="22.95" customHeight="1">
      <c r="Q44" s="17">
        <f>IF(AND(ISNUMBER(Histórico!$A44),ISNUMBER(Histórico!B44),Histórico!B44&gt;0),Histórico!B44,Q43)</f>
        <v>157.42</v>
      </c>
      <c r="R44" s="17">
        <f>IF(AND(ISNUMBER(Histórico!$A44),ISNUMBER(Histórico!C44),Histórico!C44&gt;0),Histórico!C44,R43)</f>
        <v>64.73</v>
      </c>
      <c r="S44" s="17">
        <f>IF(AND(ISNUMBER(Histórico!$A44),ISNUMBER(Histórico!D44),Histórico!D44&gt;0),Histórico!D44,S43)</f>
        <v>389.05</v>
      </c>
      <c r="T44" s="18">
        <f>IF(AND(ISNUMBER(Histórico!$A44),ISNUMBER(Histórico!E44),Histórico!E44&gt;0),Histórico!E44,T43)</f>
        <v>5.3744</v>
      </c>
      <c r="U44" s="15">
        <f>IF(ISNUMBER(Histórico!A44),Histórico!A44,U43)</f>
        <v>46324</v>
      </c>
    </row>
    <row r="45" spans="1:21" ht="22.95" customHeight="1">
      <c r="Q45" s="17">
        <f>IF(AND(ISNUMBER(Histórico!$A45),ISNUMBER(Histórico!B45),Histórico!B45&gt;0),Histórico!B45,Q44)</f>
        <v>157.42</v>
      </c>
      <c r="R45" s="17">
        <f>IF(AND(ISNUMBER(Histórico!$A45),ISNUMBER(Histórico!C45),Histórico!C45&gt;0),Histórico!C45,R44)</f>
        <v>64.73</v>
      </c>
      <c r="S45" s="17">
        <f>IF(AND(ISNUMBER(Histórico!$A45),ISNUMBER(Histórico!D45),Histórico!D45&gt;0),Histórico!D45,S44)</f>
        <v>389.05</v>
      </c>
      <c r="T45" s="18">
        <f>IF(AND(ISNUMBER(Histórico!$A45),ISNUMBER(Histórico!E45),Histórico!E45&gt;0),Histórico!E45,T44)</f>
        <v>5.3744</v>
      </c>
      <c r="U45" s="15">
        <f>IF(ISNUMBER(Histórico!A45),Histórico!A45,U44)</f>
        <v>46324</v>
      </c>
    </row>
    <row r="46" spans="1:21" ht="22.95" customHeight="1">
      <c r="Q46" s="17">
        <f>IF(AND(ISNUMBER(Histórico!$A46),ISNUMBER(Histórico!B46),Histórico!B46&gt;0),Histórico!B46,Q45)</f>
        <v>157.42</v>
      </c>
      <c r="R46" s="17">
        <f>IF(AND(ISNUMBER(Histórico!$A46),ISNUMBER(Histórico!C46),Histórico!C46&gt;0),Histórico!C46,R45)</f>
        <v>64.73</v>
      </c>
      <c r="S46" s="17">
        <f>IF(AND(ISNUMBER(Histórico!$A46),ISNUMBER(Histórico!D46),Histórico!D46&gt;0),Histórico!D46,S45)</f>
        <v>389.05</v>
      </c>
      <c r="T46" s="18">
        <f>IF(AND(ISNUMBER(Histórico!$A46),ISNUMBER(Histórico!E46),Histórico!E46&gt;0),Histórico!E46,T45)</f>
        <v>5.3744</v>
      </c>
      <c r="U46" s="15">
        <f>IF(ISNUMBER(Histórico!A46),Histórico!A46,U45)</f>
        <v>46324</v>
      </c>
    </row>
    <row r="47" spans="1:21" ht="22.95" customHeight="1">
      <c r="Q47" s="17">
        <f>IF(AND(ISNUMBER(Histórico!$A47),ISNUMBER(Histórico!B47),Histórico!B47&gt;0),Histórico!B47,Q46)</f>
        <v>157.42</v>
      </c>
      <c r="R47" s="17">
        <f>IF(AND(ISNUMBER(Histórico!$A47),ISNUMBER(Histórico!C47),Histórico!C47&gt;0),Histórico!C47,R46)</f>
        <v>64.73</v>
      </c>
      <c r="S47" s="17">
        <f>IF(AND(ISNUMBER(Histórico!$A47),ISNUMBER(Histórico!D47),Histórico!D47&gt;0),Histórico!D47,S46)</f>
        <v>389.05</v>
      </c>
      <c r="T47" s="18">
        <f>IF(AND(ISNUMBER(Histórico!$A47),ISNUMBER(Histórico!E47),Histórico!E47&gt;0),Histórico!E47,T46)</f>
        <v>5.3744</v>
      </c>
      <c r="U47" s="15">
        <f>IF(ISNUMBER(Histórico!A47),Histórico!A47,U46)</f>
        <v>46324</v>
      </c>
    </row>
    <row r="48" spans="1:21" ht="22.95" customHeight="1">
      <c r="Q48" s="17">
        <f>IF(AND(ISNUMBER(Histórico!$A48),ISNUMBER(Histórico!B48),Histórico!B48&gt;0),Histórico!B48,Q47)</f>
        <v>157.42</v>
      </c>
      <c r="R48" s="17">
        <f>IF(AND(ISNUMBER(Histórico!$A48),ISNUMBER(Histórico!C48),Histórico!C48&gt;0),Histórico!C48,R47)</f>
        <v>64.73</v>
      </c>
      <c r="S48" s="17">
        <f>IF(AND(ISNUMBER(Histórico!$A48),ISNUMBER(Histórico!D48),Histórico!D48&gt;0),Histórico!D48,S47)</f>
        <v>389.05</v>
      </c>
      <c r="T48" s="18">
        <f>IF(AND(ISNUMBER(Histórico!$A48),ISNUMBER(Histórico!E48),Histórico!E48&gt;0),Histórico!E48,T47)</f>
        <v>5.3744</v>
      </c>
      <c r="U48" s="15">
        <f>IF(ISNUMBER(Histórico!A48),Histórico!A48,U47)</f>
        <v>46324</v>
      </c>
    </row>
    <row r="49" spans="17:21" ht="22.95" customHeight="1">
      <c r="Q49" s="17">
        <f>IF(AND(ISNUMBER(Histórico!$A49),ISNUMBER(Histórico!B49),Histórico!B49&gt;0),Histórico!B49,Q48)</f>
        <v>157.42</v>
      </c>
      <c r="R49" s="17">
        <f>IF(AND(ISNUMBER(Histórico!$A49),ISNUMBER(Histórico!C49),Histórico!C49&gt;0),Histórico!C49,R48)</f>
        <v>64.73</v>
      </c>
      <c r="S49" s="17">
        <f>IF(AND(ISNUMBER(Histórico!$A49),ISNUMBER(Histórico!D49),Histórico!D49&gt;0),Histórico!D49,S48)</f>
        <v>389.05</v>
      </c>
      <c r="T49" s="18">
        <f>IF(AND(ISNUMBER(Histórico!$A49),ISNUMBER(Histórico!E49),Histórico!E49&gt;0),Histórico!E49,T48)</f>
        <v>5.3744</v>
      </c>
      <c r="U49" s="15">
        <f>IF(ISNUMBER(Histórico!A49),Histórico!A49,U48)</f>
        <v>46324</v>
      </c>
    </row>
    <row r="50" spans="17:21" ht="22.95" customHeight="1">
      <c r="Q50" s="17">
        <f>IF(AND(ISNUMBER(Histórico!$A50),ISNUMBER(Histórico!B50),Histórico!B50&gt;0),Histórico!B50,Q49)</f>
        <v>157.42</v>
      </c>
      <c r="R50" s="17">
        <f>IF(AND(ISNUMBER(Histórico!$A50),ISNUMBER(Histórico!C50),Histórico!C50&gt;0),Histórico!C50,R49)</f>
        <v>64.73</v>
      </c>
      <c r="S50" s="17">
        <f>IF(AND(ISNUMBER(Histórico!$A50),ISNUMBER(Histórico!D50),Histórico!D50&gt;0),Histórico!D50,S49)</f>
        <v>389.05</v>
      </c>
      <c r="T50" s="18">
        <f>IF(AND(ISNUMBER(Histórico!$A50),ISNUMBER(Histórico!E50),Histórico!E50&gt;0),Histórico!E50,T49)</f>
        <v>5.3744</v>
      </c>
      <c r="U50" s="15">
        <f>IF(ISNUMBER(Histórico!A50),Histórico!A50,U49)</f>
        <v>46324</v>
      </c>
    </row>
    <row r="51" spans="17:21" ht="22.95" customHeight="1">
      <c r="Q51" s="17">
        <f>IF(AND(ISNUMBER(Histórico!$A51),ISNUMBER(Histórico!B51),Histórico!B51&gt;0),Histórico!B51,Q50)</f>
        <v>157.42</v>
      </c>
      <c r="R51" s="17">
        <f>IF(AND(ISNUMBER(Histórico!$A51),ISNUMBER(Histórico!C51),Histórico!C51&gt;0),Histórico!C51,R50)</f>
        <v>64.73</v>
      </c>
      <c r="S51" s="17">
        <f>IF(AND(ISNUMBER(Histórico!$A51),ISNUMBER(Histórico!D51),Histórico!D51&gt;0),Histórico!D51,S50)</f>
        <v>389.05</v>
      </c>
      <c r="T51" s="18">
        <f>IF(AND(ISNUMBER(Histórico!$A51),ISNUMBER(Histórico!E51),Histórico!E51&gt;0),Histórico!E51,T50)</f>
        <v>5.3744</v>
      </c>
      <c r="U51" s="15">
        <f>IF(ISNUMBER(Histórico!A51),Histórico!A51,U50)</f>
        <v>46324</v>
      </c>
    </row>
    <row r="52" spans="17:21" ht="22.95" customHeight="1">
      <c r="Q52" s="17">
        <f>IF(AND(ISNUMBER(Histórico!$A52),ISNUMBER(Histórico!B52),Histórico!B52&gt;0),Histórico!B52,Q51)</f>
        <v>157.42</v>
      </c>
      <c r="R52" s="17">
        <f>IF(AND(ISNUMBER(Histórico!$A52),ISNUMBER(Histórico!C52),Histórico!C52&gt;0),Histórico!C52,R51)</f>
        <v>64.73</v>
      </c>
      <c r="S52" s="17">
        <f>IF(AND(ISNUMBER(Histórico!$A52),ISNUMBER(Histórico!D52),Histórico!D52&gt;0),Histórico!D52,S51)</f>
        <v>389.05</v>
      </c>
      <c r="T52" s="18">
        <f>IF(AND(ISNUMBER(Histórico!$A52),ISNUMBER(Histórico!E52),Histórico!E52&gt;0),Histórico!E52,T51)</f>
        <v>5.3744</v>
      </c>
      <c r="U52" s="15">
        <f>IF(ISNUMBER(Histórico!A52),Histórico!A52,U51)</f>
        <v>46324</v>
      </c>
    </row>
    <row r="53" spans="17:21" ht="22.95" customHeight="1">
      <c r="Q53" s="17">
        <f>IF(AND(ISNUMBER(Histórico!$A53),ISNUMBER(Histórico!B53),Histórico!B53&gt;0),Histórico!B53,Q52)</f>
        <v>157.42</v>
      </c>
      <c r="R53" s="17">
        <f>IF(AND(ISNUMBER(Histórico!$A53),ISNUMBER(Histórico!C53),Histórico!C53&gt;0),Histórico!C53,R52)</f>
        <v>64.73</v>
      </c>
      <c r="S53" s="17">
        <f>IF(AND(ISNUMBER(Histórico!$A53),ISNUMBER(Histórico!D53),Histórico!D53&gt;0),Histórico!D53,S52)</f>
        <v>389.05</v>
      </c>
      <c r="T53" s="18">
        <f>IF(AND(ISNUMBER(Histórico!$A53),ISNUMBER(Histórico!E53),Histórico!E53&gt;0),Histórico!E53,T52)</f>
        <v>5.3744</v>
      </c>
      <c r="U53" s="15">
        <f>IF(ISNUMBER(Histórico!A53),Histórico!A53,U52)</f>
        <v>46324</v>
      </c>
    </row>
    <row r="54" spans="17:21" ht="22.95" customHeight="1">
      <c r="Q54" s="17">
        <f>IF(AND(ISNUMBER(Histórico!$A54),ISNUMBER(Histórico!B54),Histórico!B54&gt;0),Histórico!B54,Q53)</f>
        <v>157.42</v>
      </c>
      <c r="R54" s="17">
        <f>IF(AND(ISNUMBER(Histórico!$A54),ISNUMBER(Histórico!C54),Histórico!C54&gt;0),Histórico!C54,R53)</f>
        <v>64.73</v>
      </c>
      <c r="S54" s="17">
        <f>IF(AND(ISNUMBER(Histórico!$A54),ISNUMBER(Histórico!D54),Histórico!D54&gt;0),Histórico!D54,S53)</f>
        <v>389.05</v>
      </c>
      <c r="T54" s="18">
        <f>IF(AND(ISNUMBER(Histórico!$A54),ISNUMBER(Histórico!E54),Histórico!E54&gt;0),Histórico!E54,T53)</f>
        <v>5.3744</v>
      </c>
      <c r="U54" s="15">
        <f>IF(ISNUMBER(Histórico!A54),Histórico!A54,U53)</f>
        <v>46324</v>
      </c>
    </row>
    <row r="55" spans="17:21" ht="22.95" customHeight="1">
      <c r="Q55" s="17">
        <f>IF(AND(ISNUMBER(Histórico!$A55),ISNUMBER(Histórico!B55),Histórico!B55&gt;0),Histórico!B55,Q54)</f>
        <v>157.42</v>
      </c>
      <c r="R55" s="17">
        <f>IF(AND(ISNUMBER(Histórico!$A55),ISNUMBER(Histórico!C55),Histórico!C55&gt;0),Histórico!C55,R54)</f>
        <v>64.73</v>
      </c>
      <c r="S55" s="17">
        <f>IF(AND(ISNUMBER(Histórico!$A55),ISNUMBER(Histórico!D55),Histórico!D55&gt;0),Histórico!D55,S54)</f>
        <v>389.05</v>
      </c>
      <c r="T55" s="18">
        <f>IF(AND(ISNUMBER(Histórico!$A55),ISNUMBER(Histórico!E55),Histórico!E55&gt;0),Histórico!E55,T54)</f>
        <v>5.3744</v>
      </c>
      <c r="U55" s="15">
        <f>IF(ISNUMBER(Histórico!A55),Histórico!A55,U54)</f>
        <v>46324</v>
      </c>
    </row>
    <row r="56" spans="17:21" ht="22.95" customHeight="1">
      <c r="Q56" s="17">
        <f>IF(AND(ISNUMBER(Histórico!$A56),ISNUMBER(Histórico!B56),Histórico!B56&gt;0),Histórico!B56,Q55)</f>
        <v>157.42</v>
      </c>
      <c r="R56" s="17">
        <f>IF(AND(ISNUMBER(Histórico!$A56),ISNUMBER(Histórico!C56),Histórico!C56&gt;0),Histórico!C56,R55)</f>
        <v>64.73</v>
      </c>
      <c r="S56" s="17">
        <f>IF(AND(ISNUMBER(Histórico!$A56),ISNUMBER(Histórico!D56),Histórico!D56&gt;0),Histórico!D56,S55)</f>
        <v>389.05</v>
      </c>
      <c r="T56" s="18">
        <f>IF(AND(ISNUMBER(Histórico!$A56),ISNUMBER(Histórico!E56),Histórico!E56&gt;0),Histórico!E56,T55)</f>
        <v>5.3744</v>
      </c>
      <c r="U56" s="15">
        <f>IF(ISNUMBER(Histórico!A56),Histórico!A56,U55)</f>
        <v>46324</v>
      </c>
    </row>
    <row r="57" spans="17:21" ht="22.95" customHeight="1">
      <c r="Q57" s="17">
        <f>IF(AND(ISNUMBER(Histórico!$A57),ISNUMBER(Histórico!B57),Histórico!B57&gt;0),Histórico!B57,Q56)</f>
        <v>157.42</v>
      </c>
      <c r="R57" s="17">
        <f>IF(AND(ISNUMBER(Histórico!$A57),ISNUMBER(Histórico!C57),Histórico!C57&gt;0),Histórico!C57,R56)</f>
        <v>64.73</v>
      </c>
      <c r="S57" s="17">
        <f>IF(AND(ISNUMBER(Histórico!$A57),ISNUMBER(Histórico!D57),Histórico!D57&gt;0),Histórico!D57,S56)</f>
        <v>389.05</v>
      </c>
      <c r="T57" s="18">
        <f>IF(AND(ISNUMBER(Histórico!$A57),ISNUMBER(Histórico!E57),Histórico!E57&gt;0),Histórico!E57,T56)</f>
        <v>5.3744</v>
      </c>
      <c r="U57" s="15">
        <f>IF(ISNUMBER(Histórico!A57),Histórico!A57,U56)</f>
        <v>46324</v>
      </c>
    </row>
    <row r="58" spans="17:21" ht="22.95" customHeight="1">
      <c r="Q58" s="17">
        <f>IF(AND(ISNUMBER(Histórico!$A58),ISNUMBER(Histórico!B58),Histórico!B58&gt;0),Histórico!B58,Q57)</f>
        <v>157.42</v>
      </c>
      <c r="R58" s="17">
        <f>IF(AND(ISNUMBER(Histórico!$A58),ISNUMBER(Histórico!C58),Histórico!C58&gt;0),Histórico!C58,R57)</f>
        <v>64.73</v>
      </c>
      <c r="S58" s="17">
        <f>IF(AND(ISNUMBER(Histórico!$A58),ISNUMBER(Histórico!D58),Histórico!D58&gt;0),Histórico!D58,S57)</f>
        <v>389.05</v>
      </c>
      <c r="T58" s="18">
        <f>IF(AND(ISNUMBER(Histórico!$A58),ISNUMBER(Histórico!E58),Histórico!E58&gt;0),Histórico!E58,T57)</f>
        <v>5.3744</v>
      </c>
      <c r="U58" s="15">
        <f>IF(ISNUMBER(Histórico!A58),Histórico!A58,U57)</f>
        <v>46324</v>
      </c>
    </row>
    <row r="59" spans="17:21" ht="22.95" customHeight="1">
      <c r="Q59" s="17">
        <f>IF(AND(ISNUMBER(Histórico!$A59),ISNUMBER(Histórico!B59),Histórico!B59&gt;0),Histórico!B59,Q58)</f>
        <v>157.42</v>
      </c>
      <c r="R59" s="17">
        <f>IF(AND(ISNUMBER(Histórico!$A59),ISNUMBER(Histórico!C59),Histórico!C59&gt;0),Histórico!C59,R58)</f>
        <v>64.73</v>
      </c>
      <c r="S59" s="17">
        <f>IF(AND(ISNUMBER(Histórico!$A59),ISNUMBER(Histórico!D59),Histórico!D59&gt;0),Histórico!D59,S58)</f>
        <v>389.05</v>
      </c>
      <c r="T59" s="18">
        <f>IF(AND(ISNUMBER(Histórico!$A59),ISNUMBER(Histórico!E59),Histórico!E59&gt;0),Histórico!E59,T58)</f>
        <v>5.3744</v>
      </c>
      <c r="U59" s="15">
        <f>IF(ISNUMBER(Histórico!A59),Histórico!A59,U58)</f>
        <v>46324</v>
      </c>
    </row>
    <row r="60" spans="17:21" ht="22.95" customHeight="1">
      <c r="Q60" s="17">
        <f>IF(AND(ISNUMBER(Histórico!$A60),ISNUMBER(Histórico!B60),Histórico!B60&gt;0),Histórico!B60,Q59)</f>
        <v>157.42</v>
      </c>
      <c r="R60" s="17">
        <f>IF(AND(ISNUMBER(Histórico!$A60),ISNUMBER(Histórico!C60),Histórico!C60&gt;0),Histórico!C60,R59)</f>
        <v>64.73</v>
      </c>
      <c r="S60" s="17">
        <f>IF(AND(ISNUMBER(Histórico!$A60),ISNUMBER(Histórico!D60),Histórico!D60&gt;0),Histórico!D60,S59)</f>
        <v>389.05</v>
      </c>
      <c r="T60" s="18">
        <f>IF(AND(ISNUMBER(Histórico!$A60),ISNUMBER(Histórico!E60),Histórico!E60&gt;0),Histórico!E60,T59)</f>
        <v>5.3744</v>
      </c>
      <c r="U60" s="15">
        <f>IF(ISNUMBER(Histórico!A60),Histórico!A60,U59)</f>
        <v>46324</v>
      </c>
    </row>
    <row r="61" spans="17:21" ht="22.95" customHeight="1">
      <c r="Q61" s="17">
        <f>IF(AND(ISNUMBER(Histórico!$A61),ISNUMBER(Histórico!B61),Histórico!B61&gt;0),Histórico!B61,Q60)</f>
        <v>157.42</v>
      </c>
      <c r="R61" s="17">
        <f>IF(AND(ISNUMBER(Histórico!$A61),ISNUMBER(Histórico!C61),Histórico!C61&gt;0),Histórico!C61,R60)</f>
        <v>64.73</v>
      </c>
      <c r="S61" s="17">
        <f>IF(AND(ISNUMBER(Histórico!$A61),ISNUMBER(Histórico!D61),Histórico!D61&gt;0),Histórico!D61,S60)</f>
        <v>389.05</v>
      </c>
      <c r="T61" s="18">
        <f>IF(AND(ISNUMBER(Histórico!$A61),ISNUMBER(Histórico!E61),Histórico!E61&gt;0),Histórico!E61,T60)</f>
        <v>5.3744</v>
      </c>
      <c r="U61" s="15">
        <f>IF(ISNUMBER(Histórico!A61),Histórico!A61,U60)</f>
        <v>46324</v>
      </c>
    </row>
    <row r="62" spans="17:21" ht="22.95" customHeight="1">
      <c r="Q62" s="17">
        <f>IF(AND(ISNUMBER(Histórico!$A62),ISNUMBER(Histórico!B62),Histórico!B62&gt;0),Histórico!B62,Q61)</f>
        <v>157.42</v>
      </c>
      <c r="R62" s="17">
        <f>IF(AND(ISNUMBER(Histórico!$A62),ISNUMBER(Histórico!C62),Histórico!C62&gt;0),Histórico!C62,R61)</f>
        <v>64.73</v>
      </c>
      <c r="S62" s="17">
        <f>IF(AND(ISNUMBER(Histórico!$A62),ISNUMBER(Histórico!D62),Histórico!D62&gt;0),Histórico!D62,S61)</f>
        <v>389.05</v>
      </c>
      <c r="T62" s="18">
        <f>IF(AND(ISNUMBER(Histórico!$A62),ISNUMBER(Histórico!E62),Histórico!E62&gt;0),Histórico!E62,T61)</f>
        <v>5.3744</v>
      </c>
      <c r="U62" s="15">
        <f>IF(ISNUMBER(Histórico!A62),Histórico!A62,U61)</f>
        <v>46324</v>
      </c>
    </row>
    <row r="63" spans="17:21" ht="22.95" customHeight="1">
      <c r="Q63" s="17">
        <f>IF(AND(ISNUMBER(Histórico!$A63),ISNUMBER(Histórico!B63),Histórico!B63&gt;0),Histórico!B63,Q62)</f>
        <v>157.42</v>
      </c>
      <c r="R63" s="17">
        <f>IF(AND(ISNUMBER(Histórico!$A63),ISNUMBER(Histórico!C63),Histórico!C63&gt;0),Histórico!C63,R62)</f>
        <v>64.73</v>
      </c>
      <c r="S63" s="17">
        <f>IF(AND(ISNUMBER(Histórico!$A63),ISNUMBER(Histórico!D63),Histórico!D63&gt;0),Histórico!D63,S62)</f>
        <v>389.05</v>
      </c>
      <c r="T63" s="18">
        <f>IF(AND(ISNUMBER(Histórico!$A63),ISNUMBER(Histórico!E63),Histórico!E63&gt;0),Histórico!E63,T62)</f>
        <v>5.3744</v>
      </c>
      <c r="U63" s="15">
        <f>IF(ISNUMBER(Histórico!A63),Histórico!A63,U62)</f>
        <v>46324</v>
      </c>
    </row>
    <row r="64" spans="17:21" ht="22.95" customHeight="1">
      <c r="Q64" s="17">
        <f>IF(AND(ISNUMBER(Histórico!$A64),ISNUMBER(Histórico!B64),Histórico!B64&gt;0),Histórico!B64,Q63)</f>
        <v>157.42</v>
      </c>
      <c r="R64" s="17">
        <f>IF(AND(ISNUMBER(Histórico!$A64),ISNUMBER(Histórico!C64),Histórico!C64&gt;0),Histórico!C64,R63)</f>
        <v>64.73</v>
      </c>
      <c r="S64" s="17">
        <f>IF(AND(ISNUMBER(Histórico!$A64),ISNUMBER(Histórico!D64),Histórico!D64&gt;0),Histórico!D64,S63)</f>
        <v>389.05</v>
      </c>
      <c r="T64" s="18">
        <f>IF(AND(ISNUMBER(Histórico!$A64),ISNUMBER(Histórico!E64),Histórico!E64&gt;0),Histórico!E64,T63)</f>
        <v>5.3744</v>
      </c>
      <c r="U64" s="15">
        <f>IF(ISNUMBER(Histórico!A64),Histórico!A64,U63)</f>
        <v>46324</v>
      </c>
    </row>
    <row r="65" spans="17:21" ht="22.95" customHeight="1">
      <c r="Q65" s="17">
        <f>IF(AND(ISNUMBER(Histórico!$A65),ISNUMBER(Histórico!B65),Histórico!B65&gt;0),Histórico!B65,Q64)</f>
        <v>157.42</v>
      </c>
      <c r="R65" s="17">
        <f>IF(AND(ISNUMBER(Histórico!$A65),ISNUMBER(Histórico!C65),Histórico!C65&gt;0),Histórico!C65,R64)</f>
        <v>64.73</v>
      </c>
      <c r="S65" s="17">
        <f>IF(AND(ISNUMBER(Histórico!$A65),ISNUMBER(Histórico!D65),Histórico!D65&gt;0),Histórico!D65,S64)</f>
        <v>389.05</v>
      </c>
      <c r="T65" s="18">
        <f>IF(AND(ISNUMBER(Histórico!$A65),ISNUMBER(Histórico!E65),Histórico!E65&gt;0),Histórico!E65,T64)</f>
        <v>5.3744</v>
      </c>
      <c r="U65" s="15">
        <f>IF(ISNUMBER(Histórico!A65),Histórico!A65,U64)</f>
        <v>46324</v>
      </c>
    </row>
    <row r="66" spans="17:21" ht="22.95" customHeight="1">
      <c r="Q66" s="17">
        <f>IF(AND(ISNUMBER(Histórico!$A66),ISNUMBER(Histórico!B66),Histórico!B66&gt;0),Histórico!B66,Q65)</f>
        <v>157.42</v>
      </c>
      <c r="R66" s="17">
        <f>IF(AND(ISNUMBER(Histórico!$A66),ISNUMBER(Histórico!C66),Histórico!C66&gt;0),Histórico!C66,R65)</f>
        <v>64.73</v>
      </c>
      <c r="S66" s="17">
        <f>IF(AND(ISNUMBER(Histórico!$A66),ISNUMBER(Histórico!D66),Histórico!D66&gt;0),Histórico!D66,S65)</f>
        <v>389.05</v>
      </c>
      <c r="T66" s="18">
        <f>IF(AND(ISNUMBER(Histórico!$A66),ISNUMBER(Histórico!E66),Histórico!E66&gt;0),Histórico!E66,T65)</f>
        <v>5.3744</v>
      </c>
      <c r="U66" s="15">
        <f>IF(ISNUMBER(Histórico!A66),Histórico!A66,U65)</f>
        <v>46324</v>
      </c>
    </row>
    <row r="67" spans="17:21" ht="22.95" customHeight="1">
      <c r="Q67" s="17">
        <f>IF(AND(ISNUMBER(Histórico!$A67),ISNUMBER(Histórico!B67),Histórico!B67&gt;0),Histórico!B67,Q66)</f>
        <v>157.42</v>
      </c>
      <c r="R67" s="17">
        <f>IF(AND(ISNUMBER(Histórico!$A67),ISNUMBER(Histórico!C67),Histórico!C67&gt;0),Histórico!C67,R66)</f>
        <v>64.73</v>
      </c>
      <c r="S67" s="17">
        <f>IF(AND(ISNUMBER(Histórico!$A67),ISNUMBER(Histórico!D67),Histórico!D67&gt;0),Histórico!D67,S66)</f>
        <v>389.05</v>
      </c>
      <c r="T67" s="18">
        <f>IF(AND(ISNUMBER(Histórico!$A67),ISNUMBER(Histórico!E67),Histórico!E67&gt;0),Histórico!E67,T66)</f>
        <v>5.3744</v>
      </c>
      <c r="U67" s="15">
        <f>IF(ISNUMBER(Histórico!A67),Histórico!A67,U66)</f>
        <v>46324</v>
      </c>
    </row>
    <row r="68" spans="17:21" ht="22.95" customHeight="1">
      <c r="Q68" s="17">
        <f>IF(AND(ISNUMBER(Histórico!$A68),ISNUMBER(Histórico!B68),Histórico!B68&gt;0),Histórico!B68,Q67)</f>
        <v>157.42</v>
      </c>
      <c r="R68" s="17">
        <f>IF(AND(ISNUMBER(Histórico!$A68),ISNUMBER(Histórico!C68),Histórico!C68&gt;0),Histórico!C68,R67)</f>
        <v>64.73</v>
      </c>
      <c r="S68" s="17">
        <f>IF(AND(ISNUMBER(Histórico!$A68),ISNUMBER(Histórico!D68),Histórico!D68&gt;0),Histórico!D68,S67)</f>
        <v>389.05</v>
      </c>
      <c r="T68" s="18">
        <f>IF(AND(ISNUMBER(Histórico!$A68),ISNUMBER(Histórico!E68),Histórico!E68&gt;0),Histórico!E68,T67)</f>
        <v>5.3744</v>
      </c>
      <c r="U68" s="15">
        <f>IF(ISNUMBER(Histórico!A68),Histórico!A68,U67)</f>
        <v>46324</v>
      </c>
    </row>
    <row r="69" spans="17:21" ht="22.95" customHeight="1">
      <c r="Q69" s="17">
        <f>IF(AND(ISNUMBER(Histórico!$A69),ISNUMBER(Histórico!B69),Histórico!B69&gt;0),Histórico!B69,Q68)</f>
        <v>157.42</v>
      </c>
      <c r="R69" s="17">
        <f>IF(AND(ISNUMBER(Histórico!$A69),ISNUMBER(Histórico!C69),Histórico!C69&gt;0),Histórico!C69,R68)</f>
        <v>64.73</v>
      </c>
      <c r="S69" s="17">
        <f>IF(AND(ISNUMBER(Histórico!$A69),ISNUMBER(Histórico!D69),Histórico!D69&gt;0),Histórico!D69,S68)</f>
        <v>389.05</v>
      </c>
      <c r="T69" s="18">
        <f>IF(AND(ISNUMBER(Histórico!$A69),ISNUMBER(Histórico!E69),Histórico!E69&gt;0),Histórico!E69,T68)</f>
        <v>5.3744</v>
      </c>
      <c r="U69" s="15">
        <f>IF(ISNUMBER(Histórico!A69),Histórico!A69,U68)</f>
        <v>46324</v>
      </c>
    </row>
    <row r="70" spans="17:21" ht="22.95" customHeight="1">
      <c r="Q70" s="17">
        <f>IF(AND(ISNUMBER(Histórico!$A70),ISNUMBER(Histórico!B70),Histórico!B70&gt;0),Histórico!B70,Q69)</f>
        <v>157.42</v>
      </c>
      <c r="R70" s="17">
        <f>IF(AND(ISNUMBER(Histórico!$A70),ISNUMBER(Histórico!C70),Histórico!C70&gt;0),Histórico!C70,R69)</f>
        <v>64.73</v>
      </c>
      <c r="S70" s="17">
        <f>IF(AND(ISNUMBER(Histórico!$A70),ISNUMBER(Histórico!D70),Histórico!D70&gt;0),Histórico!D70,S69)</f>
        <v>389.05</v>
      </c>
      <c r="T70" s="18">
        <f>IF(AND(ISNUMBER(Histórico!$A70),ISNUMBER(Histórico!E70),Histórico!E70&gt;0),Histórico!E70,T69)</f>
        <v>5.3744</v>
      </c>
      <c r="U70" s="15">
        <f>IF(ISNUMBER(Histórico!A70),Histórico!A70,U69)</f>
        <v>46324</v>
      </c>
    </row>
    <row r="71" spans="17:21" ht="22.95" customHeight="1">
      <c r="Q71" s="17">
        <f>IF(AND(ISNUMBER(Histórico!$A71),ISNUMBER(Histórico!B71),Histórico!B71&gt;0),Histórico!B71,Q70)</f>
        <v>157.42</v>
      </c>
      <c r="R71" s="17">
        <f>IF(AND(ISNUMBER(Histórico!$A71),ISNUMBER(Histórico!C71),Histórico!C71&gt;0),Histórico!C71,R70)</f>
        <v>64.73</v>
      </c>
      <c r="S71" s="17">
        <f>IF(AND(ISNUMBER(Histórico!$A71),ISNUMBER(Histórico!D71),Histórico!D71&gt;0),Histórico!D71,S70)</f>
        <v>389.05</v>
      </c>
      <c r="T71" s="18">
        <f>IF(AND(ISNUMBER(Histórico!$A71),ISNUMBER(Histórico!E71),Histórico!E71&gt;0),Histórico!E71,T70)</f>
        <v>5.3744</v>
      </c>
      <c r="U71" s="15">
        <f>IF(ISNUMBER(Histórico!A71),Histórico!A71,U70)</f>
        <v>46324</v>
      </c>
    </row>
    <row r="72" spans="17:21" ht="22.95" customHeight="1">
      <c r="Q72" s="17">
        <f>IF(AND(ISNUMBER(Histórico!$A72),ISNUMBER(Histórico!B72),Histórico!B72&gt;0),Histórico!B72,Q71)</f>
        <v>157.42</v>
      </c>
      <c r="R72" s="17">
        <f>IF(AND(ISNUMBER(Histórico!$A72),ISNUMBER(Histórico!C72),Histórico!C72&gt;0),Histórico!C72,R71)</f>
        <v>64.73</v>
      </c>
      <c r="S72" s="17">
        <f>IF(AND(ISNUMBER(Histórico!$A72),ISNUMBER(Histórico!D72),Histórico!D72&gt;0),Histórico!D72,S71)</f>
        <v>389.05</v>
      </c>
      <c r="T72" s="18">
        <f>IF(AND(ISNUMBER(Histórico!$A72),ISNUMBER(Histórico!E72),Histórico!E72&gt;0),Histórico!E72,T71)</f>
        <v>5.3744</v>
      </c>
      <c r="U72" s="15">
        <f>IF(ISNUMBER(Histórico!A72),Histórico!A72,U71)</f>
        <v>46324</v>
      </c>
    </row>
    <row r="73" spans="17:21" ht="22.95" customHeight="1">
      <c r="Q73" s="17">
        <f>IF(AND(ISNUMBER(Histórico!$A73),ISNUMBER(Histórico!B73),Histórico!B73&gt;0),Histórico!B73,Q72)</f>
        <v>157.42</v>
      </c>
      <c r="R73" s="17">
        <f>IF(AND(ISNUMBER(Histórico!$A73),ISNUMBER(Histórico!C73),Histórico!C73&gt;0),Histórico!C73,R72)</f>
        <v>64.73</v>
      </c>
      <c r="S73" s="17">
        <f>IF(AND(ISNUMBER(Histórico!$A73),ISNUMBER(Histórico!D73),Histórico!D73&gt;0),Histórico!D73,S72)</f>
        <v>389.05</v>
      </c>
      <c r="T73" s="18">
        <f>IF(AND(ISNUMBER(Histórico!$A73),ISNUMBER(Histórico!E73),Histórico!E73&gt;0),Histórico!E73,T72)</f>
        <v>5.3744</v>
      </c>
      <c r="U73" s="15">
        <f>IF(ISNUMBER(Histórico!A73),Histórico!A73,U72)</f>
        <v>46324</v>
      </c>
    </row>
    <row r="74" spans="17:21" ht="22.95" customHeight="1">
      <c r="Q74" s="17">
        <f>IF(AND(ISNUMBER(Histórico!$A74),ISNUMBER(Histórico!B74),Histórico!B74&gt;0),Histórico!B74,Q73)</f>
        <v>157.42</v>
      </c>
      <c r="R74" s="17">
        <f>IF(AND(ISNUMBER(Histórico!$A74),ISNUMBER(Histórico!C74),Histórico!C74&gt;0),Histórico!C74,R73)</f>
        <v>64.73</v>
      </c>
      <c r="S74" s="17">
        <f>IF(AND(ISNUMBER(Histórico!$A74),ISNUMBER(Histórico!D74),Histórico!D74&gt;0),Histórico!D74,S73)</f>
        <v>389.05</v>
      </c>
      <c r="T74" s="18">
        <f>IF(AND(ISNUMBER(Histórico!$A74),ISNUMBER(Histórico!E74),Histórico!E74&gt;0),Histórico!E74,T73)</f>
        <v>5.3744</v>
      </c>
      <c r="U74" s="15">
        <f>IF(ISNUMBER(Histórico!A74),Histórico!A74,U73)</f>
        <v>46324</v>
      </c>
    </row>
    <row r="75" spans="17:21" ht="22.95" customHeight="1">
      <c r="Q75" s="17">
        <f>IF(AND(ISNUMBER(Histórico!$A75),ISNUMBER(Histórico!B75),Histórico!B75&gt;0),Histórico!B75,Q74)</f>
        <v>157.42</v>
      </c>
      <c r="R75" s="17">
        <f>IF(AND(ISNUMBER(Histórico!$A75),ISNUMBER(Histórico!C75),Histórico!C75&gt;0),Histórico!C75,R74)</f>
        <v>64.73</v>
      </c>
      <c r="S75" s="17">
        <f>IF(AND(ISNUMBER(Histórico!$A75),ISNUMBER(Histórico!D75),Histórico!D75&gt;0),Histórico!D75,S74)</f>
        <v>389.05</v>
      </c>
      <c r="T75" s="18">
        <f>IF(AND(ISNUMBER(Histórico!$A75),ISNUMBER(Histórico!E75),Histórico!E75&gt;0),Histórico!E75,T74)</f>
        <v>5.3744</v>
      </c>
      <c r="U75" s="15">
        <f>IF(ISNUMBER(Histórico!A75),Histórico!A75,U74)</f>
        <v>46324</v>
      </c>
    </row>
    <row r="76" spans="17:21" ht="22.95" customHeight="1">
      <c r="Q76" s="17">
        <f>IF(AND(ISNUMBER(Histórico!$A76),ISNUMBER(Histórico!B76),Histórico!B76&gt;0),Histórico!B76,Q75)</f>
        <v>157.42</v>
      </c>
      <c r="R76" s="17">
        <f>IF(AND(ISNUMBER(Histórico!$A76),ISNUMBER(Histórico!C76),Histórico!C76&gt;0),Histórico!C76,R75)</f>
        <v>64.73</v>
      </c>
      <c r="S76" s="17">
        <f>IF(AND(ISNUMBER(Histórico!$A76),ISNUMBER(Histórico!D76),Histórico!D76&gt;0),Histórico!D76,S75)</f>
        <v>389.05</v>
      </c>
      <c r="T76" s="18">
        <f>IF(AND(ISNUMBER(Histórico!$A76),ISNUMBER(Histórico!E76),Histórico!E76&gt;0),Histórico!E76,T75)</f>
        <v>5.3744</v>
      </c>
      <c r="U76" s="15">
        <f>IF(ISNUMBER(Histórico!A76),Histórico!A76,U75)</f>
        <v>46324</v>
      </c>
    </row>
    <row r="77" spans="17:21" ht="22.95" customHeight="1">
      <c r="Q77" s="17">
        <f>IF(AND(ISNUMBER(Histórico!$A77),ISNUMBER(Histórico!B77),Histórico!B77&gt;0),Histórico!B77,Q76)</f>
        <v>157.42</v>
      </c>
      <c r="R77" s="17">
        <f>IF(AND(ISNUMBER(Histórico!$A77),ISNUMBER(Histórico!C77),Histórico!C77&gt;0),Histórico!C77,R76)</f>
        <v>64.73</v>
      </c>
      <c r="S77" s="17">
        <f>IF(AND(ISNUMBER(Histórico!$A77),ISNUMBER(Histórico!D77),Histórico!D77&gt;0),Histórico!D77,S76)</f>
        <v>389.05</v>
      </c>
      <c r="T77" s="18">
        <f>IF(AND(ISNUMBER(Histórico!$A77),ISNUMBER(Histórico!E77),Histórico!E77&gt;0),Histórico!E77,T76)</f>
        <v>5.3744</v>
      </c>
      <c r="U77" s="15">
        <f>IF(ISNUMBER(Histórico!A77),Histórico!A77,U76)</f>
        <v>46324</v>
      </c>
    </row>
    <row r="78" spans="17:21" ht="22.95" customHeight="1">
      <c r="Q78" s="17">
        <f>IF(AND(ISNUMBER(Histórico!$A78),ISNUMBER(Histórico!B78),Histórico!B78&gt;0),Histórico!B78,Q77)</f>
        <v>157.42</v>
      </c>
      <c r="R78" s="17">
        <f>IF(AND(ISNUMBER(Histórico!$A78),ISNUMBER(Histórico!C78),Histórico!C78&gt;0),Histórico!C78,R77)</f>
        <v>64.73</v>
      </c>
      <c r="S78" s="17">
        <f>IF(AND(ISNUMBER(Histórico!$A78),ISNUMBER(Histórico!D78),Histórico!D78&gt;0),Histórico!D78,S77)</f>
        <v>389.05</v>
      </c>
      <c r="T78" s="18">
        <f>IF(AND(ISNUMBER(Histórico!$A78),ISNUMBER(Histórico!E78),Histórico!E78&gt;0),Histórico!E78,T77)</f>
        <v>5.3744</v>
      </c>
      <c r="U78" s="15">
        <f>IF(ISNUMBER(Histórico!A78),Histórico!A78,U77)</f>
        <v>46324</v>
      </c>
    </row>
    <row r="79" spans="17:21" ht="22.95" customHeight="1">
      <c r="Q79" s="17">
        <f>IF(AND(ISNUMBER(Histórico!$A79),ISNUMBER(Histórico!B79),Histórico!B79&gt;0),Histórico!B79,Q78)</f>
        <v>157.42</v>
      </c>
      <c r="R79" s="17">
        <f>IF(AND(ISNUMBER(Histórico!$A79),ISNUMBER(Histórico!C79),Histórico!C79&gt;0),Histórico!C79,R78)</f>
        <v>64.73</v>
      </c>
      <c r="S79" s="17">
        <f>IF(AND(ISNUMBER(Histórico!$A79),ISNUMBER(Histórico!D79),Histórico!D79&gt;0),Histórico!D79,S78)</f>
        <v>389.05</v>
      </c>
      <c r="T79" s="18">
        <f>IF(AND(ISNUMBER(Histórico!$A79),ISNUMBER(Histórico!E79),Histórico!E79&gt;0),Histórico!E79,T78)</f>
        <v>5.3744</v>
      </c>
      <c r="U79" s="15">
        <f>IF(ISNUMBER(Histórico!A79),Histórico!A79,U78)</f>
        <v>46324</v>
      </c>
    </row>
    <row r="80" spans="17:21" ht="22.95" customHeight="1">
      <c r="Q80" s="17">
        <f>IF(AND(ISNUMBER(Histórico!$A80),ISNUMBER(Histórico!B80),Histórico!B80&gt;0),Histórico!B80,Q79)</f>
        <v>157.42</v>
      </c>
      <c r="R80" s="17">
        <f>IF(AND(ISNUMBER(Histórico!$A80),ISNUMBER(Histórico!C80),Histórico!C80&gt;0),Histórico!C80,R79)</f>
        <v>64.73</v>
      </c>
      <c r="S80" s="17">
        <f>IF(AND(ISNUMBER(Histórico!$A80),ISNUMBER(Histórico!D80),Histórico!D80&gt;0),Histórico!D80,S79)</f>
        <v>389.05</v>
      </c>
      <c r="T80" s="18">
        <f>IF(AND(ISNUMBER(Histórico!$A80),ISNUMBER(Histórico!E80),Histórico!E80&gt;0),Histórico!E80,T79)</f>
        <v>5.3744</v>
      </c>
      <c r="U80" s="15">
        <f>IF(ISNUMBER(Histórico!A80),Histórico!A80,U79)</f>
        <v>46324</v>
      </c>
    </row>
    <row r="81" spans="17:21" ht="22.95" customHeight="1">
      <c r="Q81" s="17">
        <f>IF(AND(ISNUMBER(Histórico!$A81),ISNUMBER(Histórico!B81),Histórico!B81&gt;0),Histórico!B81,Q80)</f>
        <v>157.42</v>
      </c>
      <c r="R81" s="17">
        <f>IF(AND(ISNUMBER(Histórico!$A81),ISNUMBER(Histórico!C81),Histórico!C81&gt;0),Histórico!C81,R80)</f>
        <v>64.73</v>
      </c>
      <c r="S81" s="17">
        <f>IF(AND(ISNUMBER(Histórico!$A81),ISNUMBER(Histórico!D81),Histórico!D81&gt;0),Histórico!D81,S80)</f>
        <v>389.05</v>
      </c>
      <c r="T81" s="18">
        <f>IF(AND(ISNUMBER(Histórico!$A81),ISNUMBER(Histórico!E81),Histórico!E81&gt;0),Histórico!E81,T80)</f>
        <v>5.3744</v>
      </c>
      <c r="U81" s="15">
        <f>IF(ISNUMBER(Histórico!A81),Histórico!A81,U80)</f>
        <v>46324</v>
      </c>
    </row>
    <row r="82" spans="17:21" ht="22.95" customHeight="1">
      <c r="Q82" s="17">
        <f>IF(AND(ISNUMBER(Histórico!$A82),ISNUMBER(Histórico!B82),Histórico!B82&gt;0),Histórico!B82,Q81)</f>
        <v>157.42</v>
      </c>
      <c r="R82" s="17">
        <f>IF(AND(ISNUMBER(Histórico!$A82),ISNUMBER(Histórico!C82),Histórico!C82&gt;0),Histórico!C82,R81)</f>
        <v>64.73</v>
      </c>
      <c r="S82" s="17">
        <f>IF(AND(ISNUMBER(Histórico!$A82),ISNUMBER(Histórico!D82),Histórico!D82&gt;0),Histórico!D82,S81)</f>
        <v>389.05</v>
      </c>
      <c r="T82" s="18">
        <f>IF(AND(ISNUMBER(Histórico!$A82),ISNUMBER(Histórico!E82),Histórico!E82&gt;0),Histórico!E82,T81)</f>
        <v>5.3744</v>
      </c>
      <c r="U82" s="15">
        <f>IF(ISNUMBER(Histórico!A82),Histórico!A82,U81)</f>
        <v>46324</v>
      </c>
    </row>
    <row r="83" spans="17:21" ht="22.95" customHeight="1">
      <c r="Q83" s="17">
        <f>IF(AND(ISNUMBER(Histórico!$A83),ISNUMBER(Histórico!B83),Histórico!B83&gt;0),Histórico!B83,Q82)</f>
        <v>157.42</v>
      </c>
      <c r="R83" s="17">
        <f>IF(AND(ISNUMBER(Histórico!$A83),ISNUMBER(Histórico!C83),Histórico!C83&gt;0),Histórico!C83,R82)</f>
        <v>64.73</v>
      </c>
      <c r="S83" s="17">
        <f>IF(AND(ISNUMBER(Histórico!$A83),ISNUMBER(Histórico!D83),Histórico!D83&gt;0),Histórico!D83,S82)</f>
        <v>389.05</v>
      </c>
      <c r="T83" s="18">
        <f>IF(AND(ISNUMBER(Histórico!$A83),ISNUMBER(Histórico!E83),Histórico!E83&gt;0),Histórico!E83,T82)</f>
        <v>5.3744</v>
      </c>
      <c r="U83" s="15">
        <f>IF(ISNUMBER(Histórico!A83),Histórico!A83,U82)</f>
        <v>46324</v>
      </c>
    </row>
    <row r="84" spans="17:21" ht="22.95" customHeight="1">
      <c r="Q84" s="17">
        <f>IF(AND(ISNUMBER(Histórico!$A84),ISNUMBER(Histórico!B84),Histórico!B84&gt;0),Histórico!B84,Q83)</f>
        <v>157.42</v>
      </c>
      <c r="R84" s="17">
        <f>IF(AND(ISNUMBER(Histórico!$A84),ISNUMBER(Histórico!C84),Histórico!C84&gt;0),Histórico!C84,R83)</f>
        <v>64.73</v>
      </c>
      <c r="S84" s="17">
        <f>IF(AND(ISNUMBER(Histórico!$A84),ISNUMBER(Histórico!D84),Histórico!D84&gt;0),Histórico!D84,S83)</f>
        <v>389.05</v>
      </c>
      <c r="T84" s="18">
        <f>IF(AND(ISNUMBER(Histórico!$A84),ISNUMBER(Histórico!E84),Histórico!E84&gt;0),Histórico!E84,T83)</f>
        <v>5.3744</v>
      </c>
      <c r="U84" s="15">
        <f>IF(ISNUMBER(Histórico!A84),Histórico!A84,U83)</f>
        <v>46324</v>
      </c>
    </row>
    <row r="85" spans="17:21" ht="22.95" customHeight="1">
      <c r="Q85" s="17">
        <f>IF(AND(ISNUMBER(Histórico!$A85),ISNUMBER(Histórico!B85),Histórico!B85&gt;0),Histórico!B85,Q84)</f>
        <v>157.42</v>
      </c>
      <c r="R85" s="17">
        <f>IF(AND(ISNUMBER(Histórico!$A85),ISNUMBER(Histórico!C85),Histórico!C85&gt;0),Histórico!C85,R84)</f>
        <v>64.73</v>
      </c>
      <c r="S85" s="17">
        <f>IF(AND(ISNUMBER(Histórico!$A85),ISNUMBER(Histórico!D85),Histórico!D85&gt;0),Histórico!D85,S84)</f>
        <v>389.05</v>
      </c>
      <c r="T85" s="18">
        <f>IF(AND(ISNUMBER(Histórico!$A85),ISNUMBER(Histórico!E85),Histórico!E85&gt;0),Histórico!E85,T84)</f>
        <v>5.3744</v>
      </c>
      <c r="U85" s="15">
        <f>IF(ISNUMBER(Histórico!A85),Histórico!A85,U84)</f>
        <v>46324</v>
      </c>
    </row>
    <row r="86" spans="17:21" ht="22.95" customHeight="1">
      <c r="Q86" s="17">
        <f>IF(AND(ISNUMBER(Histórico!$A86),ISNUMBER(Histórico!B86),Histórico!B86&gt;0),Histórico!B86,Q85)</f>
        <v>157.42</v>
      </c>
      <c r="R86" s="17">
        <f>IF(AND(ISNUMBER(Histórico!$A86),ISNUMBER(Histórico!C86),Histórico!C86&gt;0),Histórico!C86,R85)</f>
        <v>64.73</v>
      </c>
      <c r="S86" s="17">
        <f>IF(AND(ISNUMBER(Histórico!$A86),ISNUMBER(Histórico!D86),Histórico!D86&gt;0),Histórico!D86,S85)</f>
        <v>389.05</v>
      </c>
      <c r="T86" s="18">
        <f>IF(AND(ISNUMBER(Histórico!$A86),ISNUMBER(Histórico!E86),Histórico!E86&gt;0),Histórico!E86,T85)</f>
        <v>5.3744</v>
      </c>
      <c r="U86" s="15">
        <f>IF(ISNUMBER(Histórico!A86),Histórico!A86,U85)</f>
        <v>46324</v>
      </c>
    </row>
    <row r="87" spans="17:21" ht="22.95" customHeight="1">
      <c r="Q87" s="17">
        <f>IF(AND(ISNUMBER(Histórico!$A87),ISNUMBER(Histórico!B87),Histórico!B87&gt;0),Histórico!B87,Q86)</f>
        <v>157.42</v>
      </c>
      <c r="R87" s="17">
        <f>IF(AND(ISNUMBER(Histórico!$A87),ISNUMBER(Histórico!C87),Histórico!C87&gt;0),Histórico!C87,R86)</f>
        <v>64.73</v>
      </c>
      <c r="S87" s="17">
        <f>IF(AND(ISNUMBER(Histórico!$A87),ISNUMBER(Histórico!D87),Histórico!D87&gt;0),Histórico!D87,S86)</f>
        <v>389.05</v>
      </c>
      <c r="T87" s="18">
        <f>IF(AND(ISNUMBER(Histórico!$A87),ISNUMBER(Histórico!E87),Histórico!E87&gt;0),Histórico!E87,T86)</f>
        <v>5.3744</v>
      </c>
      <c r="U87" s="15">
        <f>IF(ISNUMBER(Histórico!A87),Histórico!A87,U86)</f>
        <v>46324</v>
      </c>
    </row>
    <row r="88" spans="17:21" ht="22.95" customHeight="1">
      <c r="Q88" s="17">
        <f>IF(AND(ISNUMBER(Histórico!$A88),ISNUMBER(Histórico!B88),Histórico!B88&gt;0),Histórico!B88,Q87)</f>
        <v>157.42</v>
      </c>
      <c r="R88" s="17">
        <f>IF(AND(ISNUMBER(Histórico!$A88),ISNUMBER(Histórico!C88),Histórico!C88&gt;0),Histórico!C88,R87)</f>
        <v>64.73</v>
      </c>
      <c r="S88" s="17">
        <f>IF(AND(ISNUMBER(Histórico!$A88),ISNUMBER(Histórico!D88),Histórico!D88&gt;0),Histórico!D88,S87)</f>
        <v>389.05</v>
      </c>
      <c r="T88" s="18">
        <f>IF(AND(ISNUMBER(Histórico!$A88),ISNUMBER(Histórico!E88),Histórico!E88&gt;0),Histórico!E88,T87)</f>
        <v>5.3744</v>
      </c>
      <c r="U88" s="15">
        <f>IF(ISNUMBER(Histórico!A88),Histórico!A88,U87)</f>
        <v>46324</v>
      </c>
    </row>
    <row r="89" spans="17:21" ht="22.95" customHeight="1">
      <c r="Q89" s="17">
        <f>IF(AND(ISNUMBER(Histórico!$A89),ISNUMBER(Histórico!B89),Histórico!B89&gt;0),Histórico!B89,Q88)</f>
        <v>157.42</v>
      </c>
      <c r="R89" s="17">
        <f>IF(AND(ISNUMBER(Histórico!$A89),ISNUMBER(Histórico!C89),Histórico!C89&gt;0),Histórico!C89,R88)</f>
        <v>64.73</v>
      </c>
      <c r="S89" s="17">
        <f>IF(AND(ISNUMBER(Histórico!$A89),ISNUMBER(Histórico!D89),Histórico!D89&gt;0),Histórico!D89,S88)</f>
        <v>389.05</v>
      </c>
      <c r="T89" s="18">
        <f>IF(AND(ISNUMBER(Histórico!$A89),ISNUMBER(Histórico!E89),Histórico!E89&gt;0),Histórico!E89,T88)</f>
        <v>5.3744</v>
      </c>
      <c r="U89" s="15">
        <f>IF(ISNUMBER(Histórico!A89),Histórico!A89,U88)</f>
        <v>46324</v>
      </c>
    </row>
    <row r="90" spans="17:21" ht="22.95" customHeight="1">
      <c r="Q90" s="17">
        <f>IF(AND(ISNUMBER(Histórico!$A90),ISNUMBER(Histórico!B90),Histórico!B90&gt;0),Histórico!B90,Q89)</f>
        <v>157.42</v>
      </c>
      <c r="R90" s="17">
        <f>IF(AND(ISNUMBER(Histórico!$A90),ISNUMBER(Histórico!C90),Histórico!C90&gt;0),Histórico!C90,R89)</f>
        <v>64.73</v>
      </c>
      <c r="S90" s="17">
        <f>IF(AND(ISNUMBER(Histórico!$A90),ISNUMBER(Histórico!D90),Histórico!D90&gt;0),Histórico!D90,S89)</f>
        <v>389.05</v>
      </c>
      <c r="T90" s="18">
        <f>IF(AND(ISNUMBER(Histórico!$A90),ISNUMBER(Histórico!E90),Histórico!E90&gt;0),Histórico!E90,T89)</f>
        <v>5.3744</v>
      </c>
      <c r="U90" s="15">
        <f>IF(ISNUMBER(Histórico!A90),Histórico!A90,U89)</f>
        <v>46324</v>
      </c>
    </row>
    <row r="91" spans="17:21" ht="22.95" customHeight="1">
      <c r="Q91" s="17">
        <f>IF(AND(ISNUMBER(Histórico!$A91),ISNUMBER(Histórico!B91),Histórico!B91&gt;0),Histórico!B91,Q90)</f>
        <v>157.42</v>
      </c>
      <c r="R91" s="17">
        <f>IF(AND(ISNUMBER(Histórico!$A91),ISNUMBER(Histórico!C91),Histórico!C91&gt;0),Histórico!C91,R90)</f>
        <v>64.73</v>
      </c>
      <c r="S91" s="17">
        <f>IF(AND(ISNUMBER(Histórico!$A91),ISNUMBER(Histórico!D91),Histórico!D91&gt;0),Histórico!D91,S90)</f>
        <v>389.05</v>
      </c>
      <c r="T91" s="18">
        <f>IF(AND(ISNUMBER(Histórico!$A91),ISNUMBER(Histórico!E91),Histórico!E91&gt;0),Histórico!E91,T90)</f>
        <v>5.3744</v>
      </c>
      <c r="U91" s="15">
        <f>IF(ISNUMBER(Histórico!A91),Histórico!A91,U90)</f>
        <v>46324</v>
      </c>
    </row>
    <row r="92" spans="17:21" ht="22.95" customHeight="1">
      <c r="Q92" s="17">
        <f>IF(AND(ISNUMBER(Histórico!$A92),ISNUMBER(Histórico!B92),Histórico!B92&gt;0),Histórico!B92,Q91)</f>
        <v>157.42</v>
      </c>
      <c r="R92" s="17">
        <f>IF(AND(ISNUMBER(Histórico!$A92),ISNUMBER(Histórico!C92),Histórico!C92&gt;0),Histórico!C92,R91)</f>
        <v>64.73</v>
      </c>
      <c r="S92" s="17">
        <f>IF(AND(ISNUMBER(Histórico!$A92),ISNUMBER(Histórico!D92),Histórico!D92&gt;0),Histórico!D92,S91)</f>
        <v>389.05</v>
      </c>
      <c r="T92" s="18">
        <f>IF(AND(ISNUMBER(Histórico!$A92),ISNUMBER(Histórico!E92),Histórico!E92&gt;0),Histórico!E92,T91)</f>
        <v>5.3744</v>
      </c>
      <c r="U92" s="15">
        <f>IF(ISNUMBER(Histórico!A92),Histórico!A92,U91)</f>
        <v>46324</v>
      </c>
    </row>
    <row r="93" spans="17:21" ht="22.95" customHeight="1">
      <c r="Q93" s="17">
        <f>IF(AND(ISNUMBER(Histórico!$A93),ISNUMBER(Histórico!B93),Histórico!B93&gt;0),Histórico!B93,Q92)</f>
        <v>157.42</v>
      </c>
      <c r="R93" s="17">
        <f>IF(AND(ISNUMBER(Histórico!$A93),ISNUMBER(Histórico!C93),Histórico!C93&gt;0),Histórico!C93,R92)</f>
        <v>64.73</v>
      </c>
      <c r="S93" s="17">
        <f>IF(AND(ISNUMBER(Histórico!$A93),ISNUMBER(Histórico!D93),Histórico!D93&gt;0),Histórico!D93,S92)</f>
        <v>389.05</v>
      </c>
      <c r="T93" s="18">
        <f>IF(AND(ISNUMBER(Histórico!$A93),ISNUMBER(Histórico!E93),Histórico!E93&gt;0),Histórico!E93,T92)</f>
        <v>5.3744</v>
      </c>
      <c r="U93" s="15">
        <f>IF(ISNUMBER(Histórico!A93),Histórico!A93,U92)</f>
        <v>46324</v>
      </c>
    </row>
    <row r="94" spans="17:21" ht="22.95" customHeight="1">
      <c r="Q94" s="17">
        <f>IF(AND(ISNUMBER(Histórico!$A94),ISNUMBER(Histórico!B94),Histórico!B94&gt;0),Histórico!B94,Q93)</f>
        <v>157.42</v>
      </c>
      <c r="R94" s="17">
        <f>IF(AND(ISNUMBER(Histórico!$A94),ISNUMBER(Histórico!C94),Histórico!C94&gt;0),Histórico!C94,R93)</f>
        <v>64.73</v>
      </c>
      <c r="S94" s="17">
        <f>IF(AND(ISNUMBER(Histórico!$A94),ISNUMBER(Histórico!D94),Histórico!D94&gt;0),Histórico!D94,S93)</f>
        <v>389.05</v>
      </c>
      <c r="T94" s="18">
        <f>IF(AND(ISNUMBER(Histórico!$A94),ISNUMBER(Histórico!E94),Histórico!E94&gt;0),Histórico!E94,T93)</f>
        <v>5.3744</v>
      </c>
      <c r="U94" s="15">
        <f>IF(ISNUMBER(Histórico!A94),Histórico!A94,U93)</f>
        <v>46324</v>
      </c>
    </row>
    <row r="95" spans="17:21" ht="22.95" customHeight="1">
      <c r="Q95" s="17">
        <f>IF(AND(ISNUMBER(Histórico!$A95),ISNUMBER(Histórico!B95),Histórico!B95&gt;0),Histórico!B95,Q94)</f>
        <v>157.42</v>
      </c>
      <c r="R95" s="17">
        <f>IF(AND(ISNUMBER(Histórico!$A95),ISNUMBER(Histórico!C95),Histórico!C95&gt;0),Histórico!C95,R94)</f>
        <v>64.73</v>
      </c>
      <c r="S95" s="17">
        <f>IF(AND(ISNUMBER(Histórico!$A95),ISNUMBER(Histórico!D95),Histórico!D95&gt;0),Histórico!D95,S94)</f>
        <v>389.05</v>
      </c>
      <c r="T95" s="18">
        <f>IF(AND(ISNUMBER(Histórico!$A95),ISNUMBER(Histórico!E95),Histórico!E95&gt;0),Histórico!E95,T94)</f>
        <v>5.3744</v>
      </c>
      <c r="U95" s="15">
        <f>IF(ISNUMBER(Histórico!A95),Histórico!A95,U94)</f>
        <v>46324</v>
      </c>
    </row>
    <row r="96" spans="17:21" ht="22.95" customHeight="1">
      <c r="Q96" s="17">
        <f>IF(AND(ISNUMBER(Histórico!$A96),ISNUMBER(Histórico!B96),Histórico!B96&gt;0),Histórico!B96,Q95)</f>
        <v>157.42</v>
      </c>
      <c r="R96" s="17">
        <f>IF(AND(ISNUMBER(Histórico!$A96),ISNUMBER(Histórico!C96),Histórico!C96&gt;0),Histórico!C96,R95)</f>
        <v>64.73</v>
      </c>
      <c r="S96" s="17">
        <f>IF(AND(ISNUMBER(Histórico!$A96),ISNUMBER(Histórico!D96),Histórico!D96&gt;0),Histórico!D96,S95)</f>
        <v>389.05</v>
      </c>
      <c r="T96" s="18">
        <f>IF(AND(ISNUMBER(Histórico!$A96),ISNUMBER(Histórico!E96),Histórico!E96&gt;0),Histórico!E96,T95)</f>
        <v>5.3744</v>
      </c>
      <c r="U96" s="15">
        <f>IF(ISNUMBER(Histórico!A96),Histórico!A96,U95)</f>
        <v>46324</v>
      </c>
    </row>
    <row r="97" spans="17:21" ht="22.95" customHeight="1">
      <c r="Q97" s="17">
        <f>IF(AND(ISNUMBER(Histórico!$A97),ISNUMBER(Histórico!B97),Histórico!B97&gt;0),Histórico!B97,Q96)</f>
        <v>157.42</v>
      </c>
      <c r="R97" s="17">
        <f>IF(AND(ISNUMBER(Histórico!$A97),ISNUMBER(Histórico!C97),Histórico!C97&gt;0),Histórico!C97,R96)</f>
        <v>64.73</v>
      </c>
      <c r="S97" s="17">
        <f>IF(AND(ISNUMBER(Histórico!$A97),ISNUMBER(Histórico!D97),Histórico!D97&gt;0),Histórico!D97,S96)</f>
        <v>389.05</v>
      </c>
      <c r="T97" s="18">
        <f>IF(AND(ISNUMBER(Histórico!$A97),ISNUMBER(Histórico!E97),Histórico!E97&gt;0),Histórico!E97,T96)</f>
        <v>5.3744</v>
      </c>
      <c r="U97" s="15">
        <f>IF(ISNUMBER(Histórico!A97),Histórico!A97,U96)</f>
        <v>46324</v>
      </c>
    </row>
    <row r="98" spans="17:21" ht="22.95" customHeight="1">
      <c r="Q98" s="17">
        <f>IF(AND(ISNUMBER(Histórico!$A98),ISNUMBER(Histórico!B98),Histórico!B98&gt;0),Histórico!B98,Q97)</f>
        <v>157.42</v>
      </c>
      <c r="R98" s="17">
        <f>IF(AND(ISNUMBER(Histórico!$A98),ISNUMBER(Histórico!C98),Histórico!C98&gt;0),Histórico!C98,R97)</f>
        <v>64.73</v>
      </c>
      <c r="S98" s="17">
        <f>IF(AND(ISNUMBER(Histórico!$A98),ISNUMBER(Histórico!D98),Histórico!D98&gt;0),Histórico!D98,S97)</f>
        <v>389.05</v>
      </c>
      <c r="T98" s="18">
        <f>IF(AND(ISNUMBER(Histórico!$A98),ISNUMBER(Histórico!E98),Histórico!E98&gt;0),Histórico!E98,T97)</f>
        <v>5.3744</v>
      </c>
      <c r="U98" s="15">
        <f>IF(ISNUMBER(Histórico!A98),Histórico!A98,U97)</f>
        <v>46324</v>
      </c>
    </row>
    <row r="99" spans="17:21" ht="22.95" customHeight="1">
      <c r="Q99" s="17">
        <f>IF(AND(ISNUMBER(Histórico!$A99),ISNUMBER(Histórico!B99),Histórico!B99&gt;0),Histórico!B99,Q98)</f>
        <v>157.42</v>
      </c>
      <c r="R99" s="17">
        <f>IF(AND(ISNUMBER(Histórico!$A99),ISNUMBER(Histórico!C99),Histórico!C99&gt;0),Histórico!C99,R98)</f>
        <v>64.73</v>
      </c>
      <c r="S99" s="17">
        <f>IF(AND(ISNUMBER(Histórico!$A99),ISNUMBER(Histórico!D99),Histórico!D99&gt;0),Histórico!D99,S98)</f>
        <v>389.05</v>
      </c>
      <c r="T99" s="18">
        <f>IF(AND(ISNUMBER(Histórico!$A99),ISNUMBER(Histórico!E99),Histórico!E99&gt;0),Histórico!E99,T98)</f>
        <v>5.3744</v>
      </c>
      <c r="U99" s="15">
        <f>IF(ISNUMBER(Histórico!A99),Histórico!A99,U98)</f>
        <v>46324</v>
      </c>
    </row>
    <row r="100" spans="17:21" ht="22.95" customHeight="1">
      <c r="Q100" s="17">
        <f>IF(AND(ISNUMBER(Histórico!$A100),ISNUMBER(Histórico!B100),Histórico!B100&gt;0),Histórico!B100,Q99)</f>
        <v>157.42</v>
      </c>
      <c r="R100" s="17">
        <f>IF(AND(ISNUMBER(Histórico!$A100),ISNUMBER(Histórico!C100),Histórico!C100&gt;0),Histórico!C100,R99)</f>
        <v>64.73</v>
      </c>
      <c r="S100" s="17">
        <f>IF(AND(ISNUMBER(Histórico!$A100),ISNUMBER(Histórico!D100),Histórico!D100&gt;0),Histórico!D100,S99)</f>
        <v>389.05</v>
      </c>
      <c r="T100" s="18">
        <f>IF(AND(ISNUMBER(Histórico!$A100),ISNUMBER(Histórico!E100),Histórico!E100&gt;0),Histórico!E100,T99)</f>
        <v>5.3744</v>
      </c>
      <c r="U100" s="15">
        <f>IF(ISNUMBER(Histórico!A100),Histórico!A100,U99)</f>
        <v>46324</v>
      </c>
    </row>
    <row r="101" spans="17:21" ht="22.95" customHeight="1">
      <c r="Q101" s="17">
        <f>IF(AND(ISNUMBER(Histórico!$A101),ISNUMBER(Histórico!B101),Histórico!B101&gt;0),Histórico!B101,Q100)</f>
        <v>157.42</v>
      </c>
      <c r="R101" s="17">
        <f>IF(AND(ISNUMBER(Histórico!$A101),ISNUMBER(Histórico!C101),Histórico!C101&gt;0),Histórico!C101,R100)</f>
        <v>64.73</v>
      </c>
      <c r="S101" s="17">
        <f>IF(AND(ISNUMBER(Histórico!$A101),ISNUMBER(Histórico!D101),Histórico!D101&gt;0),Histórico!D101,S100)</f>
        <v>389.05</v>
      </c>
      <c r="T101" s="18">
        <f>IF(AND(ISNUMBER(Histórico!$A101),ISNUMBER(Histórico!E101),Histórico!E101&gt;0),Histórico!E101,T100)</f>
        <v>5.3744</v>
      </c>
      <c r="U101" s="15">
        <f>IF(ISNUMBER(Histórico!A101),Histórico!A101,U100)</f>
        <v>46324</v>
      </c>
    </row>
    <row r="102" spans="17:21" ht="22.95" customHeight="1">
      <c r="Q102" s="17">
        <f>IF(AND(ISNUMBER(Histórico!$A102),ISNUMBER(Histórico!B102),Histórico!B102&gt;0),Histórico!B102,Q101)</f>
        <v>157.42</v>
      </c>
      <c r="R102" s="17">
        <f>IF(AND(ISNUMBER(Histórico!$A102),ISNUMBER(Histórico!C102),Histórico!C102&gt;0),Histórico!C102,R101)</f>
        <v>64.73</v>
      </c>
      <c r="S102" s="17">
        <f>IF(AND(ISNUMBER(Histórico!$A102),ISNUMBER(Histórico!D102),Histórico!D102&gt;0),Histórico!D102,S101)</f>
        <v>389.05</v>
      </c>
      <c r="T102" s="18">
        <f>IF(AND(ISNUMBER(Histórico!$A102),ISNUMBER(Histórico!E102),Histórico!E102&gt;0),Histórico!E102,T101)</f>
        <v>5.3744</v>
      </c>
      <c r="U102" s="15">
        <f>IF(ISNUMBER(Histórico!A102),Histórico!A102,U101)</f>
        <v>46324</v>
      </c>
    </row>
    <row r="103" spans="17:21" ht="22.95" customHeight="1">
      <c r="Q103" s="17">
        <f>IF(AND(ISNUMBER(Histórico!$A103),ISNUMBER(Histórico!B103),Histórico!B103&gt;0),Histórico!B103,Q102)</f>
        <v>157.42</v>
      </c>
      <c r="R103" s="17">
        <f>IF(AND(ISNUMBER(Histórico!$A103),ISNUMBER(Histórico!C103),Histórico!C103&gt;0),Histórico!C103,R102)</f>
        <v>64.73</v>
      </c>
      <c r="S103" s="17">
        <f>IF(AND(ISNUMBER(Histórico!$A103),ISNUMBER(Histórico!D103),Histórico!D103&gt;0),Histórico!D103,S102)</f>
        <v>389.05</v>
      </c>
      <c r="T103" s="18">
        <f>IF(AND(ISNUMBER(Histórico!$A103),ISNUMBER(Histórico!E103),Histórico!E103&gt;0),Histórico!E103,T102)</f>
        <v>5.3744</v>
      </c>
      <c r="U103" s="15">
        <f>IF(ISNUMBER(Histórico!A103),Histórico!A103,U102)</f>
        <v>46324</v>
      </c>
    </row>
    <row r="104" spans="17:21" ht="22.95" customHeight="1">
      <c r="Q104" s="17">
        <f>IF(AND(ISNUMBER(Histórico!$A104),ISNUMBER(Histórico!B104),Histórico!B104&gt;0),Histórico!B104,Q103)</f>
        <v>157.42</v>
      </c>
      <c r="R104" s="17">
        <f>IF(AND(ISNUMBER(Histórico!$A104),ISNUMBER(Histórico!C104),Histórico!C104&gt;0),Histórico!C104,R103)</f>
        <v>64.73</v>
      </c>
      <c r="S104" s="17">
        <f>IF(AND(ISNUMBER(Histórico!$A104),ISNUMBER(Histórico!D104),Histórico!D104&gt;0),Histórico!D104,S103)</f>
        <v>389.05</v>
      </c>
      <c r="T104" s="18">
        <f>IF(AND(ISNUMBER(Histórico!$A104),ISNUMBER(Histórico!E104),Histórico!E104&gt;0),Histórico!E104,T103)</f>
        <v>5.3744</v>
      </c>
      <c r="U104" s="15">
        <f>IF(ISNUMBER(Histórico!A104),Histórico!A104,U103)</f>
        <v>46324</v>
      </c>
    </row>
    <row r="105" spans="17:21" ht="22.95" customHeight="1">
      <c r="Q105" s="17">
        <f>IF(AND(ISNUMBER(Histórico!$A105),ISNUMBER(Histórico!B105),Histórico!B105&gt;0),Histórico!B105,Q104)</f>
        <v>157.42</v>
      </c>
      <c r="R105" s="17">
        <f>IF(AND(ISNUMBER(Histórico!$A105),ISNUMBER(Histórico!C105),Histórico!C105&gt;0),Histórico!C105,R104)</f>
        <v>64.73</v>
      </c>
      <c r="S105" s="17">
        <f>IF(AND(ISNUMBER(Histórico!$A105),ISNUMBER(Histórico!D105),Histórico!D105&gt;0),Histórico!D105,S104)</f>
        <v>389.05</v>
      </c>
      <c r="T105" s="18">
        <f>IF(AND(ISNUMBER(Histórico!$A105),ISNUMBER(Histórico!E105),Histórico!E105&gt;0),Histórico!E105,T104)</f>
        <v>5.3744</v>
      </c>
      <c r="U105" s="15">
        <f>IF(ISNUMBER(Histórico!A105),Histórico!A105,U104)</f>
        <v>46324</v>
      </c>
    </row>
    <row r="106" spans="17:21" ht="22.95" customHeight="1">
      <c r="Q106" s="17">
        <f>IF(AND(ISNUMBER(Histórico!$A106),ISNUMBER(Histórico!B106),Histórico!B106&gt;0),Histórico!B106,Q105)</f>
        <v>157.42</v>
      </c>
      <c r="R106" s="17">
        <f>IF(AND(ISNUMBER(Histórico!$A106),ISNUMBER(Histórico!C106),Histórico!C106&gt;0),Histórico!C106,R105)</f>
        <v>64.73</v>
      </c>
      <c r="S106" s="17">
        <f>IF(AND(ISNUMBER(Histórico!$A106),ISNUMBER(Histórico!D106),Histórico!D106&gt;0),Histórico!D106,S105)</f>
        <v>389.05</v>
      </c>
      <c r="T106" s="18">
        <f>IF(AND(ISNUMBER(Histórico!$A106),ISNUMBER(Histórico!E106),Histórico!E106&gt;0),Histórico!E106,T105)</f>
        <v>5.3744</v>
      </c>
      <c r="U106" s="15">
        <f>IF(ISNUMBER(Histórico!A106),Histórico!A106,U105)</f>
        <v>46324</v>
      </c>
    </row>
    <row r="107" spans="17:21" ht="22.95" customHeight="1">
      <c r="Q107" s="17">
        <f>IF(AND(ISNUMBER(Histórico!$A107),ISNUMBER(Histórico!B107),Histórico!B107&gt;0),Histórico!B107,Q106)</f>
        <v>157.42</v>
      </c>
      <c r="R107" s="17">
        <f>IF(AND(ISNUMBER(Histórico!$A107),ISNUMBER(Histórico!C107),Histórico!C107&gt;0),Histórico!C107,R106)</f>
        <v>64.73</v>
      </c>
      <c r="S107" s="17">
        <f>IF(AND(ISNUMBER(Histórico!$A107),ISNUMBER(Histórico!D107),Histórico!D107&gt;0),Histórico!D107,S106)</f>
        <v>389.05</v>
      </c>
      <c r="T107" s="18">
        <f>IF(AND(ISNUMBER(Histórico!$A107),ISNUMBER(Histórico!E107),Histórico!E107&gt;0),Histórico!E107,T106)</f>
        <v>5.3744</v>
      </c>
      <c r="U107" s="15">
        <f>IF(ISNUMBER(Histórico!A107),Histórico!A107,U106)</f>
        <v>46324</v>
      </c>
    </row>
    <row r="108" spans="17:21" ht="22.95" customHeight="1">
      <c r="Q108" s="17">
        <f>IF(AND(ISNUMBER(Histórico!$A108),ISNUMBER(Histórico!B108),Histórico!B108&gt;0),Histórico!B108,Q107)</f>
        <v>157.42</v>
      </c>
      <c r="R108" s="17">
        <f>IF(AND(ISNUMBER(Histórico!$A108),ISNUMBER(Histórico!C108),Histórico!C108&gt;0),Histórico!C108,R107)</f>
        <v>64.73</v>
      </c>
      <c r="S108" s="17">
        <f>IF(AND(ISNUMBER(Histórico!$A108),ISNUMBER(Histórico!D108),Histórico!D108&gt;0),Histórico!D108,S107)</f>
        <v>389.05</v>
      </c>
      <c r="T108" s="18">
        <f>IF(AND(ISNUMBER(Histórico!$A108),ISNUMBER(Histórico!E108),Histórico!E108&gt;0),Histórico!E108,T107)</f>
        <v>5.3744</v>
      </c>
      <c r="U108" s="15">
        <f>IF(ISNUMBER(Histórico!A108),Histórico!A108,U107)</f>
        <v>46324</v>
      </c>
    </row>
    <row r="109" spans="17:21" ht="22.95" customHeight="1">
      <c r="Q109" s="17">
        <f>IF(AND(ISNUMBER(Histórico!$A109),ISNUMBER(Histórico!B109),Histórico!B109&gt;0),Histórico!B109,Q108)</f>
        <v>157.42</v>
      </c>
      <c r="R109" s="17">
        <f>IF(AND(ISNUMBER(Histórico!$A109),ISNUMBER(Histórico!C109),Histórico!C109&gt;0),Histórico!C109,R108)</f>
        <v>64.73</v>
      </c>
      <c r="S109" s="17">
        <f>IF(AND(ISNUMBER(Histórico!$A109),ISNUMBER(Histórico!D109),Histórico!D109&gt;0),Histórico!D109,S108)</f>
        <v>389.05</v>
      </c>
      <c r="T109" s="18">
        <f>IF(AND(ISNUMBER(Histórico!$A109),ISNUMBER(Histórico!E109),Histórico!E109&gt;0),Histórico!E109,T108)</f>
        <v>5.3744</v>
      </c>
      <c r="U109" s="15">
        <f>IF(ISNUMBER(Histórico!A109),Histórico!A109,U108)</f>
        <v>46324</v>
      </c>
    </row>
    <row r="110" spans="17:21" ht="22.95" customHeight="1">
      <c r="Q110" s="17">
        <f>IF(AND(ISNUMBER(Histórico!$A110),ISNUMBER(Histórico!B110),Histórico!B110&gt;0),Histórico!B110,Q109)</f>
        <v>157.42</v>
      </c>
      <c r="R110" s="17">
        <f>IF(AND(ISNUMBER(Histórico!$A110),ISNUMBER(Histórico!C110),Histórico!C110&gt;0),Histórico!C110,R109)</f>
        <v>64.73</v>
      </c>
      <c r="S110" s="17">
        <f>IF(AND(ISNUMBER(Histórico!$A110),ISNUMBER(Histórico!D110),Histórico!D110&gt;0),Histórico!D110,S109)</f>
        <v>389.05</v>
      </c>
      <c r="T110" s="18">
        <f>IF(AND(ISNUMBER(Histórico!$A110),ISNUMBER(Histórico!E110),Histórico!E110&gt;0),Histórico!E110,T109)</f>
        <v>5.3744</v>
      </c>
      <c r="U110" s="15">
        <f>IF(ISNUMBER(Histórico!A110),Histórico!A110,U109)</f>
        <v>46324</v>
      </c>
    </row>
    <row r="111" spans="17:21" ht="22.95" customHeight="1">
      <c r="Q111" s="17">
        <f>IF(AND(ISNUMBER(Histórico!$A111),ISNUMBER(Histórico!B111),Histórico!B111&gt;0),Histórico!B111,Q110)</f>
        <v>157.42</v>
      </c>
      <c r="R111" s="17">
        <f>IF(AND(ISNUMBER(Histórico!$A111),ISNUMBER(Histórico!C111),Histórico!C111&gt;0),Histórico!C111,R110)</f>
        <v>64.73</v>
      </c>
      <c r="S111" s="17">
        <f>IF(AND(ISNUMBER(Histórico!$A111),ISNUMBER(Histórico!D111),Histórico!D111&gt;0),Histórico!D111,S110)</f>
        <v>389.05</v>
      </c>
      <c r="T111" s="18">
        <f>IF(AND(ISNUMBER(Histórico!$A111),ISNUMBER(Histórico!E111),Histórico!E111&gt;0),Histórico!E111,T110)</f>
        <v>5.3744</v>
      </c>
      <c r="U111" s="15">
        <f>IF(ISNUMBER(Histórico!A111),Histórico!A111,U110)</f>
        <v>46324</v>
      </c>
    </row>
    <row r="112" spans="17:21" ht="22.95" customHeight="1">
      <c r="Q112" s="17">
        <f>IF(AND(ISNUMBER(Histórico!$A112),ISNUMBER(Histórico!B112),Histórico!B112&gt;0),Histórico!B112,Q111)</f>
        <v>157.42</v>
      </c>
      <c r="R112" s="17">
        <f>IF(AND(ISNUMBER(Histórico!$A112),ISNUMBER(Histórico!C112),Histórico!C112&gt;0),Histórico!C112,R111)</f>
        <v>64.73</v>
      </c>
      <c r="S112" s="17">
        <f>IF(AND(ISNUMBER(Histórico!$A112),ISNUMBER(Histórico!D112),Histórico!D112&gt;0),Histórico!D112,S111)</f>
        <v>389.05</v>
      </c>
      <c r="T112" s="18">
        <f>IF(AND(ISNUMBER(Histórico!$A112),ISNUMBER(Histórico!E112),Histórico!E112&gt;0),Histórico!E112,T111)</f>
        <v>5.3744</v>
      </c>
      <c r="U112" s="15">
        <f>IF(ISNUMBER(Histórico!A112),Histórico!A112,U111)</f>
        <v>46324</v>
      </c>
    </row>
    <row r="113" spans="17:21" ht="22.95" customHeight="1">
      <c r="Q113" s="17">
        <f>IF(AND(ISNUMBER(Histórico!$A113),ISNUMBER(Histórico!B113),Histórico!B113&gt;0),Histórico!B113,Q112)</f>
        <v>157.42</v>
      </c>
      <c r="R113" s="17">
        <f>IF(AND(ISNUMBER(Histórico!$A113),ISNUMBER(Histórico!C113),Histórico!C113&gt;0),Histórico!C113,R112)</f>
        <v>64.73</v>
      </c>
      <c r="S113" s="17">
        <f>IF(AND(ISNUMBER(Histórico!$A113),ISNUMBER(Histórico!D113),Histórico!D113&gt;0),Histórico!D113,S112)</f>
        <v>389.05</v>
      </c>
      <c r="T113" s="18">
        <f>IF(AND(ISNUMBER(Histórico!$A113),ISNUMBER(Histórico!E113),Histórico!E113&gt;0),Histórico!E113,T112)</f>
        <v>5.3744</v>
      </c>
      <c r="U113" s="15">
        <f>IF(ISNUMBER(Histórico!A113),Histórico!A113,U112)</f>
        <v>46324</v>
      </c>
    </row>
    <row r="114" spans="17:21" ht="22.95" customHeight="1">
      <c r="Q114" s="17">
        <f>IF(AND(ISNUMBER(Histórico!$A114),ISNUMBER(Histórico!B114),Histórico!B114&gt;0),Histórico!B114,Q113)</f>
        <v>157.42</v>
      </c>
      <c r="R114" s="17">
        <f>IF(AND(ISNUMBER(Histórico!$A114),ISNUMBER(Histórico!C114),Histórico!C114&gt;0),Histórico!C114,R113)</f>
        <v>64.73</v>
      </c>
      <c r="S114" s="17">
        <f>IF(AND(ISNUMBER(Histórico!$A114),ISNUMBER(Histórico!D114),Histórico!D114&gt;0),Histórico!D114,S113)</f>
        <v>389.05</v>
      </c>
      <c r="T114" s="18">
        <f>IF(AND(ISNUMBER(Histórico!$A114),ISNUMBER(Histórico!E114),Histórico!E114&gt;0),Histórico!E114,T113)</f>
        <v>5.3744</v>
      </c>
      <c r="U114" s="15">
        <f>IF(ISNUMBER(Histórico!A114),Histórico!A114,U113)</f>
        <v>46324</v>
      </c>
    </row>
    <row r="115" spans="17:21" ht="22.95" customHeight="1">
      <c r="Q115" s="17">
        <f>IF(AND(ISNUMBER(Histórico!$A115),ISNUMBER(Histórico!B115),Histórico!B115&gt;0),Histórico!B115,Q114)</f>
        <v>157.42</v>
      </c>
      <c r="R115" s="17">
        <f>IF(AND(ISNUMBER(Histórico!$A115),ISNUMBER(Histórico!C115),Histórico!C115&gt;0),Histórico!C115,R114)</f>
        <v>64.73</v>
      </c>
      <c r="S115" s="17">
        <f>IF(AND(ISNUMBER(Histórico!$A115),ISNUMBER(Histórico!D115),Histórico!D115&gt;0),Histórico!D115,S114)</f>
        <v>389.05</v>
      </c>
      <c r="T115" s="18">
        <f>IF(AND(ISNUMBER(Histórico!$A115),ISNUMBER(Histórico!E115),Histórico!E115&gt;0),Histórico!E115,T114)</f>
        <v>5.3744</v>
      </c>
      <c r="U115" s="15">
        <f>IF(ISNUMBER(Histórico!A115),Histórico!A115,U114)</f>
        <v>46324</v>
      </c>
    </row>
    <row r="116" spans="17:21" ht="22.95" customHeight="1">
      <c r="Q116" s="17">
        <f>IF(AND(ISNUMBER(Histórico!$A116),ISNUMBER(Histórico!B116),Histórico!B116&gt;0),Histórico!B116,Q115)</f>
        <v>157.42</v>
      </c>
      <c r="R116" s="17">
        <f>IF(AND(ISNUMBER(Histórico!$A116),ISNUMBER(Histórico!C116),Histórico!C116&gt;0),Histórico!C116,R115)</f>
        <v>64.73</v>
      </c>
      <c r="S116" s="17">
        <f>IF(AND(ISNUMBER(Histórico!$A116),ISNUMBER(Histórico!D116),Histórico!D116&gt;0),Histórico!D116,S115)</f>
        <v>389.05</v>
      </c>
      <c r="T116" s="18">
        <f>IF(AND(ISNUMBER(Histórico!$A116),ISNUMBER(Histórico!E116),Histórico!E116&gt;0),Histórico!E116,T115)</f>
        <v>5.3744</v>
      </c>
      <c r="U116" s="15">
        <f>IF(ISNUMBER(Histórico!A116),Histórico!A116,U115)</f>
        <v>46324</v>
      </c>
    </row>
    <row r="117" spans="17:21" ht="22.95" customHeight="1">
      <c r="Q117" s="17">
        <f>IF(AND(ISNUMBER(Histórico!$A117),ISNUMBER(Histórico!B117),Histórico!B117&gt;0),Histórico!B117,Q116)</f>
        <v>157.42</v>
      </c>
      <c r="R117" s="17">
        <f>IF(AND(ISNUMBER(Histórico!$A117),ISNUMBER(Histórico!C117),Histórico!C117&gt;0),Histórico!C117,R116)</f>
        <v>64.73</v>
      </c>
      <c r="S117" s="17">
        <f>IF(AND(ISNUMBER(Histórico!$A117),ISNUMBER(Histórico!D117),Histórico!D117&gt;0),Histórico!D117,S116)</f>
        <v>389.05</v>
      </c>
      <c r="T117" s="18">
        <f>IF(AND(ISNUMBER(Histórico!$A117),ISNUMBER(Histórico!E117),Histórico!E117&gt;0),Histórico!E117,T116)</f>
        <v>5.3744</v>
      </c>
      <c r="U117" s="15">
        <f>IF(ISNUMBER(Histórico!A117),Histórico!A117,U116)</f>
        <v>46324</v>
      </c>
    </row>
    <row r="118" spans="17:21" ht="22.95" customHeight="1">
      <c r="Q118" s="17">
        <f>IF(AND(ISNUMBER(Histórico!$A118),ISNUMBER(Histórico!B118),Histórico!B118&gt;0),Histórico!B118,Q117)</f>
        <v>157.42</v>
      </c>
      <c r="R118" s="17">
        <f>IF(AND(ISNUMBER(Histórico!$A118),ISNUMBER(Histórico!C118),Histórico!C118&gt;0),Histórico!C118,R117)</f>
        <v>64.73</v>
      </c>
      <c r="S118" s="17">
        <f>IF(AND(ISNUMBER(Histórico!$A118),ISNUMBER(Histórico!D118),Histórico!D118&gt;0),Histórico!D118,S117)</f>
        <v>389.05</v>
      </c>
      <c r="T118" s="18">
        <f>IF(AND(ISNUMBER(Histórico!$A118),ISNUMBER(Histórico!E118),Histórico!E118&gt;0),Histórico!E118,T117)</f>
        <v>5.3744</v>
      </c>
      <c r="U118" s="15">
        <f>IF(ISNUMBER(Histórico!A118),Histórico!A118,U117)</f>
        <v>46324</v>
      </c>
    </row>
    <row r="119" spans="17:21" ht="22.95" customHeight="1">
      <c r="Q119" s="17">
        <f>IF(AND(ISNUMBER(Histórico!$A119),ISNUMBER(Histórico!B119),Histórico!B119&gt;0),Histórico!B119,Q118)</f>
        <v>157.42</v>
      </c>
      <c r="R119" s="17">
        <f>IF(AND(ISNUMBER(Histórico!$A119),ISNUMBER(Histórico!C119),Histórico!C119&gt;0),Histórico!C119,R118)</f>
        <v>64.73</v>
      </c>
      <c r="S119" s="17">
        <f>IF(AND(ISNUMBER(Histórico!$A119),ISNUMBER(Histórico!D119),Histórico!D119&gt;0),Histórico!D119,S118)</f>
        <v>389.05</v>
      </c>
      <c r="T119" s="18">
        <f>IF(AND(ISNUMBER(Histórico!$A119),ISNUMBER(Histórico!E119),Histórico!E119&gt;0),Histórico!E119,T118)</f>
        <v>5.3744</v>
      </c>
      <c r="U119" s="15">
        <f>IF(ISNUMBER(Histórico!A119),Histórico!A119,U118)</f>
        <v>46324</v>
      </c>
    </row>
    <row r="120" spans="17:21" ht="22.95" customHeight="1">
      <c r="Q120" s="17">
        <f>IF(AND(ISNUMBER(Histórico!$A120),ISNUMBER(Histórico!B120),Histórico!B120&gt;0),Histórico!B120,Q119)</f>
        <v>157.42</v>
      </c>
      <c r="R120" s="17">
        <f>IF(AND(ISNUMBER(Histórico!$A120),ISNUMBER(Histórico!C120),Histórico!C120&gt;0),Histórico!C120,R119)</f>
        <v>64.73</v>
      </c>
      <c r="S120" s="17">
        <f>IF(AND(ISNUMBER(Histórico!$A120),ISNUMBER(Histórico!D120),Histórico!D120&gt;0),Histórico!D120,S119)</f>
        <v>389.05</v>
      </c>
      <c r="T120" s="18">
        <f>IF(AND(ISNUMBER(Histórico!$A120),ISNUMBER(Histórico!E120),Histórico!E120&gt;0),Histórico!E120,T119)</f>
        <v>5.3744</v>
      </c>
      <c r="U120" s="15">
        <f>IF(ISNUMBER(Histórico!A120),Histórico!A120,U119)</f>
        <v>46324</v>
      </c>
    </row>
    <row r="121" spans="17:21" ht="22.95" customHeight="1">
      <c r="Q121" s="17">
        <f>IF(AND(ISNUMBER(Histórico!$A121),ISNUMBER(Histórico!B121),Histórico!B121&gt;0),Histórico!B121,Q120)</f>
        <v>157.42</v>
      </c>
      <c r="R121" s="17">
        <f>IF(AND(ISNUMBER(Histórico!$A121),ISNUMBER(Histórico!C121),Histórico!C121&gt;0),Histórico!C121,R120)</f>
        <v>64.73</v>
      </c>
      <c r="S121" s="17">
        <f>IF(AND(ISNUMBER(Histórico!$A121),ISNUMBER(Histórico!D121),Histórico!D121&gt;0),Histórico!D121,S120)</f>
        <v>389.05</v>
      </c>
      <c r="T121" s="18">
        <f>IF(AND(ISNUMBER(Histórico!$A121),ISNUMBER(Histórico!E121),Histórico!E121&gt;0),Histórico!E121,T120)</f>
        <v>5.3744</v>
      </c>
      <c r="U121" s="15">
        <f>IF(ISNUMBER(Histórico!A121),Histórico!A121,U120)</f>
        <v>46324</v>
      </c>
    </row>
    <row r="122" spans="17:21" ht="22.95" customHeight="1">
      <c r="Q122" s="17">
        <f>IF(AND(ISNUMBER(Histórico!$A122),ISNUMBER(Histórico!B122),Histórico!B122&gt;0),Histórico!B122,Q121)</f>
        <v>157.42</v>
      </c>
      <c r="R122" s="17">
        <f>IF(AND(ISNUMBER(Histórico!$A122),ISNUMBER(Histórico!C122),Histórico!C122&gt;0),Histórico!C122,R121)</f>
        <v>64.73</v>
      </c>
      <c r="S122" s="17">
        <f>IF(AND(ISNUMBER(Histórico!$A122),ISNUMBER(Histórico!D122),Histórico!D122&gt;0),Histórico!D122,S121)</f>
        <v>389.05</v>
      </c>
      <c r="T122" s="18">
        <f>IF(AND(ISNUMBER(Histórico!$A122),ISNUMBER(Histórico!E122),Histórico!E122&gt;0),Histórico!E122,T121)</f>
        <v>5.3744</v>
      </c>
      <c r="U122" s="15">
        <f>IF(ISNUMBER(Histórico!A122),Histórico!A122,U121)</f>
        <v>46324</v>
      </c>
    </row>
    <row r="123" spans="17:21" ht="22.95" customHeight="1">
      <c r="Q123" s="17">
        <f>IF(AND(ISNUMBER(Histórico!$A123),ISNUMBER(Histórico!B123),Histórico!B123&gt;0),Histórico!B123,Q122)</f>
        <v>157.42</v>
      </c>
      <c r="R123" s="17">
        <f>IF(AND(ISNUMBER(Histórico!$A123),ISNUMBER(Histórico!C123),Histórico!C123&gt;0),Histórico!C123,R122)</f>
        <v>64.73</v>
      </c>
      <c r="S123" s="17">
        <f>IF(AND(ISNUMBER(Histórico!$A123),ISNUMBER(Histórico!D123),Histórico!D123&gt;0),Histórico!D123,S122)</f>
        <v>389.05</v>
      </c>
      <c r="T123" s="18">
        <f>IF(AND(ISNUMBER(Histórico!$A123),ISNUMBER(Histórico!E123),Histórico!E123&gt;0),Histórico!E123,T122)</f>
        <v>5.3744</v>
      </c>
      <c r="U123" s="15">
        <f>IF(ISNUMBER(Histórico!A123),Histórico!A123,U122)</f>
        <v>46324</v>
      </c>
    </row>
    <row r="124" spans="17:21" ht="22.95" customHeight="1">
      <c r="Q124" s="17">
        <f>IF(AND(ISNUMBER(Histórico!$A124),ISNUMBER(Histórico!B124),Histórico!B124&gt;0),Histórico!B124,Q123)</f>
        <v>157.42</v>
      </c>
      <c r="R124" s="17">
        <f>IF(AND(ISNUMBER(Histórico!$A124),ISNUMBER(Histórico!C124),Histórico!C124&gt;0),Histórico!C124,R123)</f>
        <v>64.73</v>
      </c>
      <c r="S124" s="17">
        <f>IF(AND(ISNUMBER(Histórico!$A124),ISNUMBER(Histórico!D124),Histórico!D124&gt;0),Histórico!D124,S123)</f>
        <v>389.05</v>
      </c>
      <c r="T124" s="18">
        <f>IF(AND(ISNUMBER(Histórico!$A124),ISNUMBER(Histórico!E124),Histórico!E124&gt;0),Histórico!E124,T123)</f>
        <v>5.3744</v>
      </c>
      <c r="U124" s="15">
        <f>IF(ISNUMBER(Histórico!A124),Histórico!A124,U123)</f>
        <v>46324</v>
      </c>
    </row>
    <row r="125" spans="17:21" ht="22.95" customHeight="1">
      <c r="Q125" s="17">
        <f>IF(AND(ISNUMBER(Histórico!$A125),ISNUMBER(Histórico!B125),Histórico!B125&gt;0),Histórico!B125,Q124)</f>
        <v>157.42</v>
      </c>
      <c r="R125" s="17">
        <f>IF(AND(ISNUMBER(Histórico!$A125),ISNUMBER(Histórico!C125),Histórico!C125&gt;0),Histórico!C125,R124)</f>
        <v>64.73</v>
      </c>
      <c r="S125" s="17">
        <f>IF(AND(ISNUMBER(Histórico!$A125),ISNUMBER(Histórico!D125),Histórico!D125&gt;0),Histórico!D125,S124)</f>
        <v>389.05</v>
      </c>
      <c r="T125" s="18">
        <f>IF(AND(ISNUMBER(Histórico!$A125),ISNUMBER(Histórico!E125),Histórico!E125&gt;0),Histórico!E125,T124)</f>
        <v>5.3744</v>
      </c>
      <c r="U125" s="15">
        <f>IF(ISNUMBER(Histórico!A125),Histórico!A125,U124)</f>
        <v>46324</v>
      </c>
    </row>
    <row r="126" spans="17:21" ht="22.95" customHeight="1">
      <c r="Q126" s="17">
        <f>IF(AND(ISNUMBER(Histórico!$A126),ISNUMBER(Histórico!B126),Histórico!B126&gt;0),Histórico!B126,Q125)</f>
        <v>157.42</v>
      </c>
      <c r="R126" s="17">
        <f>IF(AND(ISNUMBER(Histórico!$A126),ISNUMBER(Histórico!C126),Histórico!C126&gt;0),Histórico!C126,R125)</f>
        <v>64.73</v>
      </c>
      <c r="S126" s="17">
        <f>IF(AND(ISNUMBER(Histórico!$A126),ISNUMBER(Histórico!D126),Histórico!D126&gt;0),Histórico!D126,S125)</f>
        <v>389.05</v>
      </c>
      <c r="T126" s="18">
        <f>IF(AND(ISNUMBER(Histórico!$A126),ISNUMBER(Histórico!E126),Histórico!E126&gt;0),Histórico!E126,T125)</f>
        <v>5.3744</v>
      </c>
      <c r="U126" s="15">
        <f>IF(ISNUMBER(Histórico!A126),Histórico!A126,U125)</f>
        <v>46324</v>
      </c>
    </row>
    <row r="127" spans="17:21" ht="22.95" customHeight="1">
      <c r="Q127" s="17">
        <f>IF(AND(ISNUMBER(Histórico!$A127),ISNUMBER(Histórico!B127),Histórico!B127&gt;0),Histórico!B127,Q126)</f>
        <v>157.42</v>
      </c>
      <c r="R127" s="17">
        <f>IF(AND(ISNUMBER(Histórico!$A127),ISNUMBER(Histórico!C127),Histórico!C127&gt;0),Histórico!C127,R126)</f>
        <v>64.73</v>
      </c>
      <c r="S127" s="17">
        <f>IF(AND(ISNUMBER(Histórico!$A127),ISNUMBER(Histórico!D127),Histórico!D127&gt;0),Histórico!D127,S126)</f>
        <v>389.05</v>
      </c>
      <c r="T127" s="18">
        <f>IF(AND(ISNUMBER(Histórico!$A127),ISNUMBER(Histórico!E127),Histórico!E127&gt;0),Histórico!E127,T126)</f>
        <v>5.3744</v>
      </c>
      <c r="U127" s="15">
        <f>IF(ISNUMBER(Histórico!A127),Histórico!A127,U126)</f>
        <v>46324</v>
      </c>
    </row>
    <row r="128" spans="17:21" ht="22.95" customHeight="1">
      <c r="Q128" s="17">
        <f>IF(AND(ISNUMBER(Histórico!$A128),ISNUMBER(Histórico!B128),Histórico!B128&gt;0),Histórico!B128,Q127)</f>
        <v>157.42</v>
      </c>
      <c r="R128" s="17">
        <f>IF(AND(ISNUMBER(Histórico!$A128),ISNUMBER(Histórico!C128),Histórico!C128&gt;0),Histórico!C128,R127)</f>
        <v>64.73</v>
      </c>
      <c r="S128" s="17">
        <f>IF(AND(ISNUMBER(Histórico!$A128),ISNUMBER(Histórico!D128),Histórico!D128&gt;0),Histórico!D128,S127)</f>
        <v>389.05</v>
      </c>
      <c r="T128" s="18">
        <f>IF(AND(ISNUMBER(Histórico!$A128),ISNUMBER(Histórico!E128),Histórico!E128&gt;0),Histórico!E128,T127)</f>
        <v>5.3744</v>
      </c>
      <c r="U128" s="15">
        <f>IF(ISNUMBER(Histórico!A128),Histórico!A128,U127)</f>
        <v>46324</v>
      </c>
    </row>
    <row r="129" spans="17:21" ht="22.95" customHeight="1">
      <c r="Q129" s="17">
        <f>IF(AND(ISNUMBER(Histórico!$A129),ISNUMBER(Histórico!B129),Histórico!B129&gt;0),Histórico!B129,Q128)</f>
        <v>157.42</v>
      </c>
      <c r="R129" s="17">
        <f>IF(AND(ISNUMBER(Histórico!$A129),ISNUMBER(Histórico!C129),Histórico!C129&gt;0),Histórico!C129,R128)</f>
        <v>64.73</v>
      </c>
      <c r="S129" s="17">
        <f>IF(AND(ISNUMBER(Histórico!$A129),ISNUMBER(Histórico!D129),Histórico!D129&gt;0),Histórico!D129,S128)</f>
        <v>389.05</v>
      </c>
      <c r="T129" s="18">
        <f>IF(AND(ISNUMBER(Histórico!$A129),ISNUMBER(Histórico!E129),Histórico!E129&gt;0),Histórico!E129,T128)</f>
        <v>5.3744</v>
      </c>
      <c r="U129" s="15">
        <f>IF(ISNUMBER(Histórico!A129),Histórico!A129,U128)</f>
        <v>46324</v>
      </c>
    </row>
    <row r="130" spans="17:21" ht="22.95" customHeight="1">
      <c r="Q130" s="17">
        <f>IF(AND(ISNUMBER(Histórico!$A130),ISNUMBER(Histórico!B130),Histórico!B130&gt;0),Histórico!B130,Q129)</f>
        <v>157.42</v>
      </c>
      <c r="R130" s="17">
        <f>IF(AND(ISNUMBER(Histórico!$A130),ISNUMBER(Histórico!C130),Histórico!C130&gt;0),Histórico!C130,R129)</f>
        <v>64.73</v>
      </c>
      <c r="S130" s="17">
        <f>IF(AND(ISNUMBER(Histórico!$A130),ISNUMBER(Histórico!D130),Histórico!D130&gt;0),Histórico!D130,S129)</f>
        <v>389.05</v>
      </c>
      <c r="T130" s="18">
        <f>IF(AND(ISNUMBER(Histórico!$A130),ISNUMBER(Histórico!E130),Histórico!E130&gt;0),Histórico!E130,T129)</f>
        <v>5.3744</v>
      </c>
      <c r="U130" s="15">
        <f>IF(ISNUMBER(Histórico!A130),Histórico!A130,U129)</f>
        <v>46324</v>
      </c>
    </row>
    <row r="131" spans="17:21" ht="22.95" customHeight="1">
      <c r="Q131" s="17">
        <f>IF(AND(ISNUMBER(Histórico!$A131),ISNUMBER(Histórico!B131),Histórico!B131&gt;0),Histórico!B131,Q130)</f>
        <v>157.42</v>
      </c>
      <c r="R131" s="17">
        <f>IF(AND(ISNUMBER(Histórico!$A131),ISNUMBER(Histórico!C131),Histórico!C131&gt;0),Histórico!C131,R130)</f>
        <v>64.73</v>
      </c>
      <c r="S131" s="17">
        <f>IF(AND(ISNUMBER(Histórico!$A131),ISNUMBER(Histórico!D131),Histórico!D131&gt;0),Histórico!D131,S130)</f>
        <v>389.05</v>
      </c>
      <c r="T131" s="18">
        <f>IF(AND(ISNUMBER(Histórico!$A131),ISNUMBER(Histórico!E131),Histórico!E131&gt;0),Histórico!E131,T130)</f>
        <v>5.3744</v>
      </c>
      <c r="U131" s="15">
        <f>IF(ISNUMBER(Histórico!A131),Histórico!A131,U130)</f>
        <v>46324</v>
      </c>
    </row>
    <row r="132" spans="17:21" ht="22.95" customHeight="1">
      <c r="Q132" s="17">
        <f>IF(AND(ISNUMBER(Histórico!$A132),ISNUMBER(Histórico!B132),Histórico!B132&gt;0),Histórico!B132,Q131)</f>
        <v>157.42</v>
      </c>
      <c r="R132" s="17">
        <f>IF(AND(ISNUMBER(Histórico!$A132),ISNUMBER(Histórico!C132),Histórico!C132&gt;0),Histórico!C132,R131)</f>
        <v>64.73</v>
      </c>
      <c r="S132" s="17">
        <f>IF(AND(ISNUMBER(Histórico!$A132),ISNUMBER(Histórico!D132),Histórico!D132&gt;0),Histórico!D132,S131)</f>
        <v>389.05</v>
      </c>
      <c r="T132" s="18">
        <f>IF(AND(ISNUMBER(Histórico!$A132),ISNUMBER(Histórico!E132),Histórico!E132&gt;0),Histórico!E132,T131)</f>
        <v>5.3744</v>
      </c>
      <c r="U132" s="15">
        <f>IF(ISNUMBER(Histórico!A132),Histórico!A132,U131)</f>
        <v>46324</v>
      </c>
    </row>
    <row r="133" spans="17:21" ht="22.95" customHeight="1">
      <c r="Q133" s="17">
        <f>IF(AND(ISNUMBER(Histórico!$A133),ISNUMBER(Histórico!B133),Histórico!B133&gt;0),Histórico!B133,Q132)</f>
        <v>157.42</v>
      </c>
      <c r="R133" s="17">
        <f>IF(AND(ISNUMBER(Histórico!$A133),ISNUMBER(Histórico!C133),Histórico!C133&gt;0),Histórico!C133,R132)</f>
        <v>64.73</v>
      </c>
      <c r="S133" s="17">
        <f>IF(AND(ISNUMBER(Histórico!$A133),ISNUMBER(Histórico!D133),Histórico!D133&gt;0),Histórico!D133,S132)</f>
        <v>389.05</v>
      </c>
      <c r="T133" s="18">
        <f>IF(AND(ISNUMBER(Histórico!$A133),ISNUMBER(Histórico!E133),Histórico!E133&gt;0),Histórico!E133,T132)</f>
        <v>5.3744</v>
      </c>
      <c r="U133" s="15">
        <f>IF(ISNUMBER(Histórico!A133),Histórico!A133,U132)</f>
        <v>46324</v>
      </c>
    </row>
    <row r="134" spans="17:21" ht="22.95" customHeight="1">
      <c r="Q134" s="17">
        <f>IF(AND(ISNUMBER(Histórico!$A134),ISNUMBER(Histórico!B134),Histórico!B134&gt;0),Histórico!B134,Q133)</f>
        <v>157.42</v>
      </c>
      <c r="R134" s="17">
        <f>IF(AND(ISNUMBER(Histórico!$A134),ISNUMBER(Histórico!C134),Histórico!C134&gt;0),Histórico!C134,R133)</f>
        <v>64.73</v>
      </c>
      <c r="S134" s="17">
        <f>IF(AND(ISNUMBER(Histórico!$A134),ISNUMBER(Histórico!D134),Histórico!D134&gt;0),Histórico!D134,S133)</f>
        <v>389.05</v>
      </c>
      <c r="T134" s="18">
        <f>IF(AND(ISNUMBER(Histórico!$A134),ISNUMBER(Histórico!E134),Histórico!E134&gt;0),Histórico!E134,T133)</f>
        <v>5.3744</v>
      </c>
      <c r="U134" s="15">
        <f>IF(ISNUMBER(Histórico!A134),Histórico!A134,U133)</f>
        <v>46324</v>
      </c>
    </row>
    <row r="135" spans="17:21" ht="22.95" customHeight="1">
      <c r="Q135" s="17">
        <f>IF(AND(ISNUMBER(Histórico!$A135),ISNUMBER(Histórico!B135),Histórico!B135&gt;0),Histórico!B135,Q134)</f>
        <v>157.42</v>
      </c>
      <c r="R135" s="17">
        <f>IF(AND(ISNUMBER(Histórico!$A135),ISNUMBER(Histórico!C135),Histórico!C135&gt;0),Histórico!C135,R134)</f>
        <v>64.73</v>
      </c>
      <c r="S135" s="17">
        <f>IF(AND(ISNUMBER(Histórico!$A135),ISNUMBER(Histórico!D135),Histórico!D135&gt;0),Histórico!D135,S134)</f>
        <v>389.05</v>
      </c>
      <c r="T135" s="18">
        <f>IF(AND(ISNUMBER(Histórico!$A135),ISNUMBER(Histórico!E135),Histórico!E135&gt;0),Histórico!E135,T134)</f>
        <v>5.3744</v>
      </c>
      <c r="U135" s="15">
        <f>IF(ISNUMBER(Histórico!A135),Histórico!A135,U134)</f>
        <v>46324</v>
      </c>
    </row>
    <row r="136" spans="17:21" ht="22.95" customHeight="1">
      <c r="Q136" s="17">
        <f>IF(AND(ISNUMBER(Histórico!$A136),ISNUMBER(Histórico!B136),Histórico!B136&gt;0),Histórico!B136,Q135)</f>
        <v>157.42</v>
      </c>
      <c r="R136" s="17">
        <f>IF(AND(ISNUMBER(Histórico!$A136),ISNUMBER(Histórico!C136),Histórico!C136&gt;0),Histórico!C136,R135)</f>
        <v>64.73</v>
      </c>
      <c r="S136" s="17">
        <f>IF(AND(ISNUMBER(Histórico!$A136),ISNUMBER(Histórico!D136),Histórico!D136&gt;0),Histórico!D136,S135)</f>
        <v>389.05</v>
      </c>
      <c r="T136" s="18">
        <f>IF(AND(ISNUMBER(Histórico!$A136),ISNUMBER(Histórico!E136),Histórico!E136&gt;0),Histórico!E136,T135)</f>
        <v>5.3744</v>
      </c>
      <c r="U136" s="15">
        <f>IF(ISNUMBER(Histórico!A136),Histórico!A136,U135)</f>
        <v>46324</v>
      </c>
    </row>
    <row r="137" spans="17:21" ht="22.95" customHeight="1">
      <c r="Q137" s="17">
        <f>IF(AND(ISNUMBER(Histórico!$A137),ISNUMBER(Histórico!B137),Histórico!B137&gt;0),Histórico!B137,Q136)</f>
        <v>157.42</v>
      </c>
      <c r="R137" s="17">
        <f>IF(AND(ISNUMBER(Histórico!$A137),ISNUMBER(Histórico!C137),Histórico!C137&gt;0),Histórico!C137,R136)</f>
        <v>64.73</v>
      </c>
      <c r="S137" s="17">
        <f>IF(AND(ISNUMBER(Histórico!$A137),ISNUMBER(Histórico!D137),Histórico!D137&gt;0),Histórico!D137,S136)</f>
        <v>389.05</v>
      </c>
      <c r="T137" s="18">
        <f>IF(AND(ISNUMBER(Histórico!$A137),ISNUMBER(Histórico!E137),Histórico!E137&gt;0),Histórico!E137,T136)</f>
        <v>5.3744</v>
      </c>
      <c r="U137" s="15">
        <f>IF(ISNUMBER(Histórico!A137),Histórico!A137,U136)</f>
        <v>46324</v>
      </c>
    </row>
    <row r="138" spans="17:21" ht="22.95" customHeight="1">
      <c r="Q138" s="17">
        <f>IF(AND(ISNUMBER(Histórico!$A138),ISNUMBER(Histórico!B138),Histórico!B138&gt;0),Histórico!B138,Q137)</f>
        <v>157.42</v>
      </c>
      <c r="R138" s="17">
        <f>IF(AND(ISNUMBER(Histórico!$A138),ISNUMBER(Histórico!C138),Histórico!C138&gt;0),Histórico!C138,R137)</f>
        <v>64.73</v>
      </c>
      <c r="S138" s="17">
        <f>IF(AND(ISNUMBER(Histórico!$A138),ISNUMBER(Histórico!D138),Histórico!D138&gt;0),Histórico!D138,S137)</f>
        <v>389.05</v>
      </c>
      <c r="T138" s="18">
        <f>IF(AND(ISNUMBER(Histórico!$A138),ISNUMBER(Histórico!E138),Histórico!E138&gt;0),Histórico!E138,T137)</f>
        <v>5.3744</v>
      </c>
      <c r="U138" s="15">
        <f>IF(ISNUMBER(Histórico!A138),Histórico!A138,U137)</f>
        <v>46324</v>
      </c>
    </row>
    <row r="139" spans="17:21" ht="22.95" customHeight="1">
      <c r="Q139" s="17">
        <f>IF(AND(ISNUMBER(Histórico!$A139),ISNUMBER(Histórico!B139),Histórico!B139&gt;0),Histórico!B139,Q138)</f>
        <v>157.42</v>
      </c>
      <c r="R139" s="17">
        <f>IF(AND(ISNUMBER(Histórico!$A139),ISNUMBER(Histórico!C139),Histórico!C139&gt;0),Histórico!C139,R138)</f>
        <v>64.73</v>
      </c>
      <c r="S139" s="17">
        <f>IF(AND(ISNUMBER(Histórico!$A139),ISNUMBER(Histórico!D139),Histórico!D139&gt;0),Histórico!D139,S138)</f>
        <v>389.05</v>
      </c>
      <c r="T139" s="18">
        <f>IF(AND(ISNUMBER(Histórico!$A139),ISNUMBER(Histórico!E139),Histórico!E139&gt;0),Histórico!E139,T138)</f>
        <v>5.3744</v>
      </c>
      <c r="U139" s="15">
        <f>IF(ISNUMBER(Histórico!A139),Histórico!A139,U138)</f>
        <v>46324</v>
      </c>
    </row>
    <row r="140" spans="17:21" ht="22.95" customHeight="1">
      <c r="Q140" s="17">
        <f>IF(AND(ISNUMBER(Histórico!$A140),ISNUMBER(Histórico!B140),Histórico!B140&gt;0),Histórico!B140,Q139)</f>
        <v>157.42</v>
      </c>
      <c r="R140" s="17">
        <f>IF(AND(ISNUMBER(Histórico!$A140),ISNUMBER(Histórico!C140),Histórico!C140&gt;0),Histórico!C140,R139)</f>
        <v>64.73</v>
      </c>
      <c r="S140" s="17">
        <f>IF(AND(ISNUMBER(Histórico!$A140),ISNUMBER(Histórico!D140),Histórico!D140&gt;0),Histórico!D140,S139)</f>
        <v>389.05</v>
      </c>
      <c r="T140" s="18">
        <f>IF(AND(ISNUMBER(Histórico!$A140),ISNUMBER(Histórico!E140),Histórico!E140&gt;0),Histórico!E140,T139)</f>
        <v>5.3744</v>
      </c>
      <c r="U140" s="15">
        <f>IF(ISNUMBER(Histórico!A140),Histórico!A140,U139)</f>
        <v>46324</v>
      </c>
    </row>
    <row r="141" spans="17:21" ht="22.95" customHeight="1">
      <c r="Q141" s="17">
        <f>IF(AND(ISNUMBER(Histórico!$A141),ISNUMBER(Histórico!B141),Histórico!B141&gt;0),Histórico!B141,Q140)</f>
        <v>157.42</v>
      </c>
      <c r="R141" s="17">
        <f>IF(AND(ISNUMBER(Histórico!$A141),ISNUMBER(Histórico!C141),Histórico!C141&gt;0),Histórico!C141,R140)</f>
        <v>64.73</v>
      </c>
      <c r="S141" s="17">
        <f>IF(AND(ISNUMBER(Histórico!$A141),ISNUMBER(Histórico!D141),Histórico!D141&gt;0),Histórico!D141,S140)</f>
        <v>389.05</v>
      </c>
      <c r="T141" s="18">
        <f>IF(AND(ISNUMBER(Histórico!$A141),ISNUMBER(Histórico!E141),Histórico!E141&gt;0),Histórico!E141,T140)</f>
        <v>5.3744</v>
      </c>
      <c r="U141" s="15">
        <f>IF(ISNUMBER(Histórico!A141),Histórico!A141,U140)</f>
        <v>46324</v>
      </c>
    </row>
    <row r="142" spans="17:21" ht="22.95" customHeight="1">
      <c r="Q142" s="17">
        <f>IF(AND(ISNUMBER(Histórico!$A142),ISNUMBER(Histórico!B142),Histórico!B142&gt;0),Histórico!B142,Q141)</f>
        <v>157.42</v>
      </c>
      <c r="R142" s="17">
        <f>IF(AND(ISNUMBER(Histórico!$A142),ISNUMBER(Histórico!C142),Histórico!C142&gt;0),Histórico!C142,R141)</f>
        <v>64.73</v>
      </c>
      <c r="S142" s="17">
        <f>IF(AND(ISNUMBER(Histórico!$A142),ISNUMBER(Histórico!D142),Histórico!D142&gt;0),Histórico!D142,S141)</f>
        <v>389.05</v>
      </c>
      <c r="T142" s="18">
        <f>IF(AND(ISNUMBER(Histórico!$A142),ISNUMBER(Histórico!E142),Histórico!E142&gt;0),Histórico!E142,T141)</f>
        <v>5.3744</v>
      </c>
      <c r="U142" s="15">
        <f>IF(ISNUMBER(Histórico!A142),Histórico!A142,U141)</f>
        <v>46324</v>
      </c>
    </row>
    <row r="143" spans="17:21" ht="22.95" customHeight="1">
      <c r="Q143" s="17">
        <f>IF(AND(ISNUMBER(Histórico!$A143),ISNUMBER(Histórico!B143),Histórico!B143&gt;0),Histórico!B143,Q142)</f>
        <v>157.42</v>
      </c>
      <c r="R143" s="17">
        <f>IF(AND(ISNUMBER(Histórico!$A143),ISNUMBER(Histórico!C143),Histórico!C143&gt;0),Histórico!C143,R142)</f>
        <v>64.73</v>
      </c>
      <c r="S143" s="17">
        <f>IF(AND(ISNUMBER(Histórico!$A143),ISNUMBER(Histórico!D143),Histórico!D143&gt;0),Histórico!D143,S142)</f>
        <v>389.05</v>
      </c>
      <c r="T143" s="18">
        <f>IF(AND(ISNUMBER(Histórico!$A143),ISNUMBER(Histórico!E143),Histórico!E143&gt;0),Histórico!E143,T142)</f>
        <v>5.3744</v>
      </c>
      <c r="U143" s="15">
        <f>IF(ISNUMBER(Histórico!A143),Histórico!A143,U142)</f>
        <v>46324</v>
      </c>
    </row>
    <row r="144" spans="17:21" ht="22.95" customHeight="1">
      <c r="Q144" s="17">
        <f>IF(AND(ISNUMBER(Histórico!$A144),ISNUMBER(Histórico!B144),Histórico!B144&gt;0),Histórico!B144,Q143)</f>
        <v>157.42</v>
      </c>
      <c r="R144" s="17">
        <f>IF(AND(ISNUMBER(Histórico!$A144),ISNUMBER(Histórico!C144),Histórico!C144&gt;0),Histórico!C144,R143)</f>
        <v>64.73</v>
      </c>
      <c r="S144" s="17">
        <f>IF(AND(ISNUMBER(Histórico!$A144),ISNUMBER(Histórico!D144),Histórico!D144&gt;0),Histórico!D144,S143)</f>
        <v>389.05</v>
      </c>
      <c r="T144" s="18">
        <f>IF(AND(ISNUMBER(Histórico!$A144),ISNUMBER(Histórico!E144),Histórico!E144&gt;0),Histórico!E144,T143)</f>
        <v>5.3744</v>
      </c>
      <c r="U144" s="15">
        <f>IF(ISNUMBER(Histórico!A144),Histórico!A144,U143)</f>
        <v>46324</v>
      </c>
    </row>
    <row r="145" spans="17:21" ht="22.95" customHeight="1">
      <c r="Q145" s="17">
        <f>IF(AND(ISNUMBER(Histórico!$A145),ISNUMBER(Histórico!B145),Histórico!B145&gt;0),Histórico!B145,Q144)</f>
        <v>157.42</v>
      </c>
      <c r="R145" s="17">
        <f>IF(AND(ISNUMBER(Histórico!$A145),ISNUMBER(Histórico!C145),Histórico!C145&gt;0),Histórico!C145,R144)</f>
        <v>64.73</v>
      </c>
      <c r="S145" s="17">
        <f>IF(AND(ISNUMBER(Histórico!$A145),ISNUMBER(Histórico!D145),Histórico!D145&gt;0),Histórico!D145,S144)</f>
        <v>389.05</v>
      </c>
      <c r="T145" s="18">
        <f>IF(AND(ISNUMBER(Histórico!$A145),ISNUMBER(Histórico!E145),Histórico!E145&gt;0),Histórico!E145,T144)</f>
        <v>5.3744</v>
      </c>
      <c r="U145" s="15">
        <f>IF(ISNUMBER(Histórico!A145),Histórico!A145,U144)</f>
        <v>46324</v>
      </c>
    </row>
    <row r="146" spans="17:21" ht="22.95" customHeight="1">
      <c r="Q146" s="17">
        <f>IF(AND(ISNUMBER(Histórico!$A146),ISNUMBER(Histórico!B146),Histórico!B146&gt;0),Histórico!B146,Q145)</f>
        <v>157.42</v>
      </c>
      <c r="R146" s="17">
        <f>IF(AND(ISNUMBER(Histórico!$A146),ISNUMBER(Histórico!C146),Histórico!C146&gt;0),Histórico!C146,R145)</f>
        <v>64.73</v>
      </c>
      <c r="S146" s="17">
        <f>IF(AND(ISNUMBER(Histórico!$A146),ISNUMBER(Histórico!D146),Histórico!D146&gt;0),Histórico!D146,S145)</f>
        <v>389.05</v>
      </c>
      <c r="T146" s="18">
        <f>IF(AND(ISNUMBER(Histórico!$A146),ISNUMBER(Histórico!E146),Histórico!E146&gt;0),Histórico!E146,T145)</f>
        <v>5.3744</v>
      </c>
      <c r="U146" s="15">
        <f>IF(ISNUMBER(Histórico!A146),Histórico!A146,U145)</f>
        <v>46324</v>
      </c>
    </row>
    <row r="147" spans="17:21" ht="22.95" customHeight="1">
      <c r="Q147" s="17">
        <f>IF(AND(ISNUMBER(Histórico!$A147),ISNUMBER(Histórico!B147),Histórico!B147&gt;0),Histórico!B147,Q146)</f>
        <v>157.42</v>
      </c>
      <c r="R147" s="17">
        <f>IF(AND(ISNUMBER(Histórico!$A147),ISNUMBER(Histórico!C147),Histórico!C147&gt;0),Histórico!C147,R146)</f>
        <v>64.73</v>
      </c>
      <c r="S147" s="17">
        <f>IF(AND(ISNUMBER(Histórico!$A147),ISNUMBER(Histórico!D147),Histórico!D147&gt;0),Histórico!D147,S146)</f>
        <v>389.05</v>
      </c>
      <c r="T147" s="18">
        <f>IF(AND(ISNUMBER(Histórico!$A147),ISNUMBER(Histórico!E147),Histórico!E147&gt;0),Histórico!E147,T146)</f>
        <v>5.3744</v>
      </c>
      <c r="U147" s="15">
        <f>IF(ISNUMBER(Histórico!A147),Histórico!A147,U146)</f>
        <v>46324</v>
      </c>
    </row>
    <row r="148" spans="17:21" ht="22.95" customHeight="1">
      <c r="Q148" s="17">
        <f>IF(AND(ISNUMBER(Histórico!$A148),ISNUMBER(Histórico!B148),Histórico!B148&gt;0),Histórico!B148,Q147)</f>
        <v>157.42</v>
      </c>
      <c r="R148" s="17">
        <f>IF(AND(ISNUMBER(Histórico!$A148),ISNUMBER(Histórico!C148),Histórico!C148&gt;0),Histórico!C148,R147)</f>
        <v>64.73</v>
      </c>
      <c r="S148" s="17">
        <f>IF(AND(ISNUMBER(Histórico!$A148),ISNUMBER(Histórico!D148),Histórico!D148&gt;0),Histórico!D148,S147)</f>
        <v>389.05</v>
      </c>
      <c r="T148" s="18">
        <f>IF(AND(ISNUMBER(Histórico!$A148),ISNUMBER(Histórico!E148),Histórico!E148&gt;0),Histórico!E148,T147)</f>
        <v>5.3744</v>
      </c>
      <c r="U148" s="15">
        <f>IF(ISNUMBER(Histórico!A148),Histórico!A148,U147)</f>
        <v>46324</v>
      </c>
    </row>
    <row r="149" spans="17:21" ht="22.95" customHeight="1">
      <c r="Q149" s="17">
        <f>IF(AND(ISNUMBER(Histórico!$A149),ISNUMBER(Histórico!B149),Histórico!B149&gt;0),Histórico!B149,Q148)</f>
        <v>157.42</v>
      </c>
      <c r="R149" s="17">
        <f>IF(AND(ISNUMBER(Histórico!$A149),ISNUMBER(Histórico!C149),Histórico!C149&gt;0),Histórico!C149,R148)</f>
        <v>64.73</v>
      </c>
      <c r="S149" s="17">
        <f>IF(AND(ISNUMBER(Histórico!$A149),ISNUMBER(Histórico!D149),Histórico!D149&gt;0),Histórico!D149,S148)</f>
        <v>389.05</v>
      </c>
      <c r="T149" s="18">
        <f>IF(AND(ISNUMBER(Histórico!$A149),ISNUMBER(Histórico!E149),Histórico!E149&gt;0),Histórico!E149,T148)</f>
        <v>5.3744</v>
      </c>
      <c r="U149" s="15">
        <f>IF(ISNUMBER(Histórico!A149),Histórico!A149,U148)</f>
        <v>46324</v>
      </c>
    </row>
    <row r="150" spans="17:21" ht="22.95" customHeight="1">
      <c r="Q150" s="17">
        <f>IF(AND(ISNUMBER(Histórico!$A150),ISNUMBER(Histórico!B150),Histórico!B150&gt;0),Histórico!B150,Q149)</f>
        <v>157.42</v>
      </c>
      <c r="R150" s="17">
        <f>IF(AND(ISNUMBER(Histórico!$A150),ISNUMBER(Histórico!C150),Histórico!C150&gt;0),Histórico!C150,R149)</f>
        <v>64.73</v>
      </c>
      <c r="S150" s="17">
        <f>IF(AND(ISNUMBER(Histórico!$A150),ISNUMBER(Histórico!D150),Histórico!D150&gt;0),Histórico!D150,S149)</f>
        <v>389.05</v>
      </c>
      <c r="T150" s="18">
        <f>IF(AND(ISNUMBER(Histórico!$A150),ISNUMBER(Histórico!E150),Histórico!E150&gt;0),Histórico!E150,T149)</f>
        <v>5.3744</v>
      </c>
      <c r="U150" s="15">
        <f>IF(ISNUMBER(Histórico!A150),Histórico!A150,U149)</f>
        <v>46324</v>
      </c>
    </row>
    <row r="151" spans="17:21" ht="22.95" customHeight="1">
      <c r="Q151" s="17">
        <f>IF(AND(ISNUMBER(Histórico!$A151),ISNUMBER(Histórico!B151),Histórico!B151&gt;0),Histórico!B151,Q150)</f>
        <v>157.42</v>
      </c>
      <c r="R151" s="17">
        <f>IF(AND(ISNUMBER(Histórico!$A151),ISNUMBER(Histórico!C151),Histórico!C151&gt;0),Histórico!C151,R150)</f>
        <v>64.73</v>
      </c>
      <c r="S151" s="17">
        <f>IF(AND(ISNUMBER(Histórico!$A151),ISNUMBER(Histórico!D151),Histórico!D151&gt;0),Histórico!D151,S150)</f>
        <v>389.05</v>
      </c>
      <c r="T151" s="18">
        <f>IF(AND(ISNUMBER(Histórico!$A151),ISNUMBER(Histórico!E151),Histórico!E151&gt;0),Histórico!E151,T150)</f>
        <v>5.3744</v>
      </c>
      <c r="U151" s="15">
        <f>IF(ISNUMBER(Histórico!A151),Histórico!A151,U150)</f>
        <v>46324</v>
      </c>
    </row>
    <row r="152" spans="17:21" ht="22.95" customHeight="1">
      <c r="Q152" s="17">
        <f>IF(AND(ISNUMBER(Histórico!$A152),ISNUMBER(Histórico!B152),Histórico!B152&gt;0),Histórico!B152,Q151)</f>
        <v>157.42</v>
      </c>
      <c r="R152" s="17">
        <f>IF(AND(ISNUMBER(Histórico!$A152),ISNUMBER(Histórico!C152),Histórico!C152&gt;0),Histórico!C152,R151)</f>
        <v>64.73</v>
      </c>
      <c r="S152" s="17">
        <f>IF(AND(ISNUMBER(Histórico!$A152),ISNUMBER(Histórico!D152),Histórico!D152&gt;0),Histórico!D152,S151)</f>
        <v>389.05</v>
      </c>
      <c r="T152" s="18">
        <f>IF(AND(ISNUMBER(Histórico!$A152),ISNUMBER(Histórico!E152),Histórico!E152&gt;0),Histórico!E152,T151)</f>
        <v>5.3744</v>
      </c>
      <c r="U152" s="15">
        <f>IF(ISNUMBER(Histórico!A152),Histórico!A152,U151)</f>
        <v>46324</v>
      </c>
    </row>
    <row r="153" spans="17:21" ht="22.95" customHeight="1">
      <c r="Q153" s="17">
        <f>IF(AND(ISNUMBER(Histórico!$A153),ISNUMBER(Histórico!B153),Histórico!B153&gt;0),Histórico!B153,Q152)</f>
        <v>157.42</v>
      </c>
      <c r="R153" s="17">
        <f>IF(AND(ISNUMBER(Histórico!$A153),ISNUMBER(Histórico!C153),Histórico!C153&gt;0),Histórico!C153,R152)</f>
        <v>64.73</v>
      </c>
      <c r="S153" s="17">
        <f>IF(AND(ISNUMBER(Histórico!$A153),ISNUMBER(Histórico!D153),Histórico!D153&gt;0),Histórico!D153,S152)</f>
        <v>389.05</v>
      </c>
      <c r="T153" s="18">
        <f>IF(AND(ISNUMBER(Histórico!$A153),ISNUMBER(Histórico!E153),Histórico!E153&gt;0),Histórico!E153,T152)</f>
        <v>5.3744</v>
      </c>
      <c r="U153" s="15">
        <f>IF(ISNUMBER(Histórico!A153),Histórico!A153,U152)</f>
        <v>46324</v>
      </c>
    </row>
    <row r="154" spans="17:21" ht="22.95" customHeight="1">
      <c r="Q154" s="17">
        <f>IF(AND(ISNUMBER(Histórico!$A154),ISNUMBER(Histórico!B154),Histórico!B154&gt;0),Histórico!B154,Q153)</f>
        <v>157.42</v>
      </c>
      <c r="R154" s="17">
        <f>IF(AND(ISNUMBER(Histórico!$A154),ISNUMBER(Histórico!C154),Histórico!C154&gt;0),Histórico!C154,R153)</f>
        <v>64.73</v>
      </c>
      <c r="S154" s="17">
        <f>IF(AND(ISNUMBER(Histórico!$A154),ISNUMBER(Histórico!D154),Histórico!D154&gt;0),Histórico!D154,S153)</f>
        <v>389.05</v>
      </c>
      <c r="T154" s="18">
        <f>IF(AND(ISNUMBER(Histórico!$A154),ISNUMBER(Histórico!E154),Histórico!E154&gt;0),Histórico!E154,T153)</f>
        <v>5.3744</v>
      </c>
      <c r="U154" s="15">
        <f>IF(ISNUMBER(Histórico!A154),Histórico!A154,U153)</f>
        <v>46324</v>
      </c>
    </row>
    <row r="155" spans="17:21" ht="22.95" customHeight="1">
      <c r="Q155" s="17">
        <f>IF(AND(ISNUMBER(Histórico!$A155),ISNUMBER(Histórico!B155),Histórico!B155&gt;0),Histórico!B155,Q154)</f>
        <v>157.42</v>
      </c>
      <c r="R155" s="17">
        <f>IF(AND(ISNUMBER(Histórico!$A155),ISNUMBER(Histórico!C155),Histórico!C155&gt;0),Histórico!C155,R154)</f>
        <v>64.73</v>
      </c>
      <c r="S155" s="17">
        <f>IF(AND(ISNUMBER(Histórico!$A155),ISNUMBER(Histórico!D155),Histórico!D155&gt;0),Histórico!D155,S154)</f>
        <v>389.05</v>
      </c>
      <c r="T155" s="18">
        <f>IF(AND(ISNUMBER(Histórico!$A155),ISNUMBER(Histórico!E155),Histórico!E155&gt;0),Histórico!E155,T154)</f>
        <v>5.3744</v>
      </c>
      <c r="U155" s="15">
        <f>IF(ISNUMBER(Histórico!A155),Histórico!A155,U154)</f>
        <v>46324</v>
      </c>
    </row>
    <row r="156" spans="17:21" ht="22.95" customHeight="1">
      <c r="Q156" s="17">
        <f>IF(AND(ISNUMBER(Histórico!$A156),ISNUMBER(Histórico!B156),Histórico!B156&gt;0),Histórico!B156,Q155)</f>
        <v>157.42</v>
      </c>
      <c r="R156" s="17">
        <f>IF(AND(ISNUMBER(Histórico!$A156),ISNUMBER(Histórico!C156),Histórico!C156&gt;0),Histórico!C156,R155)</f>
        <v>64.73</v>
      </c>
      <c r="S156" s="17">
        <f>IF(AND(ISNUMBER(Histórico!$A156),ISNUMBER(Histórico!D156),Histórico!D156&gt;0),Histórico!D156,S155)</f>
        <v>389.05</v>
      </c>
      <c r="T156" s="18">
        <f>IF(AND(ISNUMBER(Histórico!$A156),ISNUMBER(Histórico!E156),Histórico!E156&gt;0),Histórico!E156,T155)</f>
        <v>5.3744</v>
      </c>
      <c r="U156" s="15">
        <f>IF(ISNUMBER(Histórico!A156),Histórico!A156,U155)</f>
        <v>46324</v>
      </c>
    </row>
    <row r="157" spans="17:21" ht="22.95" customHeight="1">
      <c r="Q157" s="17">
        <f>IF(AND(ISNUMBER(Histórico!$A157),ISNUMBER(Histórico!B157),Histórico!B157&gt;0),Histórico!B157,Q156)</f>
        <v>157.42</v>
      </c>
      <c r="R157" s="17">
        <f>IF(AND(ISNUMBER(Histórico!$A157),ISNUMBER(Histórico!C157),Histórico!C157&gt;0),Histórico!C157,R156)</f>
        <v>64.73</v>
      </c>
      <c r="S157" s="17">
        <f>IF(AND(ISNUMBER(Histórico!$A157),ISNUMBER(Histórico!D157),Histórico!D157&gt;0),Histórico!D157,S156)</f>
        <v>389.05</v>
      </c>
      <c r="T157" s="18">
        <f>IF(AND(ISNUMBER(Histórico!$A157),ISNUMBER(Histórico!E157),Histórico!E157&gt;0),Histórico!E157,T156)</f>
        <v>5.3744</v>
      </c>
      <c r="U157" s="15">
        <f>IF(ISNUMBER(Histórico!A157),Histórico!A157,U156)</f>
        <v>46324</v>
      </c>
    </row>
    <row r="158" spans="17:21" ht="22.95" customHeight="1">
      <c r="Q158" s="17">
        <f>IF(AND(ISNUMBER(Histórico!$A158),ISNUMBER(Histórico!B158),Histórico!B158&gt;0),Histórico!B158,Q157)</f>
        <v>157.42</v>
      </c>
      <c r="R158" s="17">
        <f>IF(AND(ISNUMBER(Histórico!$A158),ISNUMBER(Histórico!C158),Histórico!C158&gt;0),Histórico!C158,R157)</f>
        <v>64.73</v>
      </c>
      <c r="S158" s="17">
        <f>IF(AND(ISNUMBER(Histórico!$A158),ISNUMBER(Histórico!D158),Histórico!D158&gt;0),Histórico!D158,S157)</f>
        <v>389.05</v>
      </c>
      <c r="T158" s="18">
        <f>IF(AND(ISNUMBER(Histórico!$A158),ISNUMBER(Histórico!E158),Histórico!E158&gt;0),Histórico!E158,T157)</f>
        <v>5.3744</v>
      </c>
      <c r="U158" s="15">
        <f>IF(ISNUMBER(Histórico!A158),Histórico!A158,U157)</f>
        <v>46324</v>
      </c>
    </row>
    <row r="159" spans="17:21" ht="22.95" customHeight="1">
      <c r="Q159" s="17">
        <f>IF(AND(ISNUMBER(Histórico!$A159),ISNUMBER(Histórico!B159),Histórico!B159&gt;0),Histórico!B159,Q158)</f>
        <v>157.42</v>
      </c>
      <c r="R159" s="17">
        <f>IF(AND(ISNUMBER(Histórico!$A159),ISNUMBER(Histórico!C159),Histórico!C159&gt;0),Histórico!C159,R158)</f>
        <v>64.73</v>
      </c>
      <c r="S159" s="17">
        <f>IF(AND(ISNUMBER(Histórico!$A159),ISNUMBER(Histórico!D159),Histórico!D159&gt;0),Histórico!D159,S158)</f>
        <v>389.05</v>
      </c>
      <c r="T159" s="18">
        <f>IF(AND(ISNUMBER(Histórico!$A159),ISNUMBER(Histórico!E159),Histórico!E159&gt;0),Histórico!E159,T158)</f>
        <v>5.3744</v>
      </c>
      <c r="U159" s="15">
        <f>IF(ISNUMBER(Histórico!A159),Histórico!A159,U158)</f>
        <v>46324</v>
      </c>
    </row>
    <row r="160" spans="17:21" ht="22.95" customHeight="1">
      <c r="Q160" s="17">
        <f>IF(AND(ISNUMBER(Histórico!$A160),ISNUMBER(Histórico!B160),Histórico!B160&gt;0),Histórico!B160,Q159)</f>
        <v>157.42</v>
      </c>
      <c r="R160" s="17">
        <f>IF(AND(ISNUMBER(Histórico!$A160),ISNUMBER(Histórico!C160),Histórico!C160&gt;0),Histórico!C160,R159)</f>
        <v>64.73</v>
      </c>
      <c r="S160" s="17">
        <f>IF(AND(ISNUMBER(Histórico!$A160),ISNUMBER(Histórico!D160),Histórico!D160&gt;0),Histórico!D160,S159)</f>
        <v>389.05</v>
      </c>
      <c r="T160" s="18">
        <f>IF(AND(ISNUMBER(Histórico!$A160),ISNUMBER(Histórico!E160),Histórico!E160&gt;0),Histórico!E160,T159)</f>
        <v>5.3744</v>
      </c>
      <c r="U160" s="15">
        <f>IF(ISNUMBER(Histórico!A160),Histórico!A160,U159)</f>
        <v>46324</v>
      </c>
    </row>
    <row r="161" spans="17:21" ht="22.95" customHeight="1">
      <c r="Q161" s="17">
        <f>IF(AND(ISNUMBER(Histórico!$A161),ISNUMBER(Histórico!B161),Histórico!B161&gt;0),Histórico!B161,Q160)</f>
        <v>157.42</v>
      </c>
      <c r="R161" s="17">
        <f>IF(AND(ISNUMBER(Histórico!$A161),ISNUMBER(Histórico!C161),Histórico!C161&gt;0),Histórico!C161,R160)</f>
        <v>64.73</v>
      </c>
      <c r="S161" s="17">
        <f>IF(AND(ISNUMBER(Histórico!$A161),ISNUMBER(Histórico!D161),Histórico!D161&gt;0),Histórico!D161,S160)</f>
        <v>389.05</v>
      </c>
      <c r="T161" s="18">
        <f>IF(AND(ISNUMBER(Histórico!$A161),ISNUMBER(Histórico!E161),Histórico!E161&gt;0),Histórico!E161,T160)</f>
        <v>5.3744</v>
      </c>
      <c r="U161" s="15">
        <f>IF(ISNUMBER(Histórico!A161),Histórico!A161,U160)</f>
        <v>46324</v>
      </c>
    </row>
    <row r="162" spans="17:21" ht="22.95" customHeight="1">
      <c r="Q162" s="17">
        <f>IF(AND(ISNUMBER(Histórico!$A162),ISNUMBER(Histórico!B162),Histórico!B162&gt;0),Histórico!B162,Q161)</f>
        <v>157.42</v>
      </c>
      <c r="R162" s="17">
        <f>IF(AND(ISNUMBER(Histórico!$A162),ISNUMBER(Histórico!C162),Histórico!C162&gt;0),Histórico!C162,R161)</f>
        <v>64.73</v>
      </c>
      <c r="S162" s="17">
        <f>IF(AND(ISNUMBER(Histórico!$A162),ISNUMBER(Histórico!D162),Histórico!D162&gt;0),Histórico!D162,S161)</f>
        <v>389.05</v>
      </c>
      <c r="T162" s="18">
        <f>IF(AND(ISNUMBER(Histórico!$A162),ISNUMBER(Histórico!E162),Histórico!E162&gt;0),Histórico!E162,T161)</f>
        <v>5.3744</v>
      </c>
      <c r="U162" s="15">
        <f>IF(ISNUMBER(Histórico!A162),Histórico!A162,U161)</f>
        <v>46324</v>
      </c>
    </row>
    <row r="163" spans="17:21" ht="22.95" customHeight="1">
      <c r="Q163" s="17">
        <f>IF(AND(ISNUMBER(Histórico!$A163),ISNUMBER(Histórico!B163),Histórico!B163&gt;0),Histórico!B163,Q162)</f>
        <v>157.42</v>
      </c>
      <c r="R163" s="17">
        <f>IF(AND(ISNUMBER(Histórico!$A163),ISNUMBER(Histórico!C163),Histórico!C163&gt;0),Histórico!C163,R162)</f>
        <v>64.73</v>
      </c>
      <c r="S163" s="17">
        <f>IF(AND(ISNUMBER(Histórico!$A163),ISNUMBER(Histórico!D163),Histórico!D163&gt;0),Histórico!D163,S162)</f>
        <v>389.05</v>
      </c>
      <c r="T163" s="18">
        <f>IF(AND(ISNUMBER(Histórico!$A163),ISNUMBER(Histórico!E163),Histórico!E163&gt;0),Histórico!E163,T162)</f>
        <v>5.3744</v>
      </c>
      <c r="U163" s="15">
        <f>IF(ISNUMBER(Histórico!A163),Histórico!A163,U162)</f>
        <v>46324</v>
      </c>
    </row>
    <row r="164" spans="17:21" ht="22.95" customHeight="1">
      <c r="Q164" s="17">
        <f>IF(AND(ISNUMBER(Histórico!$A164),ISNUMBER(Histórico!B164),Histórico!B164&gt;0),Histórico!B164,Q163)</f>
        <v>157.42</v>
      </c>
      <c r="R164" s="17">
        <f>IF(AND(ISNUMBER(Histórico!$A164),ISNUMBER(Histórico!C164),Histórico!C164&gt;0),Histórico!C164,R163)</f>
        <v>64.73</v>
      </c>
      <c r="S164" s="17">
        <f>IF(AND(ISNUMBER(Histórico!$A164),ISNUMBER(Histórico!D164),Histórico!D164&gt;0),Histórico!D164,S163)</f>
        <v>389.05</v>
      </c>
      <c r="T164" s="18">
        <f>IF(AND(ISNUMBER(Histórico!$A164),ISNUMBER(Histórico!E164),Histórico!E164&gt;0),Histórico!E164,T163)</f>
        <v>5.3744</v>
      </c>
      <c r="U164" s="15">
        <f>IF(ISNUMBER(Histórico!A164),Histórico!A164,U163)</f>
        <v>46324</v>
      </c>
    </row>
    <row r="165" spans="17:21" ht="22.95" customHeight="1">
      <c r="Q165" s="17">
        <f>IF(AND(ISNUMBER(Histórico!$A165),ISNUMBER(Histórico!B165),Histórico!B165&gt;0),Histórico!B165,Q164)</f>
        <v>157.42</v>
      </c>
      <c r="R165" s="17">
        <f>IF(AND(ISNUMBER(Histórico!$A165),ISNUMBER(Histórico!C165),Histórico!C165&gt;0),Histórico!C165,R164)</f>
        <v>64.73</v>
      </c>
      <c r="S165" s="17">
        <f>IF(AND(ISNUMBER(Histórico!$A165),ISNUMBER(Histórico!D165),Histórico!D165&gt;0),Histórico!D165,S164)</f>
        <v>389.05</v>
      </c>
      <c r="T165" s="18">
        <f>IF(AND(ISNUMBER(Histórico!$A165),ISNUMBER(Histórico!E165),Histórico!E165&gt;0),Histórico!E165,T164)</f>
        <v>5.3744</v>
      </c>
      <c r="U165" s="15">
        <f>IF(ISNUMBER(Histórico!A165),Histórico!A165,U164)</f>
        <v>46324</v>
      </c>
    </row>
    <row r="166" spans="17:21" ht="22.95" customHeight="1">
      <c r="Q166" s="17">
        <f>IF(AND(ISNUMBER(Histórico!$A166),ISNUMBER(Histórico!B166),Histórico!B166&gt;0),Histórico!B166,Q165)</f>
        <v>157.42</v>
      </c>
      <c r="R166" s="17">
        <f>IF(AND(ISNUMBER(Histórico!$A166),ISNUMBER(Histórico!C166),Histórico!C166&gt;0),Histórico!C166,R165)</f>
        <v>64.73</v>
      </c>
      <c r="S166" s="17">
        <f>IF(AND(ISNUMBER(Histórico!$A166),ISNUMBER(Histórico!D166),Histórico!D166&gt;0),Histórico!D166,S165)</f>
        <v>389.05</v>
      </c>
      <c r="T166" s="18">
        <f>IF(AND(ISNUMBER(Histórico!$A166),ISNUMBER(Histórico!E166),Histórico!E166&gt;0),Histórico!E166,T165)</f>
        <v>5.3744</v>
      </c>
      <c r="U166" s="15">
        <f>IF(ISNUMBER(Histórico!A166),Histórico!A166,U165)</f>
        <v>46324</v>
      </c>
    </row>
    <row r="167" spans="17:21" ht="22.95" customHeight="1">
      <c r="Q167" s="17">
        <f>IF(AND(ISNUMBER(Histórico!$A167),ISNUMBER(Histórico!B167),Histórico!B167&gt;0),Histórico!B167,Q166)</f>
        <v>157.42</v>
      </c>
      <c r="R167" s="17">
        <f>IF(AND(ISNUMBER(Histórico!$A167),ISNUMBER(Histórico!C167),Histórico!C167&gt;0),Histórico!C167,R166)</f>
        <v>64.73</v>
      </c>
      <c r="S167" s="17">
        <f>IF(AND(ISNUMBER(Histórico!$A167),ISNUMBER(Histórico!D167),Histórico!D167&gt;0),Histórico!D167,S166)</f>
        <v>389.05</v>
      </c>
      <c r="T167" s="18">
        <f>IF(AND(ISNUMBER(Histórico!$A167),ISNUMBER(Histórico!E167),Histórico!E167&gt;0),Histórico!E167,T166)</f>
        <v>5.3744</v>
      </c>
      <c r="U167" s="15">
        <f>IF(ISNUMBER(Histórico!A167),Histórico!A167,U166)</f>
        <v>46324</v>
      </c>
    </row>
    <row r="168" spans="17:21" ht="22.95" customHeight="1">
      <c r="Q168" s="17">
        <f>IF(AND(ISNUMBER(Histórico!$A168),ISNUMBER(Histórico!B168),Histórico!B168&gt;0),Histórico!B168,Q167)</f>
        <v>157.42</v>
      </c>
      <c r="R168" s="17">
        <f>IF(AND(ISNUMBER(Histórico!$A168),ISNUMBER(Histórico!C168),Histórico!C168&gt;0),Histórico!C168,R167)</f>
        <v>64.73</v>
      </c>
      <c r="S168" s="17">
        <f>IF(AND(ISNUMBER(Histórico!$A168),ISNUMBER(Histórico!D168),Histórico!D168&gt;0),Histórico!D168,S167)</f>
        <v>389.05</v>
      </c>
      <c r="T168" s="18">
        <f>IF(AND(ISNUMBER(Histórico!$A168),ISNUMBER(Histórico!E168),Histórico!E168&gt;0),Histórico!E168,T167)</f>
        <v>5.3744</v>
      </c>
      <c r="U168" s="15">
        <f>IF(ISNUMBER(Histórico!A168),Histórico!A168,U167)</f>
        <v>46324</v>
      </c>
    </row>
    <row r="169" spans="17:21" ht="22.95" customHeight="1">
      <c r="Q169" s="17">
        <f>IF(AND(ISNUMBER(Histórico!$A169),ISNUMBER(Histórico!B169),Histórico!B169&gt;0),Histórico!B169,Q168)</f>
        <v>157.42</v>
      </c>
      <c r="R169" s="17">
        <f>IF(AND(ISNUMBER(Histórico!$A169),ISNUMBER(Histórico!C169),Histórico!C169&gt;0),Histórico!C169,R168)</f>
        <v>64.73</v>
      </c>
      <c r="S169" s="17">
        <f>IF(AND(ISNUMBER(Histórico!$A169),ISNUMBER(Histórico!D169),Histórico!D169&gt;0),Histórico!D169,S168)</f>
        <v>389.05</v>
      </c>
      <c r="T169" s="18">
        <f>IF(AND(ISNUMBER(Histórico!$A169),ISNUMBER(Histórico!E169),Histórico!E169&gt;0),Histórico!E169,T168)</f>
        <v>5.3744</v>
      </c>
      <c r="U169" s="15">
        <f>IF(ISNUMBER(Histórico!A169),Histórico!A169,U168)</f>
        <v>46324</v>
      </c>
    </row>
    <row r="170" spans="17:21" ht="22.95" customHeight="1">
      <c r="Q170" s="17">
        <f>IF(AND(ISNUMBER(Histórico!$A170),ISNUMBER(Histórico!B170),Histórico!B170&gt;0),Histórico!B170,Q169)</f>
        <v>157.42</v>
      </c>
      <c r="R170" s="17">
        <f>IF(AND(ISNUMBER(Histórico!$A170),ISNUMBER(Histórico!C170),Histórico!C170&gt;0),Histórico!C170,R169)</f>
        <v>64.73</v>
      </c>
      <c r="S170" s="17">
        <f>IF(AND(ISNUMBER(Histórico!$A170),ISNUMBER(Histórico!D170),Histórico!D170&gt;0),Histórico!D170,S169)</f>
        <v>389.05</v>
      </c>
      <c r="T170" s="18">
        <f>IF(AND(ISNUMBER(Histórico!$A170),ISNUMBER(Histórico!E170),Histórico!E170&gt;0),Histórico!E170,T169)</f>
        <v>5.3744</v>
      </c>
      <c r="U170" s="15">
        <f>IF(ISNUMBER(Histórico!A170),Histórico!A170,U169)</f>
        <v>46324</v>
      </c>
    </row>
    <row r="171" spans="17:21" ht="22.95" customHeight="1">
      <c r="Q171" s="17">
        <f>IF(AND(ISNUMBER(Histórico!$A171),ISNUMBER(Histórico!B171),Histórico!B171&gt;0),Histórico!B171,Q170)</f>
        <v>157.42</v>
      </c>
      <c r="R171" s="17">
        <f>IF(AND(ISNUMBER(Histórico!$A171),ISNUMBER(Histórico!C171),Histórico!C171&gt;0),Histórico!C171,R170)</f>
        <v>64.73</v>
      </c>
      <c r="S171" s="17">
        <f>IF(AND(ISNUMBER(Histórico!$A171),ISNUMBER(Histórico!D171),Histórico!D171&gt;0),Histórico!D171,S170)</f>
        <v>389.05</v>
      </c>
      <c r="T171" s="18">
        <f>IF(AND(ISNUMBER(Histórico!$A171),ISNUMBER(Histórico!E171),Histórico!E171&gt;0),Histórico!E171,T170)</f>
        <v>5.3744</v>
      </c>
      <c r="U171" s="15">
        <f>IF(ISNUMBER(Histórico!A171),Histórico!A171,U170)</f>
        <v>46324</v>
      </c>
    </row>
    <row r="172" spans="17:21" ht="22.95" customHeight="1">
      <c r="Q172" s="17">
        <f>IF(AND(ISNUMBER(Histórico!$A172),ISNUMBER(Histórico!B172),Histórico!B172&gt;0),Histórico!B172,Q171)</f>
        <v>157.42</v>
      </c>
      <c r="R172" s="17">
        <f>IF(AND(ISNUMBER(Histórico!$A172),ISNUMBER(Histórico!C172),Histórico!C172&gt;0),Histórico!C172,R171)</f>
        <v>64.73</v>
      </c>
      <c r="S172" s="17">
        <f>IF(AND(ISNUMBER(Histórico!$A172),ISNUMBER(Histórico!D172),Histórico!D172&gt;0),Histórico!D172,S171)</f>
        <v>389.05</v>
      </c>
      <c r="T172" s="18">
        <f>IF(AND(ISNUMBER(Histórico!$A172),ISNUMBER(Histórico!E172),Histórico!E172&gt;0),Histórico!E172,T171)</f>
        <v>5.3744</v>
      </c>
      <c r="U172" s="15">
        <f>IF(ISNUMBER(Histórico!A172),Histórico!A172,U171)</f>
        <v>46324</v>
      </c>
    </row>
    <row r="173" spans="17:21" ht="22.95" customHeight="1">
      <c r="Q173" s="17">
        <f>IF(AND(ISNUMBER(Histórico!$A173),ISNUMBER(Histórico!B173),Histórico!B173&gt;0),Histórico!B173,Q172)</f>
        <v>157.42</v>
      </c>
      <c r="R173" s="17">
        <f>IF(AND(ISNUMBER(Histórico!$A173),ISNUMBER(Histórico!C173),Histórico!C173&gt;0),Histórico!C173,R172)</f>
        <v>64.73</v>
      </c>
      <c r="S173" s="17">
        <f>IF(AND(ISNUMBER(Histórico!$A173),ISNUMBER(Histórico!D173),Histórico!D173&gt;0),Histórico!D173,S172)</f>
        <v>389.05</v>
      </c>
      <c r="T173" s="18">
        <f>IF(AND(ISNUMBER(Histórico!$A173),ISNUMBER(Histórico!E173),Histórico!E173&gt;0),Histórico!E173,T172)</f>
        <v>5.3744</v>
      </c>
      <c r="U173" s="15">
        <f>IF(ISNUMBER(Histórico!A173),Histórico!A173,U172)</f>
        <v>46324</v>
      </c>
    </row>
    <row r="174" spans="17:21" ht="22.95" customHeight="1">
      <c r="Q174" s="17">
        <f>IF(AND(ISNUMBER(Histórico!$A174),ISNUMBER(Histórico!B174),Histórico!B174&gt;0),Histórico!B174,Q173)</f>
        <v>157.42</v>
      </c>
      <c r="R174" s="17">
        <f>IF(AND(ISNUMBER(Histórico!$A174),ISNUMBER(Histórico!C174),Histórico!C174&gt;0),Histórico!C174,R173)</f>
        <v>64.73</v>
      </c>
      <c r="S174" s="17">
        <f>IF(AND(ISNUMBER(Histórico!$A174),ISNUMBER(Histórico!D174),Histórico!D174&gt;0),Histórico!D174,S173)</f>
        <v>389.05</v>
      </c>
      <c r="T174" s="18">
        <f>IF(AND(ISNUMBER(Histórico!$A174),ISNUMBER(Histórico!E174),Histórico!E174&gt;0),Histórico!E174,T173)</f>
        <v>5.3744</v>
      </c>
      <c r="U174" s="15">
        <f>IF(ISNUMBER(Histórico!A174),Histórico!A174,U173)</f>
        <v>46324</v>
      </c>
    </row>
    <row r="175" spans="17:21" ht="22.95" customHeight="1">
      <c r="Q175" s="17">
        <f>IF(AND(ISNUMBER(Histórico!$A175),ISNUMBER(Histórico!B175),Histórico!B175&gt;0),Histórico!B175,Q174)</f>
        <v>157.42</v>
      </c>
      <c r="R175" s="17">
        <f>IF(AND(ISNUMBER(Histórico!$A175),ISNUMBER(Histórico!C175),Histórico!C175&gt;0),Histórico!C175,R174)</f>
        <v>64.73</v>
      </c>
      <c r="S175" s="17">
        <f>IF(AND(ISNUMBER(Histórico!$A175),ISNUMBER(Histórico!D175),Histórico!D175&gt;0),Histórico!D175,S174)</f>
        <v>389.05</v>
      </c>
      <c r="T175" s="18">
        <f>IF(AND(ISNUMBER(Histórico!$A175),ISNUMBER(Histórico!E175),Histórico!E175&gt;0),Histórico!E175,T174)</f>
        <v>5.3744</v>
      </c>
      <c r="U175" s="15">
        <f>IF(ISNUMBER(Histórico!A175),Histórico!A175,U174)</f>
        <v>46324</v>
      </c>
    </row>
    <row r="176" spans="17:21" ht="22.95" customHeight="1">
      <c r="Q176" s="17">
        <f>IF(AND(ISNUMBER(Histórico!$A176),ISNUMBER(Histórico!B176),Histórico!B176&gt;0),Histórico!B176,Q175)</f>
        <v>157.42</v>
      </c>
      <c r="R176" s="17">
        <f>IF(AND(ISNUMBER(Histórico!$A176),ISNUMBER(Histórico!C176),Histórico!C176&gt;0),Histórico!C176,R175)</f>
        <v>64.73</v>
      </c>
      <c r="S176" s="17">
        <f>IF(AND(ISNUMBER(Histórico!$A176),ISNUMBER(Histórico!D176),Histórico!D176&gt;0),Histórico!D176,S175)</f>
        <v>389.05</v>
      </c>
      <c r="T176" s="18">
        <f>IF(AND(ISNUMBER(Histórico!$A176),ISNUMBER(Histórico!E176),Histórico!E176&gt;0),Histórico!E176,T175)</f>
        <v>5.3744</v>
      </c>
      <c r="U176" s="15">
        <f>IF(ISNUMBER(Histórico!A176),Histórico!A176,U175)</f>
        <v>46324</v>
      </c>
    </row>
    <row r="177" spans="17:21" ht="22.95" customHeight="1">
      <c r="Q177" s="17">
        <f>IF(AND(ISNUMBER(Histórico!$A177),ISNUMBER(Histórico!B177),Histórico!B177&gt;0),Histórico!B177,Q176)</f>
        <v>157.42</v>
      </c>
      <c r="R177" s="17">
        <f>IF(AND(ISNUMBER(Histórico!$A177),ISNUMBER(Histórico!C177),Histórico!C177&gt;0),Histórico!C177,R176)</f>
        <v>64.73</v>
      </c>
      <c r="S177" s="17">
        <f>IF(AND(ISNUMBER(Histórico!$A177),ISNUMBER(Histórico!D177),Histórico!D177&gt;0),Histórico!D177,S176)</f>
        <v>389.05</v>
      </c>
      <c r="T177" s="18">
        <f>IF(AND(ISNUMBER(Histórico!$A177),ISNUMBER(Histórico!E177),Histórico!E177&gt;0),Histórico!E177,T176)</f>
        <v>5.3744</v>
      </c>
      <c r="U177" s="15">
        <f>IF(ISNUMBER(Histórico!A177),Histórico!A177,U176)</f>
        <v>46324</v>
      </c>
    </row>
    <row r="178" spans="17:21" ht="22.95" customHeight="1">
      <c r="Q178" s="17">
        <f>IF(AND(ISNUMBER(Histórico!$A178),ISNUMBER(Histórico!B178),Histórico!B178&gt;0),Histórico!B178,Q177)</f>
        <v>157.42</v>
      </c>
      <c r="R178" s="17">
        <f>IF(AND(ISNUMBER(Histórico!$A178),ISNUMBER(Histórico!C178),Histórico!C178&gt;0),Histórico!C178,R177)</f>
        <v>64.73</v>
      </c>
      <c r="S178" s="17">
        <f>IF(AND(ISNUMBER(Histórico!$A178),ISNUMBER(Histórico!D178),Histórico!D178&gt;0),Histórico!D178,S177)</f>
        <v>389.05</v>
      </c>
      <c r="T178" s="18">
        <f>IF(AND(ISNUMBER(Histórico!$A178),ISNUMBER(Histórico!E178),Histórico!E178&gt;0),Histórico!E178,T177)</f>
        <v>5.3744</v>
      </c>
      <c r="U178" s="15">
        <f>IF(ISNUMBER(Histórico!A178),Histórico!A178,U177)</f>
        <v>46324</v>
      </c>
    </row>
    <row r="179" spans="17:21" ht="22.95" customHeight="1">
      <c r="Q179" s="17">
        <f>IF(AND(ISNUMBER(Histórico!$A179),ISNUMBER(Histórico!B179),Histórico!B179&gt;0),Histórico!B179,Q178)</f>
        <v>157.42</v>
      </c>
      <c r="R179" s="17">
        <f>IF(AND(ISNUMBER(Histórico!$A179),ISNUMBER(Histórico!C179),Histórico!C179&gt;0),Histórico!C179,R178)</f>
        <v>64.73</v>
      </c>
      <c r="S179" s="17">
        <f>IF(AND(ISNUMBER(Histórico!$A179),ISNUMBER(Histórico!D179),Histórico!D179&gt;0),Histórico!D179,S178)</f>
        <v>389.05</v>
      </c>
      <c r="T179" s="18">
        <f>IF(AND(ISNUMBER(Histórico!$A179),ISNUMBER(Histórico!E179),Histórico!E179&gt;0),Histórico!E179,T178)</f>
        <v>5.3744</v>
      </c>
      <c r="U179" s="15">
        <f>IF(ISNUMBER(Histórico!A179),Histórico!A179,U178)</f>
        <v>46324</v>
      </c>
    </row>
    <row r="180" spans="17:21" ht="22.95" customHeight="1">
      <c r="Q180" s="17">
        <f>IF(AND(ISNUMBER(Histórico!$A180),ISNUMBER(Histórico!B180),Histórico!B180&gt;0),Histórico!B180,Q179)</f>
        <v>157.42</v>
      </c>
      <c r="R180" s="17">
        <f>IF(AND(ISNUMBER(Histórico!$A180),ISNUMBER(Histórico!C180),Histórico!C180&gt;0),Histórico!C180,R179)</f>
        <v>64.73</v>
      </c>
      <c r="S180" s="17">
        <f>IF(AND(ISNUMBER(Histórico!$A180),ISNUMBER(Histórico!D180),Histórico!D180&gt;0),Histórico!D180,S179)</f>
        <v>389.05</v>
      </c>
      <c r="T180" s="18">
        <f>IF(AND(ISNUMBER(Histórico!$A180),ISNUMBER(Histórico!E180),Histórico!E180&gt;0),Histórico!E180,T179)</f>
        <v>5.3744</v>
      </c>
      <c r="U180" s="15">
        <f>IF(ISNUMBER(Histórico!A180),Histórico!A180,U179)</f>
        <v>46324</v>
      </c>
    </row>
    <row r="181" spans="17:21" ht="22.95" customHeight="1">
      <c r="Q181" s="17">
        <f>IF(AND(ISNUMBER(Histórico!$A181),ISNUMBER(Histórico!B181),Histórico!B181&gt;0),Histórico!B181,Q180)</f>
        <v>157.42</v>
      </c>
      <c r="R181" s="17">
        <f>IF(AND(ISNUMBER(Histórico!$A181),ISNUMBER(Histórico!C181),Histórico!C181&gt;0),Histórico!C181,R180)</f>
        <v>64.73</v>
      </c>
      <c r="S181" s="17">
        <f>IF(AND(ISNUMBER(Histórico!$A181),ISNUMBER(Histórico!D181),Histórico!D181&gt;0),Histórico!D181,S180)</f>
        <v>389.05</v>
      </c>
      <c r="T181" s="18">
        <f>IF(AND(ISNUMBER(Histórico!$A181),ISNUMBER(Histórico!E181),Histórico!E181&gt;0),Histórico!E181,T180)</f>
        <v>5.3744</v>
      </c>
      <c r="U181" s="15">
        <f>IF(ISNUMBER(Histórico!A181),Histórico!A181,U180)</f>
        <v>46324</v>
      </c>
    </row>
    <row r="182" spans="17:21" ht="22.95" customHeight="1">
      <c r="Q182" s="17">
        <f>IF(AND(ISNUMBER(Histórico!$A182),ISNUMBER(Histórico!B182),Histórico!B182&gt;0),Histórico!B182,Q181)</f>
        <v>157.42</v>
      </c>
      <c r="R182" s="17">
        <f>IF(AND(ISNUMBER(Histórico!$A182),ISNUMBER(Histórico!C182),Histórico!C182&gt;0),Histórico!C182,R181)</f>
        <v>64.73</v>
      </c>
      <c r="S182" s="17">
        <f>IF(AND(ISNUMBER(Histórico!$A182),ISNUMBER(Histórico!D182),Histórico!D182&gt;0),Histórico!D182,S181)</f>
        <v>389.05</v>
      </c>
      <c r="T182" s="18">
        <f>IF(AND(ISNUMBER(Histórico!$A182),ISNUMBER(Histórico!E182),Histórico!E182&gt;0),Histórico!E182,T181)</f>
        <v>5.3744</v>
      </c>
      <c r="U182" s="15">
        <f>IF(ISNUMBER(Histórico!A182),Histórico!A182,U181)</f>
        <v>46324</v>
      </c>
    </row>
    <row r="183" spans="17:21" ht="22.95" customHeight="1">
      <c r="Q183" s="17">
        <f>IF(AND(ISNUMBER(Histórico!$A183),ISNUMBER(Histórico!B183),Histórico!B183&gt;0),Histórico!B183,Q182)</f>
        <v>157.42</v>
      </c>
      <c r="R183" s="17">
        <f>IF(AND(ISNUMBER(Histórico!$A183),ISNUMBER(Histórico!C183),Histórico!C183&gt;0),Histórico!C183,R182)</f>
        <v>64.73</v>
      </c>
      <c r="S183" s="17">
        <f>IF(AND(ISNUMBER(Histórico!$A183),ISNUMBER(Histórico!D183),Histórico!D183&gt;0),Histórico!D183,S182)</f>
        <v>389.05</v>
      </c>
      <c r="T183" s="18">
        <f>IF(AND(ISNUMBER(Histórico!$A183),ISNUMBER(Histórico!E183),Histórico!E183&gt;0),Histórico!E183,T182)</f>
        <v>5.3744</v>
      </c>
      <c r="U183" s="15">
        <f>IF(ISNUMBER(Histórico!A183),Histórico!A183,U182)</f>
        <v>46324</v>
      </c>
    </row>
    <row r="184" spans="17:21" ht="22.95" customHeight="1">
      <c r="Q184" s="17">
        <f>IF(AND(ISNUMBER(Histórico!$A184),ISNUMBER(Histórico!B184),Histórico!B184&gt;0),Histórico!B184,Q183)</f>
        <v>157.42</v>
      </c>
      <c r="R184" s="17">
        <f>IF(AND(ISNUMBER(Histórico!$A184),ISNUMBER(Histórico!C184),Histórico!C184&gt;0),Histórico!C184,R183)</f>
        <v>64.73</v>
      </c>
      <c r="S184" s="17">
        <f>IF(AND(ISNUMBER(Histórico!$A184),ISNUMBER(Histórico!D184),Histórico!D184&gt;0),Histórico!D184,S183)</f>
        <v>389.05</v>
      </c>
      <c r="T184" s="18">
        <f>IF(AND(ISNUMBER(Histórico!$A184),ISNUMBER(Histórico!E184),Histórico!E184&gt;0),Histórico!E184,T183)</f>
        <v>5.3744</v>
      </c>
      <c r="U184" s="15">
        <f>IF(ISNUMBER(Histórico!A184),Histórico!A184,U183)</f>
        <v>46324</v>
      </c>
    </row>
    <row r="185" spans="17:21" ht="22.95" customHeight="1">
      <c r="Q185" s="17">
        <f>IF(AND(ISNUMBER(Histórico!$A185),ISNUMBER(Histórico!B185),Histórico!B185&gt;0),Histórico!B185,Q184)</f>
        <v>157.42</v>
      </c>
      <c r="R185" s="17">
        <f>IF(AND(ISNUMBER(Histórico!$A185),ISNUMBER(Histórico!C185),Histórico!C185&gt;0),Histórico!C185,R184)</f>
        <v>64.73</v>
      </c>
      <c r="S185" s="17">
        <f>IF(AND(ISNUMBER(Histórico!$A185),ISNUMBER(Histórico!D185),Histórico!D185&gt;0),Histórico!D185,S184)</f>
        <v>389.05</v>
      </c>
      <c r="T185" s="18">
        <f>IF(AND(ISNUMBER(Histórico!$A185),ISNUMBER(Histórico!E185),Histórico!E185&gt;0),Histórico!E185,T184)</f>
        <v>5.3744</v>
      </c>
      <c r="U185" s="15">
        <f>IF(ISNUMBER(Histórico!A185),Histórico!A185,U184)</f>
        <v>46324</v>
      </c>
    </row>
    <row r="186" spans="17:21" ht="22.95" customHeight="1">
      <c r="Q186" s="17">
        <f>IF(AND(ISNUMBER(Histórico!$A186),ISNUMBER(Histórico!B186),Histórico!B186&gt;0),Histórico!B186,Q185)</f>
        <v>157.42</v>
      </c>
      <c r="R186" s="17">
        <f>IF(AND(ISNUMBER(Histórico!$A186),ISNUMBER(Histórico!C186),Histórico!C186&gt;0),Histórico!C186,R185)</f>
        <v>64.73</v>
      </c>
      <c r="S186" s="17">
        <f>IF(AND(ISNUMBER(Histórico!$A186),ISNUMBER(Histórico!D186),Histórico!D186&gt;0),Histórico!D186,S185)</f>
        <v>389.05</v>
      </c>
      <c r="T186" s="18">
        <f>IF(AND(ISNUMBER(Histórico!$A186),ISNUMBER(Histórico!E186),Histórico!E186&gt;0),Histórico!E186,T185)</f>
        <v>5.3744</v>
      </c>
      <c r="U186" s="15">
        <f>IF(ISNUMBER(Histórico!A186),Histórico!A186,U185)</f>
        <v>46324</v>
      </c>
    </row>
    <row r="187" spans="17:21" ht="22.95" customHeight="1">
      <c r="Q187" s="17">
        <f>IF(AND(ISNUMBER(Histórico!$A187),ISNUMBER(Histórico!B187),Histórico!B187&gt;0),Histórico!B187,Q186)</f>
        <v>157.42</v>
      </c>
      <c r="R187" s="17">
        <f>IF(AND(ISNUMBER(Histórico!$A187),ISNUMBER(Histórico!C187),Histórico!C187&gt;0),Histórico!C187,R186)</f>
        <v>64.73</v>
      </c>
      <c r="S187" s="17">
        <f>IF(AND(ISNUMBER(Histórico!$A187),ISNUMBER(Histórico!D187),Histórico!D187&gt;0),Histórico!D187,S186)</f>
        <v>389.05</v>
      </c>
      <c r="T187" s="18">
        <f>IF(AND(ISNUMBER(Histórico!$A187),ISNUMBER(Histórico!E187),Histórico!E187&gt;0),Histórico!E187,T186)</f>
        <v>5.3744</v>
      </c>
      <c r="U187" s="15">
        <f>IF(ISNUMBER(Histórico!A187),Histórico!A187,U186)</f>
        <v>46324</v>
      </c>
    </row>
    <row r="188" spans="17:21" ht="22.95" customHeight="1">
      <c r="Q188" s="17">
        <f>IF(AND(ISNUMBER(Histórico!$A188),ISNUMBER(Histórico!B188),Histórico!B188&gt;0),Histórico!B188,Q187)</f>
        <v>157.42</v>
      </c>
      <c r="R188" s="17">
        <f>IF(AND(ISNUMBER(Histórico!$A188),ISNUMBER(Histórico!C188),Histórico!C188&gt;0),Histórico!C188,R187)</f>
        <v>64.73</v>
      </c>
      <c r="S188" s="17">
        <f>IF(AND(ISNUMBER(Histórico!$A188),ISNUMBER(Histórico!D188),Histórico!D188&gt;0),Histórico!D188,S187)</f>
        <v>389.05</v>
      </c>
      <c r="T188" s="18">
        <f>IF(AND(ISNUMBER(Histórico!$A188),ISNUMBER(Histórico!E188),Histórico!E188&gt;0),Histórico!E188,T187)</f>
        <v>5.3744</v>
      </c>
      <c r="U188" s="15">
        <f>IF(ISNUMBER(Histórico!A188),Histórico!A188,U187)</f>
        <v>46324</v>
      </c>
    </row>
    <row r="189" spans="17:21" ht="22.95" customHeight="1">
      <c r="Q189" s="17">
        <f>IF(AND(ISNUMBER(Histórico!$A189),ISNUMBER(Histórico!B189),Histórico!B189&gt;0),Histórico!B189,Q188)</f>
        <v>157.42</v>
      </c>
      <c r="R189" s="17">
        <f>IF(AND(ISNUMBER(Histórico!$A189),ISNUMBER(Histórico!C189),Histórico!C189&gt;0),Histórico!C189,R188)</f>
        <v>64.73</v>
      </c>
      <c r="S189" s="17">
        <f>IF(AND(ISNUMBER(Histórico!$A189),ISNUMBER(Histórico!D189),Histórico!D189&gt;0),Histórico!D189,S188)</f>
        <v>389.05</v>
      </c>
      <c r="T189" s="18">
        <f>IF(AND(ISNUMBER(Histórico!$A189),ISNUMBER(Histórico!E189),Histórico!E189&gt;0),Histórico!E189,T188)</f>
        <v>5.3744</v>
      </c>
      <c r="U189" s="15">
        <f>IF(ISNUMBER(Histórico!A189),Histórico!A189,U188)</f>
        <v>46324</v>
      </c>
    </row>
    <row r="190" spans="17:21" ht="22.95" customHeight="1">
      <c r="Q190" s="17">
        <f>IF(AND(ISNUMBER(Histórico!$A190),ISNUMBER(Histórico!B190),Histórico!B190&gt;0),Histórico!B190,Q189)</f>
        <v>157.42</v>
      </c>
      <c r="R190" s="17">
        <f>IF(AND(ISNUMBER(Histórico!$A190),ISNUMBER(Histórico!C190),Histórico!C190&gt;0),Histórico!C190,R189)</f>
        <v>64.73</v>
      </c>
      <c r="S190" s="17">
        <f>IF(AND(ISNUMBER(Histórico!$A190),ISNUMBER(Histórico!D190),Histórico!D190&gt;0),Histórico!D190,S189)</f>
        <v>389.05</v>
      </c>
      <c r="T190" s="18">
        <f>IF(AND(ISNUMBER(Histórico!$A190),ISNUMBER(Histórico!E190),Histórico!E190&gt;0),Histórico!E190,T189)</f>
        <v>5.3744</v>
      </c>
      <c r="U190" s="15">
        <f>IF(ISNUMBER(Histórico!A190),Histórico!A190,U189)</f>
        <v>46324</v>
      </c>
    </row>
    <row r="191" spans="17:21" ht="22.95" customHeight="1">
      <c r="Q191" s="17">
        <f>IF(AND(ISNUMBER(Histórico!$A191),ISNUMBER(Histórico!B191),Histórico!B191&gt;0),Histórico!B191,Q190)</f>
        <v>157.42</v>
      </c>
      <c r="R191" s="17">
        <f>IF(AND(ISNUMBER(Histórico!$A191),ISNUMBER(Histórico!C191),Histórico!C191&gt;0),Histórico!C191,R190)</f>
        <v>64.73</v>
      </c>
      <c r="S191" s="17">
        <f>IF(AND(ISNUMBER(Histórico!$A191),ISNUMBER(Histórico!D191),Histórico!D191&gt;0),Histórico!D191,S190)</f>
        <v>389.05</v>
      </c>
      <c r="T191" s="18">
        <f>IF(AND(ISNUMBER(Histórico!$A191),ISNUMBER(Histórico!E191),Histórico!E191&gt;0),Histórico!E191,T190)</f>
        <v>5.3744</v>
      </c>
      <c r="U191" s="15">
        <f>IF(ISNUMBER(Histórico!A191),Histórico!A191,U190)</f>
        <v>46324</v>
      </c>
    </row>
    <row r="192" spans="17:21" ht="22.95" customHeight="1">
      <c r="Q192" s="17">
        <f>IF(AND(ISNUMBER(Histórico!$A192),ISNUMBER(Histórico!B192),Histórico!B192&gt;0),Histórico!B192,Q191)</f>
        <v>157.42</v>
      </c>
      <c r="R192" s="17">
        <f>IF(AND(ISNUMBER(Histórico!$A192),ISNUMBER(Histórico!C192),Histórico!C192&gt;0),Histórico!C192,R191)</f>
        <v>64.73</v>
      </c>
      <c r="S192" s="17">
        <f>IF(AND(ISNUMBER(Histórico!$A192),ISNUMBER(Histórico!D192),Histórico!D192&gt;0),Histórico!D192,S191)</f>
        <v>389.05</v>
      </c>
      <c r="T192" s="18">
        <f>IF(AND(ISNUMBER(Histórico!$A192),ISNUMBER(Histórico!E192),Histórico!E192&gt;0),Histórico!E192,T191)</f>
        <v>5.3744</v>
      </c>
      <c r="U192" s="15">
        <f>IF(ISNUMBER(Histórico!A192),Histórico!A192,U191)</f>
        <v>46324</v>
      </c>
    </row>
    <row r="193" spans="17:21" ht="22.95" customHeight="1">
      <c r="Q193" s="17">
        <f>IF(AND(ISNUMBER(Histórico!$A193),ISNUMBER(Histórico!B193),Histórico!B193&gt;0),Histórico!B193,Q192)</f>
        <v>157.42</v>
      </c>
      <c r="R193" s="17">
        <f>IF(AND(ISNUMBER(Histórico!$A193),ISNUMBER(Histórico!C193),Histórico!C193&gt;0),Histórico!C193,R192)</f>
        <v>64.73</v>
      </c>
      <c r="S193" s="17">
        <f>IF(AND(ISNUMBER(Histórico!$A193),ISNUMBER(Histórico!D193),Histórico!D193&gt;0),Histórico!D193,S192)</f>
        <v>389.05</v>
      </c>
      <c r="T193" s="18">
        <f>IF(AND(ISNUMBER(Histórico!$A193),ISNUMBER(Histórico!E193),Histórico!E193&gt;0),Histórico!E193,T192)</f>
        <v>5.3744</v>
      </c>
      <c r="U193" s="15">
        <f>IF(ISNUMBER(Histórico!A193),Histórico!A193,U192)</f>
        <v>46324</v>
      </c>
    </row>
    <row r="194" spans="17:21" ht="22.95" customHeight="1">
      <c r="Q194" s="17">
        <f>IF(AND(ISNUMBER(Histórico!$A194),ISNUMBER(Histórico!B194),Histórico!B194&gt;0),Histórico!B194,Q193)</f>
        <v>157.42</v>
      </c>
      <c r="R194" s="17">
        <f>IF(AND(ISNUMBER(Histórico!$A194),ISNUMBER(Histórico!C194),Histórico!C194&gt;0),Histórico!C194,R193)</f>
        <v>64.73</v>
      </c>
      <c r="S194" s="17">
        <f>IF(AND(ISNUMBER(Histórico!$A194),ISNUMBER(Histórico!D194),Histórico!D194&gt;0),Histórico!D194,S193)</f>
        <v>389.05</v>
      </c>
      <c r="T194" s="18">
        <f>IF(AND(ISNUMBER(Histórico!$A194),ISNUMBER(Histórico!E194),Histórico!E194&gt;0),Histórico!E194,T193)</f>
        <v>5.3744</v>
      </c>
      <c r="U194" s="15">
        <f>IF(ISNUMBER(Histórico!A194),Histórico!A194,U193)</f>
        <v>46324</v>
      </c>
    </row>
    <row r="195" spans="17:21" ht="22.95" customHeight="1">
      <c r="Q195" s="17">
        <f>IF(AND(ISNUMBER(Histórico!$A195),ISNUMBER(Histórico!B195),Histórico!B195&gt;0),Histórico!B195,Q194)</f>
        <v>157.42</v>
      </c>
      <c r="R195" s="17">
        <f>IF(AND(ISNUMBER(Histórico!$A195),ISNUMBER(Histórico!C195),Histórico!C195&gt;0),Histórico!C195,R194)</f>
        <v>64.73</v>
      </c>
      <c r="S195" s="17">
        <f>IF(AND(ISNUMBER(Histórico!$A195),ISNUMBER(Histórico!D195),Histórico!D195&gt;0),Histórico!D195,S194)</f>
        <v>389.05</v>
      </c>
      <c r="T195" s="18">
        <f>IF(AND(ISNUMBER(Histórico!$A195),ISNUMBER(Histórico!E195),Histórico!E195&gt;0),Histórico!E195,T194)</f>
        <v>5.3744</v>
      </c>
      <c r="U195" s="15">
        <f>IF(ISNUMBER(Histórico!A195),Histórico!A195,U194)</f>
        <v>46324</v>
      </c>
    </row>
    <row r="196" spans="17:21" ht="22.95" customHeight="1">
      <c r="Q196" s="17">
        <f>IF(AND(ISNUMBER(Histórico!$A196),ISNUMBER(Histórico!B196),Histórico!B196&gt;0),Histórico!B196,Q195)</f>
        <v>157.42</v>
      </c>
      <c r="R196" s="17">
        <f>IF(AND(ISNUMBER(Histórico!$A196),ISNUMBER(Histórico!C196),Histórico!C196&gt;0),Histórico!C196,R195)</f>
        <v>64.73</v>
      </c>
      <c r="S196" s="17">
        <f>IF(AND(ISNUMBER(Histórico!$A196),ISNUMBER(Histórico!D196),Histórico!D196&gt;0),Histórico!D196,S195)</f>
        <v>389.05</v>
      </c>
      <c r="T196" s="18">
        <f>IF(AND(ISNUMBER(Histórico!$A196),ISNUMBER(Histórico!E196),Histórico!E196&gt;0),Histórico!E196,T195)</f>
        <v>5.3744</v>
      </c>
      <c r="U196" s="15">
        <f>IF(ISNUMBER(Histórico!A196),Histórico!A196,U195)</f>
        <v>46324</v>
      </c>
    </row>
    <row r="197" spans="17:21" ht="22.95" customHeight="1">
      <c r="Q197" s="17">
        <f>IF(AND(ISNUMBER(Histórico!$A197),ISNUMBER(Histórico!B197),Histórico!B197&gt;0),Histórico!B197,Q196)</f>
        <v>157.42</v>
      </c>
      <c r="R197" s="17">
        <f>IF(AND(ISNUMBER(Histórico!$A197),ISNUMBER(Histórico!C197),Histórico!C197&gt;0),Histórico!C197,R196)</f>
        <v>64.73</v>
      </c>
      <c r="S197" s="17">
        <f>IF(AND(ISNUMBER(Histórico!$A197),ISNUMBER(Histórico!D197),Histórico!D197&gt;0),Histórico!D197,S196)</f>
        <v>389.05</v>
      </c>
      <c r="T197" s="18">
        <f>IF(AND(ISNUMBER(Histórico!$A197),ISNUMBER(Histórico!E197),Histórico!E197&gt;0),Histórico!E197,T196)</f>
        <v>5.3744</v>
      </c>
      <c r="U197" s="15">
        <f>IF(ISNUMBER(Histórico!A197),Histórico!A197,U196)</f>
        <v>46324</v>
      </c>
    </row>
    <row r="198" spans="17:21" ht="22.95" customHeight="1">
      <c r="Q198" s="17">
        <f>IF(AND(ISNUMBER(Histórico!$A198),ISNUMBER(Histórico!B198),Histórico!B198&gt;0),Histórico!B198,Q197)</f>
        <v>157.42</v>
      </c>
      <c r="R198" s="17">
        <f>IF(AND(ISNUMBER(Histórico!$A198),ISNUMBER(Histórico!C198),Histórico!C198&gt;0),Histórico!C198,R197)</f>
        <v>64.73</v>
      </c>
      <c r="S198" s="17">
        <f>IF(AND(ISNUMBER(Histórico!$A198),ISNUMBER(Histórico!D198),Histórico!D198&gt;0),Histórico!D198,S197)</f>
        <v>389.05</v>
      </c>
      <c r="T198" s="18">
        <f>IF(AND(ISNUMBER(Histórico!$A198),ISNUMBER(Histórico!E198),Histórico!E198&gt;0),Histórico!E198,T197)</f>
        <v>5.3744</v>
      </c>
      <c r="U198" s="15">
        <f>IF(ISNUMBER(Histórico!A198),Histórico!A198,U197)</f>
        <v>46324</v>
      </c>
    </row>
    <row r="199" spans="17:21" ht="22.95" customHeight="1">
      <c r="Q199" s="17">
        <f>IF(AND(ISNUMBER(Histórico!$A199),ISNUMBER(Histórico!B199),Histórico!B199&gt;0),Histórico!B199,Q198)</f>
        <v>157.42</v>
      </c>
      <c r="R199" s="17">
        <f>IF(AND(ISNUMBER(Histórico!$A199),ISNUMBER(Histórico!C199),Histórico!C199&gt;0),Histórico!C199,R198)</f>
        <v>64.73</v>
      </c>
      <c r="S199" s="17">
        <f>IF(AND(ISNUMBER(Histórico!$A199),ISNUMBER(Histórico!D199),Histórico!D199&gt;0),Histórico!D199,S198)</f>
        <v>389.05</v>
      </c>
      <c r="T199" s="18">
        <f>IF(AND(ISNUMBER(Histórico!$A199),ISNUMBER(Histórico!E199),Histórico!E199&gt;0),Histórico!E199,T198)</f>
        <v>5.3744</v>
      </c>
      <c r="U199" s="15">
        <f>IF(ISNUMBER(Histórico!A199),Histórico!A199,U198)</f>
        <v>46324</v>
      </c>
    </row>
    <row r="200" spans="17:21" ht="22.95" customHeight="1">
      <c r="Q200" s="17">
        <f>IF(AND(ISNUMBER(Histórico!$A200),ISNUMBER(Histórico!B200),Histórico!B200&gt;0),Histórico!B200,Q199)</f>
        <v>157.42</v>
      </c>
      <c r="R200" s="17">
        <f>IF(AND(ISNUMBER(Histórico!$A200),ISNUMBER(Histórico!C200),Histórico!C200&gt;0),Histórico!C200,R199)</f>
        <v>64.73</v>
      </c>
      <c r="S200" s="17">
        <f>IF(AND(ISNUMBER(Histórico!$A200),ISNUMBER(Histórico!D200),Histórico!D200&gt;0),Histórico!D200,S199)</f>
        <v>389.05</v>
      </c>
      <c r="T200" s="18">
        <f>IF(AND(ISNUMBER(Histórico!$A200),ISNUMBER(Histórico!E200),Histórico!E200&gt;0),Histórico!E200,T199)</f>
        <v>5.3744</v>
      </c>
      <c r="U200" s="15">
        <f>IF(ISNUMBER(Histórico!A200),Histórico!A200,U199)</f>
        <v>46324</v>
      </c>
    </row>
    <row r="201" spans="17:21" ht="22.95" customHeight="1">
      <c r="Q201" s="17">
        <f>IF(AND(ISNUMBER(Histórico!$A201),ISNUMBER(Histórico!B201),Histórico!B201&gt;0),Histórico!B201,Q200)</f>
        <v>157.42</v>
      </c>
      <c r="R201" s="17">
        <f>IF(AND(ISNUMBER(Histórico!$A201),ISNUMBER(Histórico!C201),Histórico!C201&gt;0),Histórico!C201,R200)</f>
        <v>64.73</v>
      </c>
      <c r="S201" s="17">
        <f>IF(AND(ISNUMBER(Histórico!$A201),ISNUMBER(Histórico!D201),Histórico!D201&gt;0),Histórico!D201,S200)</f>
        <v>389.05</v>
      </c>
      <c r="T201" s="18">
        <f>IF(AND(ISNUMBER(Histórico!$A201),ISNUMBER(Histórico!E201),Histórico!E201&gt;0),Histórico!E201,T200)</f>
        <v>5.3744</v>
      </c>
      <c r="U201" s="15">
        <f>IF(ISNUMBER(Histórico!A201),Histórico!A201,U200)</f>
        <v>46324</v>
      </c>
    </row>
    <row r="202" spans="17:21" ht="22.95" customHeight="1">
      <c r="Q202" s="17">
        <f>IF(AND(ISNUMBER(Histórico!$A202),ISNUMBER(Histórico!B202),Histórico!B202&gt;0),Histórico!B202,Q201)</f>
        <v>157.42</v>
      </c>
      <c r="R202" s="17">
        <f>IF(AND(ISNUMBER(Histórico!$A202),ISNUMBER(Histórico!C202),Histórico!C202&gt;0),Histórico!C202,R201)</f>
        <v>64.73</v>
      </c>
      <c r="S202" s="17">
        <f>IF(AND(ISNUMBER(Histórico!$A202),ISNUMBER(Histórico!D202),Histórico!D202&gt;0),Histórico!D202,S201)</f>
        <v>389.05</v>
      </c>
      <c r="T202" s="18">
        <f>IF(AND(ISNUMBER(Histórico!$A202),ISNUMBER(Histórico!E202),Histórico!E202&gt;0),Histórico!E202,T201)</f>
        <v>5.3744</v>
      </c>
      <c r="U202" s="15">
        <f>IF(ISNUMBER(Histórico!A202),Histórico!A202,U201)</f>
        <v>46324</v>
      </c>
    </row>
    <row r="203" spans="17:21" ht="22.95" customHeight="1">
      <c r="Q203" s="17">
        <f>IF(AND(ISNUMBER(Histórico!$A203),ISNUMBER(Histórico!B203),Histórico!B203&gt;0),Histórico!B203,Q202)</f>
        <v>157.42</v>
      </c>
      <c r="R203" s="17">
        <f>IF(AND(ISNUMBER(Histórico!$A203),ISNUMBER(Histórico!C203),Histórico!C203&gt;0),Histórico!C203,R202)</f>
        <v>64.73</v>
      </c>
      <c r="S203" s="17">
        <f>IF(AND(ISNUMBER(Histórico!$A203),ISNUMBER(Histórico!D203),Histórico!D203&gt;0),Histórico!D203,S202)</f>
        <v>389.05</v>
      </c>
      <c r="T203" s="18">
        <f>IF(AND(ISNUMBER(Histórico!$A203),ISNUMBER(Histórico!E203),Histórico!E203&gt;0),Histórico!E203,T202)</f>
        <v>5.3744</v>
      </c>
      <c r="U203" s="15">
        <f>IF(ISNUMBER(Histórico!A203),Histórico!A203,U202)</f>
        <v>46324</v>
      </c>
    </row>
    <row r="204" spans="17:21" ht="22.95" customHeight="1">
      <c r="Q204" s="17">
        <f>IF(AND(ISNUMBER(Histórico!$A204),ISNUMBER(Histórico!B204),Histórico!B204&gt;0),Histórico!B204,Q203)</f>
        <v>157.42</v>
      </c>
      <c r="R204" s="17">
        <f>IF(AND(ISNUMBER(Histórico!$A204),ISNUMBER(Histórico!C204),Histórico!C204&gt;0),Histórico!C204,R203)</f>
        <v>64.73</v>
      </c>
      <c r="S204" s="17">
        <f>IF(AND(ISNUMBER(Histórico!$A204),ISNUMBER(Histórico!D204),Histórico!D204&gt;0),Histórico!D204,S203)</f>
        <v>389.05</v>
      </c>
      <c r="T204" s="18">
        <f>IF(AND(ISNUMBER(Histórico!$A204),ISNUMBER(Histórico!E204),Histórico!E204&gt;0),Histórico!E204,T203)</f>
        <v>5.3744</v>
      </c>
      <c r="U204" s="15">
        <f>IF(ISNUMBER(Histórico!A204),Histórico!A204,U203)</f>
        <v>46324</v>
      </c>
    </row>
    <row r="205" spans="17:21" ht="22.95" customHeight="1">
      <c r="Q205" s="17">
        <f>IF(AND(ISNUMBER(Histórico!$A205),ISNUMBER(Histórico!B205),Histórico!B205&gt;0),Histórico!B205,Q204)</f>
        <v>157.42</v>
      </c>
      <c r="R205" s="17">
        <f>IF(AND(ISNUMBER(Histórico!$A205),ISNUMBER(Histórico!C205),Histórico!C205&gt;0),Histórico!C205,R204)</f>
        <v>64.73</v>
      </c>
      <c r="S205" s="17">
        <f>IF(AND(ISNUMBER(Histórico!$A205),ISNUMBER(Histórico!D205),Histórico!D205&gt;0),Histórico!D205,S204)</f>
        <v>389.05</v>
      </c>
      <c r="T205" s="18">
        <f>IF(AND(ISNUMBER(Histórico!$A205),ISNUMBER(Histórico!E205),Histórico!E205&gt;0),Histórico!E205,T204)</f>
        <v>5.3744</v>
      </c>
      <c r="U205" s="15">
        <f>IF(ISNUMBER(Histórico!A205),Histórico!A205,U204)</f>
        <v>46324</v>
      </c>
    </row>
    <row r="206" spans="17:21" ht="22.95" customHeight="1">
      <c r="Q206" s="17">
        <f>IF(AND(ISNUMBER(Histórico!$A206),ISNUMBER(Histórico!B206),Histórico!B206&gt;0),Histórico!B206,Q205)</f>
        <v>157.42</v>
      </c>
      <c r="R206" s="17">
        <f>IF(AND(ISNUMBER(Histórico!$A206),ISNUMBER(Histórico!C206),Histórico!C206&gt;0),Histórico!C206,R205)</f>
        <v>64.73</v>
      </c>
      <c r="S206" s="17">
        <f>IF(AND(ISNUMBER(Histórico!$A206),ISNUMBER(Histórico!D206),Histórico!D206&gt;0),Histórico!D206,S205)</f>
        <v>389.05</v>
      </c>
      <c r="T206" s="18">
        <f>IF(AND(ISNUMBER(Histórico!$A206),ISNUMBER(Histórico!E206),Histórico!E206&gt;0),Histórico!E206,T205)</f>
        <v>5.3744</v>
      </c>
      <c r="U206" s="15">
        <f>IF(ISNUMBER(Histórico!A206),Histórico!A206,U205)</f>
        <v>46324</v>
      </c>
    </row>
    <row r="207" spans="17:21" ht="22.95" customHeight="1">
      <c r="Q207" s="17">
        <f>IF(AND(ISNUMBER(Histórico!$A207),ISNUMBER(Histórico!B207),Histórico!B207&gt;0),Histórico!B207,Q206)</f>
        <v>157.42</v>
      </c>
      <c r="R207" s="17">
        <f>IF(AND(ISNUMBER(Histórico!$A207),ISNUMBER(Histórico!C207),Histórico!C207&gt;0),Histórico!C207,R206)</f>
        <v>64.73</v>
      </c>
      <c r="S207" s="17">
        <f>IF(AND(ISNUMBER(Histórico!$A207),ISNUMBER(Histórico!D207),Histórico!D207&gt;0),Histórico!D207,S206)</f>
        <v>389.05</v>
      </c>
      <c r="T207" s="18">
        <f>IF(AND(ISNUMBER(Histórico!$A207),ISNUMBER(Histórico!E207),Histórico!E207&gt;0),Histórico!E207,T206)</f>
        <v>5.3744</v>
      </c>
      <c r="U207" s="15">
        <f>IF(ISNUMBER(Histórico!A207),Histórico!A207,U206)</f>
        <v>46324</v>
      </c>
    </row>
    <row r="208" spans="17:21" ht="22.95" customHeight="1">
      <c r="Q208" s="17">
        <f>IF(AND(ISNUMBER(Histórico!$A208),ISNUMBER(Histórico!B208),Histórico!B208&gt;0),Histórico!B208,Q207)</f>
        <v>157.42</v>
      </c>
      <c r="R208" s="17">
        <f>IF(AND(ISNUMBER(Histórico!$A208),ISNUMBER(Histórico!C208),Histórico!C208&gt;0),Histórico!C208,R207)</f>
        <v>64.73</v>
      </c>
      <c r="S208" s="17">
        <f>IF(AND(ISNUMBER(Histórico!$A208),ISNUMBER(Histórico!D208),Histórico!D208&gt;0),Histórico!D208,S207)</f>
        <v>389.05</v>
      </c>
      <c r="T208" s="18">
        <f>IF(AND(ISNUMBER(Histórico!$A208),ISNUMBER(Histórico!E208),Histórico!E208&gt;0),Histórico!E208,T207)</f>
        <v>5.3744</v>
      </c>
      <c r="U208" s="15">
        <f>IF(ISNUMBER(Histórico!A208),Histórico!A208,U207)</f>
        <v>46324</v>
      </c>
    </row>
    <row r="209" spans="17:21" ht="22.95" customHeight="1">
      <c r="Q209" s="17">
        <f>IF(AND(ISNUMBER(Histórico!$A209),ISNUMBER(Histórico!B209),Histórico!B209&gt;0),Histórico!B209,Q208)</f>
        <v>157.42</v>
      </c>
      <c r="R209" s="17">
        <f>IF(AND(ISNUMBER(Histórico!$A209),ISNUMBER(Histórico!C209),Histórico!C209&gt;0),Histórico!C209,R208)</f>
        <v>64.73</v>
      </c>
      <c r="S209" s="17">
        <f>IF(AND(ISNUMBER(Histórico!$A209),ISNUMBER(Histórico!D209),Histórico!D209&gt;0),Histórico!D209,S208)</f>
        <v>389.05</v>
      </c>
      <c r="T209" s="18">
        <f>IF(AND(ISNUMBER(Histórico!$A209),ISNUMBER(Histórico!E209),Histórico!E209&gt;0),Histórico!E209,T208)</f>
        <v>5.3744</v>
      </c>
      <c r="U209" s="15">
        <f>IF(ISNUMBER(Histórico!A209),Histórico!A209,U208)</f>
        <v>46324</v>
      </c>
    </row>
    <row r="210" spans="17:21" ht="22.95" customHeight="1">
      <c r="Q210" s="17">
        <f>IF(AND(ISNUMBER(Histórico!$A210),ISNUMBER(Histórico!B210),Histórico!B210&gt;0),Histórico!B210,Q209)</f>
        <v>157.42</v>
      </c>
      <c r="R210" s="17">
        <f>IF(AND(ISNUMBER(Histórico!$A210),ISNUMBER(Histórico!C210),Histórico!C210&gt;0),Histórico!C210,R209)</f>
        <v>64.73</v>
      </c>
      <c r="S210" s="17">
        <f>IF(AND(ISNUMBER(Histórico!$A210),ISNUMBER(Histórico!D210),Histórico!D210&gt;0),Histórico!D210,S209)</f>
        <v>389.05</v>
      </c>
      <c r="T210" s="18">
        <f>IF(AND(ISNUMBER(Histórico!$A210),ISNUMBER(Histórico!E210),Histórico!E210&gt;0),Histórico!E210,T209)</f>
        <v>5.3744</v>
      </c>
      <c r="U210" s="15">
        <f>IF(ISNUMBER(Histórico!A210),Histórico!A210,U209)</f>
        <v>46324</v>
      </c>
    </row>
    <row r="211" spans="17:21" ht="22.95" customHeight="1">
      <c r="Q211" s="17">
        <f>IF(AND(ISNUMBER(Histórico!$A211),ISNUMBER(Histórico!B211),Histórico!B211&gt;0),Histórico!B211,Q210)</f>
        <v>157.42</v>
      </c>
      <c r="R211" s="17">
        <f>IF(AND(ISNUMBER(Histórico!$A211),ISNUMBER(Histórico!C211),Histórico!C211&gt;0),Histórico!C211,R210)</f>
        <v>64.73</v>
      </c>
      <c r="S211" s="17">
        <f>IF(AND(ISNUMBER(Histórico!$A211),ISNUMBER(Histórico!D211),Histórico!D211&gt;0),Histórico!D211,S210)</f>
        <v>389.05</v>
      </c>
      <c r="T211" s="18">
        <f>IF(AND(ISNUMBER(Histórico!$A211),ISNUMBER(Histórico!E211),Histórico!E211&gt;0),Histórico!E211,T210)</f>
        <v>5.3744</v>
      </c>
      <c r="U211" s="15">
        <f>IF(ISNUMBER(Histórico!A211),Histórico!A211,U210)</f>
        <v>46324</v>
      </c>
    </row>
    <row r="212" spans="17:21" ht="22.95" customHeight="1">
      <c r="Q212" s="17">
        <f>IF(AND(ISNUMBER(Histórico!$A212),ISNUMBER(Histórico!B212),Histórico!B212&gt;0),Histórico!B212,Q211)</f>
        <v>157.42</v>
      </c>
      <c r="R212" s="17">
        <f>IF(AND(ISNUMBER(Histórico!$A212),ISNUMBER(Histórico!C212),Histórico!C212&gt;0),Histórico!C212,R211)</f>
        <v>64.73</v>
      </c>
      <c r="S212" s="17">
        <f>IF(AND(ISNUMBER(Histórico!$A212),ISNUMBER(Histórico!D212),Histórico!D212&gt;0),Histórico!D212,S211)</f>
        <v>389.05</v>
      </c>
      <c r="T212" s="18">
        <f>IF(AND(ISNUMBER(Histórico!$A212),ISNUMBER(Histórico!E212),Histórico!E212&gt;0),Histórico!E212,T211)</f>
        <v>5.3744</v>
      </c>
      <c r="U212" s="15">
        <f>IF(ISNUMBER(Histórico!A212),Histórico!A212,U211)</f>
        <v>46324</v>
      </c>
    </row>
    <row r="213" spans="17:21" ht="22.95" customHeight="1">
      <c r="Q213" s="17">
        <f>IF(AND(ISNUMBER(Histórico!$A213),ISNUMBER(Histórico!B213),Histórico!B213&gt;0),Histórico!B213,Q212)</f>
        <v>157.42</v>
      </c>
      <c r="R213" s="17">
        <f>IF(AND(ISNUMBER(Histórico!$A213),ISNUMBER(Histórico!C213),Histórico!C213&gt;0),Histórico!C213,R212)</f>
        <v>64.73</v>
      </c>
      <c r="S213" s="17">
        <f>IF(AND(ISNUMBER(Histórico!$A213),ISNUMBER(Histórico!D213),Histórico!D213&gt;0),Histórico!D213,S212)</f>
        <v>389.05</v>
      </c>
      <c r="T213" s="18">
        <f>IF(AND(ISNUMBER(Histórico!$A213),ISNUMBER(Histórico!E213),Histórico!E213&gt;0),Histórico!E213,T212)</f>
        <v>5.3744</v>
      </c>
      <c r="U213" s="15">
        <f>IF(ISNUMBER(Histórico!A213),Histórico!A213,U212)</f>
        <v>46324</v>
      </c>
    </row>
    <row r="214" spans="17:21" ht="22.95" customHeight="1">
      <c r="Q214" s="17">
        <f>IF(AND(ISNUMBER(Histórico!$A214),ISNUMBER(Histórico!B214),Histórico!B214&gt;0),Histórico!B214,Q213)</f>
        <v>157.42</v>
      </c>
      <c r="R214" s="17">
        <f>IF(AND(ISNUMBER(Histórico!$A214),ISNUMBER(Histórico!C214),Histórico!C214&gt;0),Histórico!C214,R213)</f>
        <v>64.73</v>
      </c>
      <c r="S214" s="17">
        <f>IF(AND(ISNUMBER(Histórico!$A214),ISNUMBER(Histórico!D214),Histórico!D214&gt;0),Histórico!D214,S213)</f>
        <v>389.05</v>
      </c>
      <c r="T214" s="18">
        <f>IF(AND(ISNUMBER(Histórico!$A214),ISNUMBER(Histórico!E214),Histórico!E214&gt;0),Histórico!E214,T213)</f>
        <v>5.3744</v>
      </c>
      <c r="U214" s="15">
        <f>IF(ISNUMBER(Histórico!A214),Histórico!A214,U213)</f>
        <v>46324</v>
      </c>
    </row>
    <row r="215" spans="17:21" ht="22.95" customHeight="1">
      <c r="Q215" s="17">
        <f>IF(AND(ISNUMBER(Histórico!$A215),ISNUMBER(Histórico!B215),Histórico!B215&gt;0),Histórico!B215,Q214)</f>
        <v>157.42</v>
      </c>
      <c r="R215" s="17">
        <f>IF(AND(ISNUMBER(Histórico!$A215),ISNUMBER(Histórico!C215),Histórico!C215&gt;0),Histórico!C215,R214)</f>
        <v>64.73</v>
      </c>
      <c r="S215" s="17">
        <f>IF(AND(ISNUMBER(Histórico!$A215),ISNUMBER(Histórico!D215),Histórico!D215&gt;0),Histórico!D215,S214)</f>
        <v>389.05</v>
      </c>
      <c r="T215" s="18">
        <f>IF(AND(ISNUMBER(Histórico!$A215),ISNUMBER(Histórico!E215),Histórico!E215&gt;0),Histórico!E215,T214)</f>
        <v>5.3744</v>
      </c>
      <c r="U215" s="15">
        <f>IF(ISNUMBER(Histórico!A215),Histórico!A215,U214)</f>
        <v>46324</v>
      </c>
    </row>
    <row r="216" spans="17:21" ht="22.95" customHeight="1">
      <c r="Q216" s="17">
        <f>IF(AND(ISNUMBER(Histórico!$A216),ISNUMBER(Histórico!B216),Histórico!B216&gt;0),Histórico!B216,Q215)</f>
        <v>157.42</v>
      </c>
      <c r="R216" s="17">
        <f>IF(AND(ISNUMBER(Histórico!$A216),ISNUMBER(Histórico!C216),Histórico!C216&gt;0),Histórico!C216,R215)</f>
        <v>64.73</v>
      </c>
      <c r="S216" s="17">
        <f>IF(AND(ISNUMBER(Histórico!$A216),ISNUMBER(Histórico!D216),Histórico!D216&gt;0),Histórico!D216,S215)</f>
        <v>389.05</v>
      </c>
      <c r="T216" s="18">
        <f>IF(AND(ISNUMBER(Histórico!$A216),ISNUMBER(Histórico!E216),Histórico!E216&gt;0),Histórico!E216,T215)</f>
        <v>5.3744</v>
      </c>
      <c r="U216" s="15">
        <f>IF(ISNUMBER(Histórico!A216),Histórico!A216,U215)</f>
        <v>46324</v>
      </c>
    </row>
    <row r="217" spans="17:21" ht="22.95" customHeight="1">
      <c r="Q217" s="17">
        <f>IF(AND(ISNUMBER(Histórico!$A217),ISNUMBER(Histórico!B217),Histórico!B217&gt;0),Histórico!B217,Q216)</f>
        <v>157.42</v>
      </c>
      <c r="R217" s="17">
        <f>IF(AND(ISNUMBER(Histórico!$A217),ISNUMBER(Histórico!C217),Histórico!C217&gt;0),Histórico!C217,R216)</f>
        <v>64.73</v>
      </c>
      <c r="S217" s="17">
        <f>IF(AND(ISNUMBER(Histórico!$A217),ISNUMBER(Histórico!D217),Histórico!D217&gt;0),Histórico!D217,S216)</f>
        <v>389.05</v>
      </c>
      <c r="T217" s="18">
        <f>IF(AND(ISNUMBER(Histórico!$A217),ISNUMBER(Histórico!E217),Histórico!E217&gt;0),Histórico!E217,T216)</f>
        <v>5.3744</v>
      </c>
      <c r="U217" s="15">
        <f>IF(ISNUMBER(Histórico!A217),Histórico!A217,U216)</f>
        <v>46324</v>
      </c>
    </row>
    <row r="218" spans="17:21" ht="22.95" customHeight="1">
      <c r="Q218" s="17">
        <f>IF(AND(ISNUMBER(Histórico!$A218),ISNUMBER(Histórico!B218),Histórico!B218&gt;0),Histórico!B218,Q217)</f>
        <v>157.42</v>
      </c>
      <c r="R218" s="17">
        <f>IF(AND(ISNUMBER(Histórico!$A218),ISNUMBER(Histórico!C218),Histórico!C218&gt;0),Histórico!C218,R217)</f>
        <v>64.73</v>
      </c>
      <c r="S218" s="17">
        <f>IF(AND(ISNUMBER(Histórico!$A218),ISNUMBER(Histórico!D218),Histórico!D218&gt;0),Histórico!D218,S217)</f>
        <v>389.05</v>
      </c>
      <c r="T218" s="18">
        <f>IF(AND(ISNUMBER(Histórico!$A218),ISNUMBER(Histórico!E218),Histórico!E218&gt;0),Histórico!E218,T217)</f>
        <v>5.3744</v>
      </c>
      <c r="U218" s="15">
        <f>IF(ISNUMBER(Histórico!A218),Histórico!A218,U217)</f>
        <v>46324</v>
      </c>
    </row>
    <row r="219" spans="17:21" ht="22.95" customHeight="1">
      <c r="Q219" s="17">
        <f>IF(AND(ISNUMBER(Histórico!$A219),ISNUMBER(Histórico!B219),Histórico!B219&gt;0),Histórico!B219,Q218)</f>
        <v>157.42</v>
      </c>
      <c r="R219" s="17">
        <f>IF(AND(ISNUMBER(Histórico!$A219),ISNUMBER(Histórico!C219),Histórico!C219&gt;0),Histórico!C219,R218)</f>
        <v>64.73</v>
      </c>
      <c r="S219" s="17">
        <f>IF(AND(ISNUMBER(Histórico!$A219),ISNUMBER(Histórico!D219),Histórico!D219&gt;0),Histórico!D219,S218)</f>
        <v>389.05</v>
      </c>
      <c r="T219" s="18">
        <f>IF(AND(ISNUMBER(Histórico!$A219),ISNUMBER(Histórico!E219),Histórico!E219&gt;0),Histórico!E219,T218)</f>
        <v>5.3744</v>
      </c>
      <c r="U219" s="15">
        <f>IF(ISNUMBER(Histórico!A219),Histórico!A219,U218)</f>
        <v>46324</v>
      </c>
    </row>
    <row r="220" spans="17:21" ht="22.95" customHeight="1">
      <c r="Q220" s="17">
        <f>IF(AND(ISNUMBER(Histórico!$A220),ISNUMBER(Histórico!B220),Histórico!B220&gt;0),Histórico!B220,Q219)</f>
        <v>157.42</v>
      </c>
      <c r="R220" s="17">
        <f>IF(AND(ISNUMBER(Histórico!$A220),ISNUMBER(Histórico!C220),Histórico!C220&gt;0),Histórico!C220,R219)</f>
        <v>64.73</v>
      </c>
      <c r="S220" s="17">
        <f>IF(AND(ISNUMBER(Histórico!$A220),ISNUMBER(Histórico!D220),Histórico!D220&gt;0),Histórico!D220,S219)</f>
        <v>389.05</v>
      </c>
      <c r="T220" s="18">
        <f>IF(AND(ISNUMBER(Histórico!$A220),ISNUMBER(Histórico!E220),Histórico!E220&gt;0),Histórico!E220,T219)</f>
        <v>5.3744</v>
      </c>
      <c r="U220" s="15">
        <f>IF(ISNUMBER(Histórico!A220),Histórico!A220,U219)</f>
        <v>46324</v>
      </c>
    </row>
    <row r="221" spans="17:21" ht="22.95" customHeight="1">
      <c r="Q221" s="17">
        <f>IF(AND(ISNUMBER(Histórico!$A221),ISNUMBER(Histórico!B221),Histórico!B221&gt;0),Histórico!B221,Q220)</f>
        <v>157.42</v>
      </c>
      <c r="R221" s="17">
        <f>IF(AND(ISNUMBER(Histórico!$A221),ISNUMBER(Histórico!C221),Histórico!C221&gt;0),Histórico!C221,R220)</f>
        <v>64.73</v>
      </c>
      <c r="S221" s="17">
        <f>IF(AND(ISNUMBER(Histórico!$A221),ISNUMBER(Histórico!D221),Histórico!D221&gt;0),Histórico!D221,S220)</f>
        <v>389.05</v>
      </c>
      <c r="T221" s="18">
        <f>IF(AND(ISNUMBER(Histórico!$A221),ISNUMBER(Histórico!E221),Histórico!E221&gt;0),Histórico!E221,T220)</f>
        <v>5.3744</v>
      </c>
      <c r="U221" s="15">
        <f>IF(ISNUMBER(Histórico!A221),Histórico!A221,U220)</f>
        <v>46324</v>
      </c>
    </row>
    <row r="222" spans="17:21" ht="22.95" customHeight="1">
      <c r="Q222" s="17">
        <f>IF(AND(ISNUMBER(Histórico!$A222),ISNUMBER(Histórico!B222),Histórico!B222&gt;0),Histórico!B222,Q221)</f>
        <v>157.42</v>
      </c>
      <c r="R222" s="17">
        <f>IF(AND(ISNUMBER(Histórico!$A222),ISNUMBER(Histórico!C222),Histórico!C222&gt;0),Histórico!C222,R221)</f>
        <v>64.73</v>
      </c>
      <c r="S222" s="17">
        <f>IF(AND(ISNUMBER(Histórico!$A222),ISNUMBER(Histórico!D222),Histórico!D222&gt;0),Histórico!D222,S221)</f>
        <v>389.05</v>
      </c>
      <c r="T222" s="18">
        <f>IF(AND(ISNUMBER(Histórico!$A222),ISNUMBER(Histórico!E222),Histórico!E222&gt;0),Histórico!E222,T221)</f>
        <v>5.3744</v>
      </c>
      <c r="U222" s="15">
        <f>IF(ISNUMBER(Histórico!A222),Histórico!A222,U221)</f>
        <v>46324</v>
      </c>
    </row>
    <row r="223" spans="17:21" ht="22.95" customHeight="1">
      <c r="Q223" s="17">
        <f>IF(AND(ISNUMBER(Histórico!$A223),ISNUMBER(Histórico!B223),Histórico!B223&gt;0),Histórico!B223,Q222)</f>
        <v>157.42</v>
      </c>
      <c r="R223" s="17">
        <f>IF(AND(ISNUMBER(Histórico!$A223),ISNUMBER(Histórico!C223),Histórico!C223&gt;0),Histórico!C223,R222)</f>
        <v>64.73</v>
      </c>
      <c r="S223" s="17">
        <f>IF(AND(ISNUMBER(Histórico!$A223),ISNUMBER(Histórico!D223),Histórico!D223&gt;0),Histórico!D223,S222)</f>
        <v>389.05</v>
      </c>
      <c r="T223" s="18">
        <f>IF(AND(ISNUMBER(Histórico!$A223),ISNUMBER(Histórico!E223),Histórico!E223&gt;0),Histórico!E223,T222)</f>
        <v>5.3744</v>
      </c>
      <c r="U223" s="15">
        <f>IF(ISNUMBER(Histórico!A223),Histórico!A223,U222)</f>
        <v>46324</v>
      </c>
    </row>
    <row r="224" spans="17:21" ht="22.95" customHeight="1">
      <c r="Q224" s="17">
        <f>IF(AND(ISNUMBER(Histórico!$A224),ISNUMBER(Histórico!B224),Histórico!B224&gt;0),Histórico!B224,Q223)</f>
        <v>157.42</v>
      </c>
      <c r="R224" s="17">
        <f>IF(AND(ISNUMBER(Histórico!$A224),ISNUMBER(Histórico!C224),Histórico!C224&gt;0),Histórico!C224,R223)</f>
        <v>64.73</v>
      </c>
      <c r="S224" s="17">
        <f>IF(AND(ISNUMBER(Histórico!$A224),ISNUMBER(Histórico!D224),Histórico!D224&gt;0),Histórico!D224,S223)</f>
        <v>389.05</v>
      </c>
      <c r="T224" s="18">
        <f>IF(AND(ISNUMBER(Histórico!$A224),ISNUMBER(Histórico!E224),Histórico!E224&gt;0),Histórico!E224,T223)</f>
        <v>5.3744</v>
      </c>
      <c r="U224" s="15">
        <f>IF(ISNUMBER(Histórico!A224),Histórico!A224,U223)</f>
        <v>46324</v>
      </c>
    </row>
    <row r="225" spans="17:21" ht="22.95" customHeight="1">
      <c r="Q225" s="17">
        <f>IF(AND(ISNUMBER(Histórico!$A225),ISNUMBER(Histórico!B225),Histórico!B225&gt;0),Histórico!B225,Q224)</f>
        <v>157.42</v>
      </c>
      <c r="R225" s="17">
        <f>IF(AND(ISNUMBER(Histórico!$A225),ISNUMBER(Histórico!C225),Histórico!C225&gt;0),Histórico!C225,R224)</f>
        <v>64.73</v>
      </c>
      <c r="S225" s="17">
        <f>IF(AND(ISNUMBER(Histórico!$A225),ISNUMBER(Histórico!D225),Histórico!D225&gt;0),Histórico!D225,S224)</f>
        <v>389.05</v>
      </c>
      <c r="T225" s="18">
        <f>IF(AND(ISNUMBER(Histórico!$A225),ISNUMBER(Histórico!E225),Histórico!E225&gt;0),Histórico!E225,T224)</f>
        <v>5.3744</v>
      </c>
      <c r="U225" s="15">
        <f>IF(ISNUMBER(Histórico!A225),Histórico!A225,U224)</f>
        <v>46324</v>
      </c>
    </row>
    <row r="226" spans="17:21" ht="22.95" customHeight="1">
      <c r="Q226" s="17">
        <f>IF(AND(ISNUMBER(Histórico!$A226),ISNUMBER(Histórico!B226),Histórico!B226&gt;0),Histórico!B226,Q225)</f>
        <v>157.42</v>
      </c>
      <c r="R226" s="17">
        <f>IF(AND(ISNUMBER(Histórico!$A226),ISNUMBER(Histórico!C226),Histórico!C226&gt;0),Histórico!C226,R225)</f>
        <v>64.73</v>
      </c>
      <c r="S226" s="17">
        <f>IF(AND(ISNUMBER(Histórico!$A226),ISNUMBER(Histórico!D226),Histórico!D226&gt;0),Histórico!D226,S225)</f>
        <v>389.05</v>
      </c>
      <c r="T226" s="18">
        <f>IF(AND(ISNUMBER(Histórico!$A226),ISNUMBER(Histórico!E226),Histórico!E226&gt;0),Histórico!E226,T225)</f>
        <v>5.3744</v>
      </c>
      <c r="U226" s="15">
        <f>IF(ISNUMBER(Histórico!A226),Histórico!A226,U225)</f>
        <v>46324</v>
      </c>
    </row>
    <row r="227" spans="17:21" ht="22.95" customHeight="1">
      <c r="Q227" s="17">
        <f>IF(AND(ISNUMBER(Histórico!$A227),ISNUMBER(Histórico!B227),Histórico!B227&gt;0),Histórico!B227,Q226)</f>
        <v>157.42</v>
      </c>
      <c r="R227" s="17">
        <f>IF(AND(ISNUMBER(Histórico!$A227),ISNUMBER(Histórico!C227),Histórico!C227&gt;0),Histórico!C227,R226)</f>
        <v>64.73</v>
      </c>
      <c r="S227" s="17">
        <f>IF(AND(ISNUMBER(Histórico!$A227),ISNUMBER(Histórico!D227),Histórico!D227&gt;0),Histórico!D227,S226)</f>
        <v>389.05</v>
      </c>
      <c r="T227" s="18">
        <f>IF(AND(ISNUMBER(Histórico!$A227),ISNUMBER(Histórico!E227),Histórico!E227&gt;0),Histórico!E227,T226)</f>
        <v>5.3744</v>
      </c>
      <c r="U227" s="15">
        <f>IF(ISNUMBER(Histórico!A227),Histórico!A227,U226)</f>
        <v>46324</v>
      </c>
    </row>
    <row r="228" spans="17:21" ht="22.95" customHeight="1">
      <c r="Q228" s="17">
        <f>IF(AND(ISNUMBER(Histórico!$A228),ISNUMBER(Histórico!B228),Histórico!B228&gt;0),Histórico!B228,Q227)</f>
        <v>157.42</v>
      </c>
      <c r="R228" s="17">
        <f>IF(AND(ISNUMBER(Histórico!$A228),ISNUMBER(Histórico!C228),Histórico!C228&gt;0),Histórico!C228,R227)</f>
        <v>64.73</v>
      </c>
      <c r="S228" s="17">
        <f>IF(AND(ISNUMBER(Histórico!$A228),ISNUMBER(Histórico!D228),Histórico!D228&gt;0),Histórico!D228,S227)</f>
        <v>389.05</v>
      </c>
      <c r="T228" s="18">
        <f>IF(AND(ISNUMBER(Histórico!$A228),ISNUMBER(Histórico!E228),Histórico!E228&gt;0),Histórico!E228,T227)</f>
        <v>5.3744</v>
      </c>
      <c r="U228" s="15">
        <f>IF(ISNUMBER(Histórico!A228),Histórico!A228,U227)</f>
        <v>46324</v>
      </c>
    </row>
    <row r="229" spans="17:21" ht="22.95" customHeight="1">
      <c r="Q229" s="17">
        <f>IF(AND(ISNUMBER(Histórico!$A229),ISNUMBER(Histórico!B229),Histórico!B229&gt;0),Histórico!B229,Q228)</f>
        <v>157.42</v>
      </c>
      <c r="R229" s="17">
        <f>IF(AND(ISNUMBER(Histórico!$A229),ISNUMBER(Histórico!C229),Histórico!C229&gt;0),Histórico!C229,R228)</f>
        <v>64.73</v>
      </c>
      <c r="S229" s="17">
        <f>IF(AND(ISNUMBER(Histórico!$A229),ISNUMBER(Histórico!D229),Histórico!D229&gt;0),Histórico!D229,S228)</f>
        <v>389.05</v>
      </c>
      <c r="T229" s="18">
        <f>IF(AND(ISNUMBER(Histórico!$A229),ISNUMBER(Histórico!E229),Histórico!E229&gt;0),Histórico!E229,T228)</f>
        <v>5.3744</v>
      </c>
      <c r="U229" s="15">
        <f>IF(ISNUMBER(Histórico!A229),Histórico!A229,U228)</f>
        <v>46324</v>
      </c>
    </row>
    <row r="230" spans="17:21" ht="22.95" customHeight="1">
      <c r="Q230" s="17">
        <f>IF(AND(ISNUMBER(Histórico!$A230),ISNUMBER(Histórico!B230),Histórico!B230&gt;0),Histórico!B230,Q229)</f>
        <v>157.42</v>
      </c>
      <c r="R230" s="17">
        <f>IF(AND(ISNUMBER(Histórico!$A230),ISNUMBER(Histórico!C230),Histórico!C230&gt;0),Histórico!C230,R229)</f>
        <v>64.73</v>
      </c>
      <c r="S230" s="17">
        <f>IF(AND(ISNUMBER(Histórico!$A230),ISNUMBER(Histórico!D230),Histórico!D230&gt;0),Histórico!D230,S229)</f>
        <v>389.05</v>
      </c>
      <c r="T230" s="18">
        <f>IF(AND(ISNUMBER(Histórico!$A230),ISNUMBER(Histórico!E230),Histórico!E230&gt;0),Histórico!E230,T229)</f>
        <v>5.3744</v>
      </c>
      <c r="U230" s="15">
        <f>IF(ISNUMBER(Histórico!A230),Histórico!A230,U229)</f>
        <v>46324</v>
      </c>
    </row>
    <row r="231" spans="17:21" ht="22.95" customHeight="1">
      <c r="Q231" s="17">
        <f>IF(AND(ISNUMBER(Histórico!$A231),ISNUMBER(Histórico!B231),Histórico!B231&gt;0),Histórico!B231,Q230)</f>
        <v>157.42</v>
      </c>
      <c r="R231" s="17">
        <f>IF(AND(ISNUMBER(Histórico!$A231),ISNUMBER(Histórico!C231),Histórico!C231&gt;0),Histórico!C231,R230)</f>
        <v>64.73</v>
      </c>
      <c r="S231" s="17">
        <f>IF(AND(ISNUMBER(Histórico!$A231),ISNUMBER(Histórico!D231),Histórico!D231&gt;0),Histórico!D231,S230)</f>
        <v>389.05</v>
      </c>
      <c r="T231" s="18">
        <f>IF(AND(ISNUMBER(Histórico!$A231),ISNUMBER(Histórico!E231),Histórico!E231&gt;0),Histórico!E231,T230)</f>
        <v>5.3744</v>
      </c>
      <c r="U231" s="15">
        <f>IF(ISNUMBER(Histórico!A231),Histórico!A231,U230)</f>
        <v>46324</v>
      </c>
    </row>
    <row r="232" spans="17:21" ht="22.95" customHeight="1">
      <c r="Q232" s="17">
        <f>IF(AND(ISNUMBER(Histórico!$A232),ISNUMBER(Histórico!B232),Histórico!B232&gt;0),Histórico!B232,Q231)</f>
        <v>157.42</v>
      </c>
      <c r="R232" s="17">
        <f>IF(AND(ISNUMBER(Histórico!$A232),ISNUMBER(Histórico!C232),Histórico!C232&gt;0),Histórico!C232,R231)</f>
        <v>64.73</v>
      </c>
      <c r="S232" s="17">
        <f>IF(AND(ISNUMBER(Histórico!$A232),ISNUMBER(Histórico!D232),Histórico!D232&gt;0),Histórico!D232,S231)</f>
        <v>389.05</v>
      </c>
      <c r="T232" s="18">
        <f>IF(AND(ISNUMBER(Histórico!$A232),ISNUMBER(Histórico!E232),Histórico!E232&gt;0),Histórico!E232,T231)</f>
        <v>5.3744</v>
      </c>
      <c r="U232" s="15">
        <f>IF(ISNUMBER(Histórico!A232),Histórico!A232,U231)</f>
        <v>46324</v>
      </c>
    </row>
    <row r="233" spans="17:21" ht="22.95" customHeight="1">
      <c r="Q233" s="17">
        <f>IF(AND(ISNUMBER(Histórico!$A233),ISNUMBER(Histórico!B233),Histórico!B233&gt;0),Histórico!B233,Q232)</f>
        <v>157.42</v>
      </c>
      <c r="R233" s="17">
        <f>IF(AND(ISNUMBER(Histórico!$A233),ISNUMBER(Histórico!C233),Histórico!C233&gt;0),Histórico!C233,R232)</f>
        <v>64.73</v>
      </c>
      <c r="S233" s="17">
        <f>IF(AND(ISNUMBER(Histórico!$A233),ISNUMBER(Histórico!D233),Histórico!D233&gt;0),Histórico!D233,S232)</f>
        <v>389.05</v>
      </c>
      <c r="T233" s="18">
        <f>IF(AND(ISNUMBER(Histórico!$A233),ISNUMBER(Histórico!E233),Histórico!E233&gt;0),Histórico!E233,T232)</f>
        <v>5.3744</v>
      </c>
      <c r="U233" s="15">
        <f>IF(ISNUMBER(Histórico!A233),Histórico!A233,U232)</f>
        <v>46324</v>
      </c>
    </row>
    <row r="234" spans="17:21" ht="22.95" customHeight="1">
      <c r="Q234" s="17">
        <f>IF(AND(ISNUMBER(Histórico!$A234),ISNUMBER(Histórico!B234),Histórico!B234&gt;0),Histórico!B234,Q233)</f>
        <v>157.42</v>
      </c>
      <c r="R234" s="17">
        <f>IF(AND(ISNUMBER(Histórico!$A234),ISNUMBER(Histórico!C234),Histórico!C234&gt;0),Histórico!C234,R233)</f>
        <v>64.73</v>
      </c>
      <c r="S234" s="17">
        <f>IF(AND(ISNUMBER(Histórico!$A234),ISNUMBER(Histórico!D234),Histórico!D234&gt;0),Histórico!D234,S233)</f>
        <v>389.05</v>
      </c>
      <c r="T234" s="18">
        <f>IF(AND(ISNUMBER(Histórico!$A234),ISNUMBER(Histórico!E234),Histórico!E234&gt;0),Histórico!E234,T233)</f>
        <v>5.3744</v>
      </c>
      <c r="U234" s="15">
        <f>IF(ISNUMBER(Histórico!A234),Histórico!A234,U233)</f>
        <v>46324</v>
      </c>
    </row>
    <row r="235" spans="17:21" ht="22.95" customHeight="1">
      <c r="Q235" s="17">
        <f>IF(AND(ISNUMBER(Histórico!$A235),ISNUMBER(Histórico!B235),Histórico!B235&gt;0),Histórico!B235,Q234)</f>
        <v>157.42</v>
      </c>
      <c r="R235" s="17">
        <f>IF(AND(ISNUMBER(Histórico!$A235),ISNUMBER(Histórico!C235),Histórico!C235&gt;0),Histórico!C235,R234)</f>
        <v>64.73</v>
      </c>
      <c r="S235" s="17">
        <f>IF(AND(ISNUMBER(Histórico!$A235),ISNUMBER(Histórico!D235),Histórico!D235&gt;0),Histórico!D235,S234)</f>
        <v>389.05</v>
      </c>
      <c r="T235" s="18">
        <f>IF(AND(ISNUMBER(Histórico!$A235),ISNUMBER(Histórico!E235),Histórico!E235&gt;0),Histórico!E235,T234)</f>
        <v>5.3744</v>
      </c>
      <c r="U235" s="15">
        <f>IF(ISNUMBER(Histórico!A235),Histórico!A235,U234)</f>
        <v>46324</v>
      </c>
    </row>
    <row r="236" spans="17:21" ht="22.95" customHeight="1">
      <c r="Q236" s="17">
        <f>IF(AND(ISNUMBER(Histórico!$A236),ISNUMBER(Histórico!B236),Histórico!B236&gt;0),Histórico!B236,Q235)</f>
        <v>157.42</v>
      </c>
      <c r="R236" s="17">
        <f>IF(AND(ISNUMBER(Histórico!$A236),ISNUMBER(Histórico!C236),Histórico!C236&gt;0),Histórico!C236,R235)</f>
        <v>64.73</v>
      </c>
      <c r="S236" s="17">
        <f>IF(AND(ISNUMBER(Histórico!$A236),ISNUMBER(Histórico!D236),Histórico!D236&gt;0),Histórico!D236,S235)</f>
        <v>389.05</v>
      </c>
      <c r="T236" s="18">
        <f>IF(AND(ISNUMBER(Histórico!$A236),ISNUMBER(Histórico!E236),Histórico!E236&gt;0),Histórico!E236,T235)</f>
        <v>5.3744</v>
      </c>
      <c r="U236" s="15">
        <f>IF(ISNUMBER(Histórico!A236),Histórico!A236,U235)</f>
        <v>46324</v>
      </c>
    </row>
    <row r="237" spans="17:21" ht="22.95" customHeight="1">
      <c r="Q237" s="17">
        <f>IF(AND(ISNUMBER(Histórico!$A237),ISNUMBER(Histórico!B237),Histórico!B237&gt;0),Histórico!B237,Q236)</f>
        <v>157.42</v>
      </c>
      <c r="R237" s="17">
        <f>IF(AND(ISNUMBER(Histórico!$A237),ISNUMBER(Histórico!C237),Histórico!C237&gt;0),Histórico!C237,R236)</f>
        <v>64.73</v>
      </c>
      <c r="S237" s="17">
        <f>IF(AND(ISNUMBER(Histórico!$A237),ISNUMBER(Histórico!D237),Histórico!D237&gt;0),Histórico!D237,S236)</f>
        <v>389.05</v>
      </c>
      <c r="T237" s="18">
        <f>IF(AND(ISNUMBER(Histórico!$A237),ISNUMBER(Histórico!E237),Histórico!E237&gt;0),Histórico!E237,T236)</f>
        <v>5.3744</v>
      </c>
      <c r="U237" s="15">
        <f>IF(ISNUMBER(Histórico!A237),Histórico!A237,U236)</f>
        <v>46324</v>
      </c>
    </row>
    <row r="238" spans="17:21" ht="22.95" customHeight="1">
      <c r="Q238" s="17">
        <f>IF(AND(ISNUMBER(Histórico!$A238),ISNUMBER(Histórico!B238),Histórico!B238&gt;0),Histórico!B238,Q237)</f>
        <v>157.42</v>
      </c>
      <c r="R238" s="17">
        <f>IF(AND(ISNUMBER(Histórico!$A238),ISNUMBER(Histórico!C238),Histórico!C238&gt;0),Histórico!C238,R237)</f>
        <v>64.73</v>
      </c>
      <c r="S238" s="17">
        <f>IF(AND(ISNUMBER(Histórico!$A238),ISNUMBER(Histórico!D238),Histórico!D238&gt;0),Histórico!D238,S237)</f>
        <v>389.05</v>
      </c>
      <c r="T238" s="18">
        <f>IF(AND(ISNUMBER(Histórico!$A238),ISNUMBER(Histórico!E238),Histórico!E238&gt;0),Histórico!E238,T237)</f>
        <v>5.3744</v>
      </c>
      <c r="U238" s="15">
        <f>IF(ISNUMBER(Histórico!A238),Histórico!A238,U237)</f>
        <v>46324</v>
      </c>
    </row>
    <row r="239" spans="17:21" ht="22.95" customHeight="1">
      <c r="Q239" s="17">
        <f>IF(AND(ISNUMBER(Histórico!$A239),ISNUMBER(Histórico!B239),Histórico!B239&gt;0),Histórico!B239,Q238)</f>
        <v>157.42</v>
      </c>
      <c r="R239" s="17">
        <f>IF(AND(ISNUMBER(Histórico!$A239),ISNUMBER(Histórico!C239),Histórico!C239&gt;0),Histórico!C239,R238)</f>
        <v>64.73</v>
      </c>
      <c r="S239" s="17">
        <f>IF(AND(ISNUMBER(Histórico!$A239),ISNUMBER(Histórico!D239),Histórico!D239&gt;0),Histórico!D239,S238)</f>
        <v>389.05</v>
      </c>
      <c r="T239" s="18">
        <f>IF(AND(ISNUMBER(Histórico!$A239),ISNUMBER(Histórico!E239),Histórico!E239&gt;0),Histórico!E239,T238)</f>
        <v>5.3744</v>
      </c>
      <c r="U239" s="15">
        <f>IF(ISNUMBER(Histórico!A239),Histórico!A239,U238)</f>
        <v>46324</v>
      </c>
    </row>
    <row r="240" spans="17:21" ht="22.95" customHeight="1">
      <c r="Q240" s="17">
        <f>IF(AND(ISNUMBER(Histórico!$A240),ISNUMBER(Histórico!B240),Histórico!B240&gt;0),Histórico!B240,Q239)</f>
        <v>157.42</v>
      </c>
      <c r="R240" s="17">
        <f>IF(AND(ISNUMBER(Histórico!$A240),ISNUMBER(Histórico!C240),Histórico!C240&gt;0),Histórico!C240,R239)</f>
        <v>64.73</v>
      </c>
      <c r="S240" s="17">
        <f>IF(AND(ISNUMBER(Histórico!$A240),ISNUMBER(Histórico!D240),Histórico!D240&gt;0),Histórico!D240,S239)</f>
        <v>389.05</v>
      </c>
      <c r="T240" s="18">
        <f>IF(AND(ISNUMBER(Histórico!$A240),ISNUMBER(Histórico!E240),Histórico!E240&gt;0),Histórico!E240,T239)</f>
        <v>5.3744</v>
      </c>
      <c r="U240" s="15">
        <f>IF(ISNUMBER(Histórico!A240),Histórico!A240,U239)</f>
        <v>46324</v>
      </c>
    </row>
    <row r="241" spans="17:21" ht="22.95" customHeight="1">
      <c r="Q241" s="17">
        <f>IF(AND(ISNUMBER(Histórico!$A241),ISNUMBER(Histórico!B241),Histórico!B241&gt;0),Histórico!B241,Q240)</f>
        <v>157.42</v>
      </c>
      <c r="R241" s="17">
        <f>IF(AND(ISNUMBER(Histórico!$A241),ISNUMBER(Histórico!C241),Histórico!C241&gt;0),Histórico!C241,R240)</f>
        <v>64.73</v>
      </c>
      <c r="S241" s="17">
        <f>IF(AND(ISNUMBER(Histórico!$A241),ISNUMBER(Histórico!D241),Histórico!D241&gt;0),Histórico!D241,S240)</f>
        <v>389.05</v>
      </c>
      <c r="T241" s="18">
        <f>IF(AND(ISNUMBER(Histórico!$A241),ISNUMBER(Histórico!E241),Histórico!E241&gt;0),Histórico!E241,T240)</f>
        <v>5.3744</v>
      </c>
      <c r="U241" s="15">
        <f>IF(ISNUMBER(Histórico!A241),Histórico!A241,U240)</f>
        <v>46324</v>
      </c>
    </row>
    <row r="242" spans="17:21" ht="22.95" customHeight="1">
      <c r="Q242" s="17">
        <f>IF(AND(ISNUMBER(Histórico!$A242),ISNUMBER(Histórico!B242),Histórico!B242&gt;0),Histórico!B242,Q241)</f>
        <v>157.42</v>
      </c>
      <c r="R242" s="17">
        <f>IF(AND(ISNUMBER(Histórico!$A242),ISNUMBER(Histórico!C242),Histórico!C242&gt;0),Histórico!C242,R241)</f>
        <v>64.73</v>
      </c>
      <c r="S242" s="17">
        <f>IF(AND(ISNUMBER(Histórico!$A242),ISNUMBER(Histórico!D242),Histórico!D242&gt;0),Histórico!D242,S241)</f>
        <v>389.05</v>
      </c>
      <c r="T242" s="18">
        <f>IF(AND(ISNUMBER(Histórico!$A242),ISNUMBER(Histórico!E242),Histórico!E242&gt;0),Histórico!E242,T241)</f>
        <v>5.3744</v>
      </c>
      <c r="U242" s="15">
        <f>IF(ISNUMBER(Histórico!A242),Histórico!A242,U241)</f>
        <v>46324</v>
      </c>
    </row>
    <row r="243" spans="17:21" ht="22.95" customHeight="1">
      <c r="Q243" s="17">
        <f>IF(AND(ISNUMBER(Histórico!$A243),ISNUMBER(Histórico!B243),Histórico!B243&gt;0),Histórico!B243,Q242)</f>
        <v>157.42</v>
      </c>
      <c r="R243" s="17">
        <f>IF(AND(ISNUMBER(Histórico!$A243),ISNUMBER(Histórico!C243),Histórico!C243&gt;0),Histórico!C243,R242)</f>
        <v>64.73</v>
      </c>
      <c r="S243" s="17">
        <f>IF(AND(ISNUMBER(Histórico!$A243),ISNUMBER(Histórico!D243),Histórico!D243&gt;0),Histórico!D243,S242)</f>
        <v>389.05</v>
      </c>
      <c r="T243" s="18">
        <f>IF(AND(ISNUMBER(Histórico!$A243),ISNUMBER(Histórico!E243),Histórico!E243&gt;0),Histórico!E243,T242)</f>
        <v>5.3744</v>
      </c>
      <c r="U243" s="15">
        <f>IF(ISNUMBER(Histórico!A243),Histórico!A243,U242)</f>
        <v>46324</v>
      </c>
    </row>
    <row r="244" spans="17:21" ht="22.95" customHeight="1">
      <c r="Q244" s="17">
        <f>IF(AND(ISNUMBER(Histórico!$A244),ISNUMBER(Histórico!B244),Histórico!B244&gt;0),Histórico!B244,Q243)</f>
        <v>157.42</v>
      </c>
      <c r="R244" s="17">
        <f>IF(AND(ISNUMBER(Histórico!$A244),ISNUMBER(Histórico!C244),Histórico!C244&gt;0),Histórico!C244,R243)</f>
        <v>64.73</v>
      </c>
      <c r="S244" s="17">
        <f>IF(AND(ISNUMBER(Histórico!$A244),ISNUMBER(Histórico!D244),Histórico!D244&gt;0),Histórico!D244,S243)</f>
        <v>389.05</v>
      </c>
      <c r="T244" s="18">
        <f>IF(AND(ISNUMBER(Histórico!$A244),ISNUMBER(Histórico!E244),Histórico!E244&gt;0),Histórico!E244,T243)</f>
        <v>5.3744</v>
      </c>
      <c r="U244" s="15">
        <f>IF(ISNUMBER(Histórico!A244),Histórico!A244,U243)</f>
        <v>46324</v>
      </c>
    </row>
    <row r="245" spans="17:21" ht="22.95" customHeight="1">
      <c r="Q245" s="17">
        <f>IF(AND(ISNUMBER(Histórico!$A245),ISNUMBER(Histórico!B245),Histórico!B245&gt;0),Histórico!B245,Q244)</f>
        <v>157.42</v>
      </c>
      <c r="R245" s="17">
        <f>IF(AND(ISNUMBER(Histórico!$A245),ISNUMBER(Histórico!C245),Histórico!C245&gt;0),Histórico!C245,R244)</f>
        <v>64.73</v>
      </c>
      <c r="S245" s="17">
        <f>IF(AND(ISNUMBER(Histórico!$A245),ISNUMBER(Histórico!D245),Histórico!D245&gt;0),Histórico!D245,S244)</f>
        <v>389.05</v>
      </c>
      <c r="T245" s="18">
        <f>IF(AND(ISNUMBER(Histórico!$A245),ISNUMBER(Histórico!E245),Histórico!E245&gt;0),Histórico!E245,T244)</f>
        <v>5.3744</v>
      </c>
      <c r="U245" s="15">
        <f>IF(ISNUMBER(Histórico!A245),Histórico!A245,U244)</f>
        <v>46324</v>
      </c>
    </row>
    <row r="246" spans="17:21" ht="22.95" customHeight="1">
      <c r="Q246" s="17">
        <f>IF(AND(ISNUMBER(Histórico!$A246),ISNUMBER(Histórico!B246),Histórico!B246&gt;0),Histórico!B246,Q245)</f>
        <v>157.42</v>
      </c>
      <c r="R246" s="17">
        <f>IF(AND(ISNUMBER(Histórico!$A246),ISNUMBER(Histórico!C246),Histórico!C246&gt;0),Histórico!C246,R245)</f>
        <v>64.73</v>
      </c>
      <c r="S246" s="17">
        <f>IF(AND(ISNUMBER(Histórico!$A246),ISNUMBER(Histórico!D246),Histórico!D246&gt;0),Histórico!D246,S245)</f>
        <v>389.05</v>
      </c>
      <c r="T246" s="18">
        <f>IF(AND(ISNUMBER(Histórico!$A246),ISNUMBER(Histórico!E246),Histórico!E246&gt;0),Histórico!E246,T245)</f>
        <v>5.3744</v>
      </c>
      <c r="U246" s="15">
        <f>IF(ISNUMBER(Histórico!A246),Histórico!A246,U245)</f>
        <v>46324</v>
      </c>
    </row>
    <row r="247" spans="17:21" ht="22.95" customHeight="1">
      <c r="Q247" s="17">
        <f>IF(AND(ISNUMBER(Histórico!$A247),ISNUMBER(Histórico!B247),Histórico!B247&gt;0),Histórico!B247,Q246)</f>
        <v>157.42</v>
      </c>
      <c r="R247" s="17">
        <f>IF(AND(ISNUMBER(Histórico!$A247),ISNUMBER(Histórico!C247),Histórico!C247&gt;0),Histórico!C247,R246)</f>
        <v>64.73</v>
      </c>
      <c r="S247" s="17">
        <f>IF(AND(ISNUMBER(Histórico!$A247),ISNUMBER(Histórico!D247),Histórico!D247&gt;0),Histórico!D247,S246)</f>
        <v>389.05</v>
      </c>
      <c r="T247" s="18">
        <f>IF(AND(ISNUMBER(Histórico!$A247),ISNUMBER(Histórico!E247),Histórico!E247&gt;0),Histórico!E247,T246)</f>
        <v>5.3744</v>
      </c>
      <c r="U247" s="15">
        <f>IF(ISNUMBER(Histórico!A247),Histórico!A247,U246)</f>
        <v>46324</v>
      </c>
    </row>
    <row r="248" spans="17:21" ht="22.95" customHeight="1">
      <c r="Q248" s="17">
        <f>IF(AND(ISNUMBER(Histórico!$A248),ISNUMBER(Histórico!B248),Histórico!B248&gt;0),Histórico!B248,Q247)</f>
        <v>157.42</v>
      </c>
      <c r="R248" s="17">
        <f>IF(AND(ISNUMBER(Histórico!$A248),ISNUMBER(Histórico!C248),Histórico!C248&gt;0),Histórico!C248,R247)</f>
        <v>64.73</v>
      </c>
      <c r="S248" s="17">
        <f>IF(AND(ISNUMBER(Histórico!$A248),ISNUMBER(Histórico!D248),Histórico!D248&gt;0),Histórico!D248,S247)</f>
        <v>389.05</v>
      </c>
      <c r="T248" s="18">
        <f>IF(AND(ISNUMBER(Histórico!$A248),ISNUMBER(Histórico!E248),Histórico!E248&gt;0),Histórico!E248,T247)</f>
        <v>5.3744</v>
      </c>
      <c r="U248" s="15">
        <f>IF(ISNUMBER(Histórico!A248),Histórico!A248,U247)</f>
        <v>46324</v>
      </c>
    </row>
    <row r="249" spans="17:21" ht="22.95" customHeight="1">
      <c r="Q249" s="17">
        <f>IF(AND(ISNUMBER(Histórico!$A249),ISNUMBER(Histórico!B249),Histórico!B249&gt;0),Histórico!B249,Q248)</f>
        <v>157.42</v>
      </c>
      <c r="R249" s="17">
        <f>IF(AND(ISNUMBER(Histórico!$A249),ISNUMBER(Histórico!C249),Histórico!C249&gt;0),Histórico!C249,R248)</f>
        <v>64.73</v>
      </c>
      <c r="S249" s="17">
        <f>IF(AND(ISNUMBER(Histórico!$A249),ISNUMBER(Histórico!D249),Histórico!D249&gt;0),Histórico!D249,S248)</f>
        <v>389.05</v>
      </c>
      <c r="T249" s="18">
        <f>IF(AND(ISNUMBER(Histórico!$A249),ISNUMBER(Histórico!E249),Histórico!E249&gt;0),Histórico!E249,T248)</f>
        <v>5.3744</v>
      </c>
      <c r="U249" s="15">
        <f>IF(ISNUMBER(Histórico!A249),Histórico!A249,U248)</f>
        <v>46324</v>
      </c>
    </row>
    <row r="250" spans="17:21" ht="22.95" customHeight="1">
      <c r="Q250" s="17">
        <f>IF(AND(ISNUMBER(Histórico!$A250),ISNUMBER(Histórico!B250),Histórico!B250&gt;0),Histórico!B250,Q249)</f>
        <v>157.42</v>
      </c>
      <c r="R250" s="17">
        <f>IF(AND(ISNUMBER(Histórico!$A250),ISNUMBER(Histórico!C250),Histórico!C250&gt;0),Histórico!C250,R249)</f>
        <v>64.73</v>
      </c>
      <c r="S250" s="17">
        <f>IF(AND(ISNUMBER(Histórico!$A250),ISNUMBER(Histórico!D250),Histórico!D250&gt;0),Histórico!D250,S249)</f>
        <v>389.05</v>
      </c>
      <c r="T250" s="18">
        <f>IF(AND(ISNUMBER(Histórico!$A250),ISNUMBER(Histórico!E250),Histórico!E250&gt;0),Histórico!E250,T249)</f>
        <v>5.3744</v>
      </c>
      <c r="U250" s="15">
        <f>IF(ISNUMBER(Histórico!A250),Histórico!A250,U249)</f>
        <v>46324</v>
      </c>
    </row>
    <row r="251" spans="17:21" ht="22.95" customHeight="1">
      <c r="Q251" s="17">
        <f>IF(AND(ISNUMBER(Histórico!$A251),ISNUMBER(Histórico!B251),Histórico!B251&gt;0),Histórico!B251,Q250)</f>
        <v>157.42</v>
      </c>
      <c r="R251" s="17">
        <f>IF(AND(ISNUMBER(Histórico!$A251),ISNUMBER(Histórico!C251),Histórico!C251&gt;0),Histórico!C251,R250)</f>
        <v>64.73</v>
      </c>
      <c r="S251" s="17">
        <f>IF(AND(ISNUMBER(Histórico!$A251),ISNUMBER(Histórico!D251),Histórico!D251&gt;0),Histórico!D251,S250)</f>
        <v>389.05</v>
      </c>
      <c r="T251" s="18">
        <f>IF(AND(ISNUMBER(Histórico!$A251),ISNUMBER(Histórico!E251),Histórico!E251&gt;0),Histórico!E251,T250)</f>
        <v>5.3744</v>
      </c>
      <c r="U251" s="15">
        <f>IF(ISNUMBER(Histórico!A251),Histórico!A251,U250)</f>
        <v>46324</v>
      </c>
    </row>
    <row r="252" spans="17:21" ht="22.95" customHeight="1">
      <c r="Q252" s="17">
        <f>IF(AND(ISNUMBER(Histórico!$A252),ISNUMBER(Histórico!B252),Histórico!B252&gt;0),Histórico!B252,Q251)</f>
        <v>157.42</v>
      </c>
      <c r="R252" s="17">
        <f>IF(AND(ISNUMBER(Histórico!$A252),ISNUMBER(Histórico!C252),Histórico!C252&gt;0),Histórico!C252,R251)</f>
        <v>64.73</v>
      </c>
      <c r="S252" s="17">
        <f>IF(AND(ISNUMBER(Histórico!$A252),ISNUMBER(Histórico!D252),Histórico!D252&gt;0),Histórico!D252,S251)</f>
        <v>389.05</v>
      </c>
      <c r="T252" s="18">
        <f>IF(AND(ISNUMBER(Histórico!$A252),ISNUMBER(Histórico!E252),Histórico!E252&gt;0),Histórico!E252,T251)</f>
        <v>5.3744</v>
      </c>
      <c r="U252" s="15">
        <f>IF(ISNUMBER(Histórico!A252),Histórico!A252,U251)</f>
        <v>46324</v>
      </c>
    </row>
    <row r="253" spans="17:21" ht="22.95" customHeight="1">
      <c r="Q253" s="17">
        <f>IF(AND(ISNUMBER(Histórico!$A253),ISNUMBER(Histórico!B253),Histórico!B253&gt;0),Histórico!B253,Q252)</f>
        <v>157.42</v>
      </c>
      <c r="R253" s="17">
        <f>IF(AND(ISNUMBER(Histórico!$A253),ISNUMBER(Histórico!C253),Histórico!C253&gt;0),Histórico!C253,R252)</f>
        <v>64.73</v>
      </c>
      <c r="S253" s="17">
        <f>IF(AND(ISNUMBER(Histórico!$A253),ISNUMBER(Histórico!D253),Histórico!D253&gt;0),Histórico!D253,S252)</f>
        <v>389.05</v>
      </c>
      <c r="T253" s="18">
        <f>IF(AND(ISNUMBER(Histórico!$A253),ISNUMBER(Histórico!E253),Histórico!E253&gt;0),Histórico!E253,T252)</f>
        <v>5.3744</v>
      </c>
      <c r="U253" s="15">
        <f>IF(ISNUMBER(Histórico!A253),Histórico!A253,U252)</f>
        <v>46324</v>
      </c>
    </row>
    <row r="254" spans="17:21" ht="22.95" customHeight="1">
      <c r="Q254" s="17">
        <f>IF(AND(ISNUMBER(Histórico!$A254),ISNUMBER(Histórico!B254),Histórico!B254&gt;0),Histórico!B254,Q253)</f>
        <v>157.42</v>
      </c>
      <c r="R254" s="17">
        <f>IF(AND(ISNUMBER(Histórico!$A254),ISNUMBER(Histórico!C254),Histórico!C254&gt;0),Histórico!C254,R253)</f>
        <v>64.73</v>
      </c>
      <c r="S254" s="17">
        <f>IF(AND(ISNUMBER(Histórico!$A254),ISNUMBER(Histórico!D254),Histórico!D254&gt;0),Histórico!D254,S253)</f>
        <v>389.05</v>
      </c>
      <c r="T254" s="18">
        <f>IF(AND(ISNUMBER(Histórico!$A254),ISNUMBER(Histórico!E254),Histórico!E254&gt;0),Histórico!E254,T253)</f>
        <v>5.3744</v>
      </c>
      <c r="U254" s="15">
        <f>IF(ISNUMBER(Histórico!A254),Histórico!A254,U253)</f>
        <v>46324</v>
      </c>
    </row>
    <row r="255" spans="17:21" ht="22.95" customHeight="1">
      <c r="Q255" s="17">
        <f>IF(AND(ISNUMBER(Histórico!$A255),ISNUMBER(Histórico!B255),Histórico!B255&gt;0),Histórico!B255,Q254)</f>
        <v>157.42</v>
      </c>
      <c r="R255" s="17">
        <f>IF(AND(ISNUMBER(Histórico!$A255),ISNUMBER(Histórico!C255),Histórico!C255&gt;0),Histórico!C255,R254)</f>
        <v>64.73</v>
      </c>
      <c r="S255" s="17">
        <f>IF(AND(ISNUMBER(Histórico!$A255),ISNUMBER(Histórico!D255),Histórico!D255&gt;0),Histórico!D255,S254)</f>
        <v>389.05</v>
      </c>
      <c r="T255" s="18">
        <f>IF(AND(ISNUMBER(Histórico!$A255),ISNUMBER(Histórico!E255),Histórico!E255&gt;0),Histórico!E255,T254)</f>
        <v>5.3744</v>
      </c>
      <c r="U255" s="15">
        <f>IF(ISNUMBER(Histórico!A255),Histórico!A255,U254)</f>
        <v>46324</v>
      </c>
    </row>
    <row r="256" spans="17:21" ht="22.95" customHeight="1">
      <c r="Q256" s="17">
        <f>IF(AND(ISNUMBER(Histórico!$A256),ISNUMBER(Histórico!B256),Histórico!B256&gt;0),Histórico!B256,Q255)</f>
        <v>157.42</v>
      </c>
      <c r="R256" s="17">
        <f>IF(AND(ISNUMBER(Histórico!$A256),ISNUMBER(Histórico!C256),Histórico!C256&gt;0),Histórico!C256,R255)</f>
        <v>64.73</v>
      </c>
      <c r="S256" s="17">
        <f>IF(AND(ISNUMBER(Histórico!$A256),ISNUMBER(Histórico!D256),Histórico!D256&gt;0),Histórico!D256,S255)</f>
        <v>389.05</v>
      </c>
      <c r="T256" s="18">
        <f>IF(AND(ISNUMBER(Histórico!$A256),ISNUMBER(Histórico!E256),Histórico!E256&gt;0),Histórico!E256,T255)</f>
        <v>5.3744</v>
      </c>
      <c r="U256" s="15">
        <f>IF(ISNUMBER(Histórico!A256),Histórico!A256,U255)</f>
        <v>46324</v>
      </c>
    </row>
    <row r="257" spans="17:21" ht="22.95" customHeight="1">
      <c r="Q257" s="17">
        <f>IF(AND(ISNUMBER(Histórico!$A257),ISNUMBER(Histórico!B257),Histórico!B257&gt;0),Histórico!B257,Q256)</f>
        <v>157.42</v>
      </c>
      <c r="R257" s="17">
        <f>IF(AND(ISNUMBER(Histórico!$A257),ISNUMBER(Histórico!C257),Histórico!C257&gt;0),Histórico!C257,R256)</f>
        <v>64.73</v>
      </c>
      <c r="S257" s="17">
        <f>IF(AND(ISNUMBER(Histórico!$A257),ISNUMBER(Histórico!D257),Histórico!D257&gt;0),Histórico!D257,S256)</f>
        <v>389.05</v>
      </c>
      <c r="T257" s="18">
        <f>IF(AND(ISNUMBER(Histórico!$A257),ISNUMBER(Histórico!E257),Histórico!E257&gt;0),Histórico!E257,T256)</f>
        <v>5.3744</v>
      </c>
      <c r="U257" s="15">
        <f>IF(ISNUMBER(Histórico!A257),Histórico!A257,U256)</f>
        <v>46324</v>
      </c>
    </row>
    <row r="258" spans="17:21" ht="22.95" customHeight="1">
      <c r="Q258" s="17">
        <f>IF(AND(ISNUMBER(Histórico!$A258),ISNUMBER(Histórico!B258),Histórico!B258&gt;0),Histórico!B258,Q257)</f>
        <v>157.42</v>
      </c>
      <c r="R258" s="17">
        <f>IF(AND(ISNUMBER(Histórico!$A258),ISNUMBER(Histórico!C258),Histórico!C258&gt;0),Histórico!C258,R257)</f>
        <v>64.73</v>
      </c>
      <c r="S258" s="17">
        <f>IF(AND(ISNUMBER(Histórico!$A258),ISNUMBER(Histórico!D258),Histórico!D258&gt;0),Histórico!D258,S257)</f>
        <v>389.05</v>
      </c>
      <c r="T258" s="18">
        <f>IF(AND(ISNUMBER(Histórico!$A258),ISNUMBER(Histórico!E258),Histórico!E258&gt;0),Histórico!E258,T257)</f>
        <v>5.3744</v>
      </c>
      <c r="U258" s="15">
        <f>IF(ISNUMBER(Histórico!A258),Histórico!A258,U257)</f>
        <v>46324</v>
      </c>
    </row>
    <row r="259" spans="17:21" ht="22.95" customHeight="1">
      <c r="Q259" s="17">
        <f>IF(AND(ISNUMBER(Histórico!$A259),ISNUMBER(Histórico!B259),Histórico!B259&gt;0),Histórico!B259,Q258)</f>
        <v>157.42</v>
      </c>
      <c r="R259" s="17">
        <f>IF(AND(ISNUMBER(Histórico!$A259),ISNUMBER(Histórico!C259),Histórico!C259&gt;0),Histórico!C259,R258)</f>
        <v>64.73</v>
      </c>
      <c r="S259" s="17">
        <f>IF(AND(ISNUMBER(Histórico!$A259),ISNUMBER(Histórico!D259),Histórico!D259&gt;0),Histórico!D259,S258)</f>
        <v>389.05</v>
      </c>
      <c r="T259" s="18">
        <f>IF(AND(ISNUMBER(Histórico!$A259),ISNUMBER(Histórico!E259),Histórico!E259&gt;0),Histórico!E259,T258)</f>
        <v>5.3744</v>
      </c>
      <c r="U259" s="15">
        <f>IF(ISNUMBER(Histórico!A259),Histórico!A259,U258)</f>
        <v>46324</v>
      </c>
    </row>
    <row r="260" spans="17:21" ht="22.95" customHeight="1">
      <c r="Q260" s="17">
        <f>IF(AND(ISNUMBER(Histórico!$A260),ISNUMBER(Histórico!B260),Histórico!B260&gt;0),Histórico!B260,Q259)</f>
        <v>157.42</v>
      </c>
      <c r="R260" s="17">
        <f>IF(AND(ISNUMBER(Histórico!$A260),ISNUMBER(Histórico!C260),Histórico!C260&gt;0),Histórico!C260,R259)</f>
        <v>64.73</v>
      </c>
      <c r="S260" s="17">
        <f>IF(AND(ISNUMBER(Histórico!$A260),ISNUMBER(Histórico!D260),Histórico!D260&gt;0),Histórico!D260,S259)</f>
        <v>389.05</v>
      </c>
      <c r="T260" s="18">
        <f>IF(AND(ISNUMBER(Histórico!$A260),ISNUMBER(Histórico!E260),Histórico!E260&gt;0),Histórico!E260,T259)</f>
        <v>5.3744</v>
      </c>
      <c r="U260" s="15">
        <f>IF(ISNUMBER(Histórico!A260),Histórico!A260,U259)</f>
        <v>46324</v>
      </c>
    </row>
    <row r="261" spans="17:21" ht="22.95" customHeight="1">
      <c r="Q261" s="17">
        <f>IF(AND(ISNUMBER(Histórico!$A261),ISNUMBER(Histórico!B261),Histórico!B261&gt;0),Histórico!B261,Q260)</f>
        <v>157.42</v>
      </c>
      <c r="R261" s="17">
        <f>IF(AND(ISNUMBER(Histórico!$A261),ISNUMBER(Histórico!C261),Histórico!C261&gt;0),Histórico!C261,R260)</f>
        <v>64.73</v>
      </c>
      <c r="S261" s="17">
        <f>IF(AND(ISNUMBER(Histórico!$A261),ISNUMBER(Histórico!D261),Histórico!D261&gt;0),Histórico!D261,S260)</f>
        <v>389.05</v>
      </c>
      <c r="T261" s="18">
        <f>IF(AND(ISNUMBER(Histórico!$A261),ISNUMBER(Histórico!E261),Histórico!E261&gt;0),Histórico!E261,T260)</f>
        <v>5.3744</v>
      </c>
      <c r="U261" s="15">
        <f>IF(ISNUMBER(Histórico!A261),Histórico!A261,U260)</f>
        <v>46324</v>
      </c>
    </row>
    <row r="262" spans="17:21" ht="22.95" customHeight="1">
      <c r="Q262" s="17">
        <f>IF(AND(ISNUMBER(Histórico!$A262),ISNUMBER(Histórico!B262),Histórico!B262&gt;0),Histórico!B262,Q261)</f>
        <v>157.42</v>
      </c>
      <c r="R262" s="17">
        <f>IF(AND(ISNUMBER(Histórico!$A262),ISNUMBER(Histórico!C262),Histórico!C262&gt;0),Histórico!C262,R261)</f>
        <v>64.73</v>
      </c>
      <c r="S262" s="17">
        <f>IF(AND(ISNUMBER(Histórico!$A262),ISNUMBER(Histórico!D262),Histórico!D262&gt;0),Histórico!D262,S261)</f>
        <v>389.05</v>
      </c>
      <c r="T262" s="18">
        <f>IF(AND(ISNUMBER(Histórico!$A262),ISNUMBER(Histórico!E262),Histórico!E262&gt;0),Histórico!E262,T261)</f>
        <v>5.3744</v>
      </c>
      <c r="U262" s="15">
        <f>IF(ISNUMBER(Histórico!A262),Histórico!A262,U261)</f>
        <v>46324</v>
      </c>
    </row>
    <row r="263" spans="17:21" ht="22.95" customHeight="1">
      <c r="Q263" s="17">
        <f>IF(AND(ISNUMBER(Histórico!$A263),ISNUMBER(Histórico!B263),Histórico!B263&gt;0),Histórico!B263,Q262)</f>
        <v>157.42</v>
      </c>
      <c r="R263" s="17">
        <f>IF(AND(ISNUMBER(Histórico!$A263),ISNUMBER(Histórico!C263),Histórico!C263&gt;0),Histórico!C263,R262)</f>
        <v>64.73</v>
      </c>
      <c r="S263" s="17">
        <f>IF(AND(ISNUMBER(Histórico!$A263),ISNUMBER(Histórico!D263),Histórico!D263&gt;0),Histórico!D263,S262)</f>
        <v>389.05</v>
      </c>
      <c r="T263" s="18">
        <f>IF(AND(ISNUMBER(Histórico!$A263),ISNUMBER(Histórico!E263),Histórico!E263&gt;0),Histórico!E263,T262)</f>
        <v>5.3744</v>
      </c>
      <c r="U263" s="15">
        <f>IF(ISNUMBER(Histórico!A263),Histórico!A263,U262)</f>
        <v>46324</v>
      </c>
    </row>
    <row r="264" spans="17:21" ht="22.95" customHeight="1">
      <c r="Q264" s="17">
        <f>IF(AND(ISNUMBER(Histórico!$A264),ISNUMBER(Histórico!B264),Histórico!B264&gt;0),Histórico!B264,Q263)</f>
        <v>157.42</v>
      </c>
      <c r="R264" s="17">
        <f>IF(AND(ISNUMBER(Histórico!$A264),ISNUMBER(Histórico!C264),Histórico!C264&gt;0),Histórico!C264,R263)</f>
        <v>64.73</v>
      </c>
      <c r="S264" s="17">
        <f>IF(AND(ISNUMBER(Histórico!$A264),ISNUMBER(Histórico!D264),Histórico!D264&gt;0),Histórico!D264,S263)</f>
        <v>389.05</v>
      </c>
      <c r="T264" s="18">
        <f>IF(AND(ISNUMBER(Histórico!$A264),ISNUMBER(Histórico!E264),Histórico!E264&gt;0),Histórico!E264,T263)</f>
        <v>5.3744</v>
      </c>
      <c r="U264" s="15">
        <f>IF(ISNUMBER(Histórico!A264),Histórico!A264,U263)</f>
        <v>46324</v>
      </c>
    </row>
    <row r="265" spans="17:21" ht="22.95" customHeight="1">
      <c r="Q265" s="17">
        <f>IF(AND(ISNUMBER(Histórico!$A265),ISNUMBER(Histórico!B265),Histórico!B265&gt;0),Histórico!B265,Q264)</f>
        <v>157.42</v>
      </c>
      <c r="R265" s="17">
        <f>IF(AND(ISNUMBER(Histórico!$A265),ISNUMBER(Histórico!C265),Histórico!C265&gt;0),Histórico!C265,R264)</f>
        <v>64.73</v>
      </c>
      <c r="S265" s="17">
        <f>IF(AND(ISNUMBER(Histórico!$A265),ISNUMBER(Histórico!D265),Histórico!D265&gt;0),Histórico!D265,S264)</f>
        <v>389.05</v>
      </c>
      <c r="T265" s="18">
        <f>IF(AND(ISNUMBER(Histórico!$A265),ISNUMBER(Histórico!E265),Histórico!E265&gt;0),Histórico!E265,T264)</f>
        <v>5.3744</v>
      </c>
      <c r="U265" s="15">
        <f>IF(ISNUMBER(Histórico!A265),Histórico!A265,U264)</f>
        <v>46324</v>
      </c>
    </row>
    <row r="266" spans="17:21" ht="22.95" customHeight="1">
      <c r="Q266" s="17">
        <f>IF(AND(ISNUMBER(Histórico!$A266),ISNUMBER(Histórico!B266),Histórico!B266&gt;0),Histórico!B266,Q265)</f>
        <v>157.42</v>
      </c>
      <c r="R266" s="17">
        <f>IF(AND(ISNUMBER(Histórico!$A266),ISNUMBER(Histórico!C266),Histórico!C266&gt;0),Histórico!C266,R265)</f>
        <v>64.73</v>
      </c>
      <c r="S266" s="17">
        <f>IF(AND(ISNUMBER(Histórico!$A266),ISNUMBER(Histórico!D266),Histórico!D266&gt;0),Histórico!D266,S265)</f>
        <v>389.05</v>
      </c>
      <c r="T266" s="18">
        <f>IF(AND(ISNUMBER(Histórico!$A266),ISNUMBER(Histórico!E266),Histórico!E266&gt;0),Histórico!E266,T265)</f>
        <v>5.3744</v>
      </c>
      <c r="U266" s="15">
        <f>IF(ISNUMBER(Histórico!A266),Histórico!A266,U265)</f>
        <v>46324</v>
      </c>
    </row>
    <row r="267" spans="17:21" ht="22.95" customHeight="1">
      <c r="Q267" s="17">
        <f>IF(AND(ISNUMBER(Histórico!$A267),ISNUMBER(Histórico!B267),Histórico!B267&gt;0),Histórico!B267,Q266)</f>
        <v>157.42</v>
      </c>
      <c r="R267" s="17">
        <f>IF(AND(ISNUMBER(Histórico!$A267),ISNUMBER(Histórico!C267),Histórico!C267&gt;0),Histórico!C267,R266)</f>
        <v>64.73</v>
      </c>
      <c r="S267" s="17">
        <f>IF(AND(ISNUMBER(Histórico!$A267),ISNUMBER(Histórico!D267),Histórico!D267&gt;0),Histórico!D267,S266)</f>
        <v>389.05</v>
      </c>
      <c r="T267" s="18">
        <f>IF(AND(ISNUMBER(Histórico!$A267),ISNUMBER(Histórico!E267),Histórico!E267&gt;0),Histórico!E267,T266)</f>
        <v>5.3744</v>
      </c>
      <c r="U267" s="15">
        <f>IF(ISNUMBER(Histórico!A267),Histórico!A267,U266)</f>
        <v>46324</v>
      </c>
    </row>
    <row r="268" spans="17:21" ht="22.95" customHeight="1">
      <c r="Q268" s="17">
        <f>IF(AND(ISNUMBER(Histórico!$A268),ISNUMBER(Histórico!B268),Histórico!B268&gt;0),Histórico!B268,Q267)</f>
        <v>157.42</v>
      </c>
      <c r="R268" s="17">
        <f>IF(AND(ISNUMBER(Histórico!$A268),ISNUMBER(Histórico!C268),Histórico!C268&gt;0),Histórico!C268,R267)</f>
        <v>64.73</v>
      </c>
      <c r="S268" s="17">
        <f>IF(AND(ISNUMBER(Histórico!$A268),ISNUMBER(Histórico!D268),Histórico!D268&gt;0),Histórico!D268,S267)</f>
        <v>389.05</v>
      </c>
      <c r="T268" s="18">
        <f>IF(AND(ISNUMBER(Histórico!$A268),ISNUMBER(Histórico!E268),Histórico!E268&gt;0),Histórico!E268,T267)</f>
        <v>5.3744</v>
      </c>
      <c r="U268" s="15">
        <f>IF(ISNUMBER(Histórico!A268),Histórico!A268,U267)</f>
        <v>46324</v>
      </c>
    </row>
    <row r="269" spans="17:21" ht="22.95" customHeight="1">
      <c r="Q269" s="17">
        <f>IF(AND(ISNUMBER(Histórico!$A269),ISNUMBER(Histórico!B269),Histórico!B269&gt;0),Histórico!B269,Q268)</f>
        <v>157.42</v>
      </c>
      <c r="R269" s="17">
        <f>IF(AND(ISNUMBER(Histórico!$A269),ISNUMBER(Histórico!C269),Histórico!C269&gt;0),Histórico!C269,R268)</f>
        <v>64.73</v>
      </c>
      <c r="S269" s="17">
        <f>IF(AND(ISNUMBER(Histórico!$A269),ISNUMBER(Histórico!D269),Histórico!D269&gt;0),Histórico!D269,S268)</f>
        <v>389.05</v>
      </c>
      <c r="T269" s="18">
        <f>IF(AND(ISNUMBER(Histórico!$A269),ISNUMBER(Histórico!E269),Histórico!E269&gt;0),Histórico!E269,T268)</f>
        <v>5.3744</v>
      </c>
      <c r="U269" s="15">
        <f>IF(ISNUMBER(Histórico!A269),Histórico!A269,U268)</f>
        <v>46324</v>
      </c>
    </row>
    <row r="270" spans="17:21" ht="22.95" customHeight="1">
      <c r="Q270" s="17">
        <f>IF(AND(ISNUMBER(Histórico!$A270),ISNUMBER(Histórico!B270),Histórico!B270&gt;0),Histórico!B270,Q269)</f>
        <v>157.42</v>
      </c>
      <c r="R270" s="17">
        <f>IF(AND(ISNUMBER(Histórico!$A270),ISNUMBER(Histórico!C270),Histórico!C270&gt;0),Histórico!C270,R269)</f>
        <v>64.73</v>
      </c>
      <c r="S270" s="17">
        <f>IF(AND(ISNUMBER(Histórico!$A270),ISNUMBER(Histórico!D270),Histórico!D270&gt;0),Histórico!D270,S269)</f>
        <v>389.05</v>
      </c>
      <c r="T270" s="18">
        <f>IF(AND(ISNUMBER(Histórico!$A270),ISNUMBER(Histórico!E270),Histórico!E270&gt;0),Histórico!E270,T269)</f>
        <v>5.3744</v>
      </c>
      <c r="U270" s="15">
        <f>IF(ISNUMBER(Histórico!A270),Histórico!A270,U269)</f>
        <v>46324</v>
      </c>
    </row>
    <row r="271" spans="17:21" ht="22.95" customHeight="1">
      <c r="Q271" s="17">
        <f>IF(AND(ISNUMBER(Histórico!$A271),ISNUMBER(Histórico!B271),Histórico!B271&gt;0),Histórico!B271,Q270)</f>
        <v>157.42</v>
      </c>
      <c r="R271" s="17">
        <f>IF(AND(ISNUMBER(Histórico!$A271),ISNUMBER(Histórico!C271),Histórico!C271&gt;0),Histórico!C271,R270)</f>
        <v>64.73</v>
      </c>
      <c r="S271" s="17">
        <f>IF(AND(ISNUMBER(Histórico!$A271),ISNUMBER(Histórico!D271),Histórico!D271&gt;0),Histórico!D271,S270)</f>
        <v>389.05</v>
      </c>
      <c r="T271" s="18">
        <f>IF(AND(ISNUMBER(Histórico!$A271),ISNUMBER(Histórico!E271),Histórico!E271&gt;0),Histórico!E271,T270)</f>
        <v>5.3744</v>
      </c>
      <c r="U271" s="15">
        <f>IF(ISNUMBER(Histórico!A271),Histórico!A271,U270)</f>
        <v>46324</v>
      </c>
    </row>
    <row r="272" spans="17:21" ht="22.95" customHeight="1">
      <c r="Q272" s="17">
        <f>IF(AND(ISNUMBER(Histórico!$A272),ISNUMBER(Histórico!B272),Histórico!B272&gt;0),Histórico!B272,Q271)</f>
        <v>157.42</v>
      </c>
      <c r="R272" s="17">
        <f>IF(AND(ISNUMBER(Histórico!$A272),ISNUMBER(Histórico!C272),Histórico!C272&gt;0),Histórico!C272,R271)</f>
        <v>64.73</v>
      </c>
      <c r="S272" s="17">
        <f>IF(AND(ISNUMBER(Histórico!$A272),ISNUMBER(Histórico!D272),Histórico!D272&gt;0),Histórico!D272,S271)</f>
        <v>389.05</v>
      </c>
      <c r="T272" s="18">
        <f>IF(AND(ISNUMBER(Histórico!$A272),ISNUMBER(Histórico!E272),Histórico!E272&gt;0),Histórico!E272,T271)</f>
        <v>5.3744</v>
      </c>
      <c r="U272" s="15">
        <f>IF(ISNUMBER(Histórico!A272),Histórico!A272,U271)</f>
        <v>46324</v>
      </c>
    </row>
    <row r="273" spans="17:21" ht="22.95" customHeight="1">
      <c r="Q273" s="17">
        <f>IF(AND(ISNUMBER(Histórico!$A273),ISNUMBER(Histórico!B273),Histórico!B273&gt;0),Histórico!B273,Q272)</f>
        <v>157.42</v>
      </c>
      <c r="R273" s="17">
        <f>IF(AND(ISNUMBER(Histórico!$A273),ISNUMBER(Histórico!C273),Histórico!C273&gt;0),Histórico!C273,R272)</f>
        <v>64.73</v>
      </c>
      <c r="S273" s="17">
        <f>IF(AND(ISNUMBER(Histórico!$A273),ISNUMBER(Histórico!D273),Histórico!D273&gt;0),Histórico!D273,S272)</f>
        <v>389.05</v>
      </c>
      <c r="T273" s="18">
        <f>IF(AND(ISNUMBER(Histórico!$A273),ISNUMBER(Histórico!E273),Histórico!E273&gt;0),Histórico!E273,T272)</f>
        <v>5.3744</v>
      </c>
      <c r="U273" s="15">
        <f>IF(ISNUMBER(Histórico!A273),Histórico!A273,U272)</f>
        <v>46324</v>
      </c>
    </row>
    <row r="274" spans="17:21" ht="22.95" customHeight="1">
      <c r="Q274" s="17">
        <f>IF(AND(ISNUMBER(Histórico!$A274),ISNUMBER(Histórico!B274),Histórico!B274&gt;0),Histórico!B274,Q273)</f>
        <v>157.42</v>
      </c>
      <c r="R274" s="17">
        <f>IF(AND(ISNUMBER(Histórico!$A274),ISNUMBER(Histórico!C274),Histórico!C274&gt;0),Histórico!C274,R273)</f>
        <v>64.73</v>
      </c>
      <c r="S274" s="17">
        <f>IF(AND(ISNUMBER(Histórico!$A274),ISNUMBER(Histórico!D274),Histórico!D274&gt;0),Histórico!D274,S273)</f>
        <v>389.05</v>
      </c>
      <c r="T274" s="18">
        <f>IF(AND(ISNUMBER(Histórico!$A274),ISNUMBER(Histórico!E274),Histórico!E274&gt;0),Histórico!E274,T273)</f>
        <v>5.3744</v>
      </c>
      <c r="U274" s="15">
        <f>IF(ISNUMBER(Histórico!A274),Histórico!A274,U273)</f>
        <v>46324</v>
      </c>
    </row>
    <row r="275" spans="17:21" ht="22.95" customHeight="1">
      <c r="Q275" s="17">
        <f>IF(AND(ISNUMBER(Histórico!$A275),ISNUMBER(Histórico!B275),Histórico!B275&gt;0),Histórico!B275,Q274)</f>
        <v>157.42</v>
      </c>
      <c r="R275" s="17">
        <f>IF(AND(ISNUMBER(Histórico!$A275),ISNUMBER(Histórico!C275),Histórico!C275&gt;0),Histórico!C275,R274)</f>
        <v>64.73</v>
      </c>
      <c r="S275" s="17">
        <f>IF(AND(ISNUMBER(Histórico!$A275),ISNUMBER(Histórico!D275),Histórico!D275&gt;0),Histórico!D275,S274)</f>
        <v>389.05</v>
      </c>
      <c r="T275" s="18">
        <f>IF(AND(ISNUMBER(Histórico!$A275),ISNUMBER(Histórico!E275),Histórico!E275&gt;0),Histórico!E275,T274)</f>
        <v>5.3744</v>
      </c>
      <c r="U275" s="15">
        <f>IF(ISNUMBER(Histórico!A275),Histórico!A275,U274)</f>
        <v>46324</v>
      </c>
    </row>
    <row r="276" spans="17:21" ht="22.95" customHeight="1">
      <c r="Q276" s="17">
        <f>IF(AND(ISNUMBER(Histórico!$A276),ISNUMBER(Histórico!B276),Histórico!B276&gt;0),Histórico!B276,Q275)</f>
        <v>157.42</v>
      </c>
      <c r="R276" s="17">
        <f>IF(AND(ISNUMBER(Histórico!$A276),ISNUMBER(Histórico!C276),Histórico!C276&gt;0),Histórico!C276,R275)</f>
        <v>64.73</v>
      </c>
      <c r="S276" s="17">
        <f>IF(AND(ISNUMBER(Histórico!$A276),ISNUMBER(Histórico!D276),Histórico!D276&gt;0),Histórico!D276,S275)</f>
        <v>389.05</v>
      </c>
      <c r="T276" s="18">
        <f>IF(AND(ISNUMBER(Histórico!$A276),ISNUMBER(Histórico!E276),Histórico!E276&gt;0),Histórico!E276,T275)</f>
        <v>5.3744</v>
      </c>
      <c r="U276" s="15">
        <f>IF(ISNUMBER(Histórico!A276),Histórico!A276,U275)</f>
        <v>46324</v>
      </c>
    </row>
    <row r="277" spans="17:21" ht="22.95" customHeight="1">
      <c r="Q277" s="17">
        <f>IF(AND(ISNUMBER(Histórico!$A277),ISNUMBER(Histórico!B277),Histórico!B277&gt;0),Histórico!B277,Q276)</f>
        <v>157.42</v>
      </c>
      <c r="R277" s="17">
        <f>IF(AND(ISNUMBER(Histórico!$A277),ISNUMBER(Histórico!C277),Histórico!C277&gt;0),Histórico!C277,R276)</f>
        <v>64.73</v>
      </c>
      <c r="S277" s="17">
        <f>IF(AND(ISNUMBER(Histórico!$A277),ISNUMBER(Histórico!D277),Histórico!D277&gt;0),Histórico!D277,S276)</f>
        <v>389.05</v>
      </c>
      <c r="T277" s="18">
        <f>IF(AND(ISNUMBER(Histórico!$A277),ISNUMBER(Histórico!E277),Histórico!E277&gt;0),Histórico!E277,T276)</f>
        <v>5.3744</v>
      </c>
      <c r="U277" s="15">
        <f>IF(ISNUMBER(Histórico!A277),Histórico!A277,U276)</f>
        <v>46324</v>
      </c>
    </row>
    <row r="278" spans="17:21" ht="22.95" customHeight="1">
      <c r="Q278" s="17">
        <f>IF(AND(ISNUMBER(Histórico!$A278),ISNUMBER(Histórico!B278),Histórico!B278&gt;0),Histórico!B278,Q277)</f>
        <v>157.42</v>
      </c>
      <c r="R278" s="17">
        <f>IF(AND(ISNUMBER(Histórico!$A278),ISNUMBER(Histórico!C278),Histórico!C278&gt;0),Histórico!C278,R277)</f>
        <v>64.73</v>
      </c>
      <c r="S278" s="17">
        <f>IF(AND(ISNUMBER(Histórico!$A278),ISNUMBER(Histórico!D278),Histórico!D278&gt;0),Histórico!D278,S277)</f>
        <v>389.05</v>
      </c>
      <c r="T278" s="18">
        <f>IF(AND(ISNUMBER(Histórico!$A278),ISNUMBER(Histórico!E278),Histórico!E278&gt;0),Histórico!E278,T277)</f>
        <v>5.3744</v>
      </c>
      <c r="U278" s="15">
        <f>IF(ISNUMBER(Histórico!A278),Histórico!A278,U277)</f>
        <v>46324</v>
      </c>
    </row>
    <row r="279" spans="17:21" ht="22.95" customHeight="1">
      <c r="Q279" s="17">
        <f>IF(AND(ISNUMBER(Histórico!$A279),ISNUMBER(Histórico!B279),Histórico!B279&gt;0),Histórico!B279,Q278)</f>
        <v>157.42</v>
      </c>
      <c r="R279" s="17">
        <f>IF(AND(ISNUMBER(Histórico!$A279),ISNUMBER(Histórico!C279),Histórico!C279&gt;0),Histórico!C279,R278)</f>
        <v>64.73</v>
      </c>
      <c r="S279" s="17">
        <f>IF(AND(ISNUMBER(Histórico!$A279),ISNUMBER(Histórico!D279),Histórico!D279&gt;0),Histórico!D279,S278)</f>
        <v>389.05</v>
      </c>
      <c r="T279" s="18">
        <f>IF(AND(ISNUMBER(Histórico!$A279),ISNUMBER(Histórico!E279),Histórico!E279&gt;0),Histórico!E279,T278)</f>
        <v>5.3744</v>
      </c>
      <c r="U279" s="15">
        <f>IF(ISNUMBER(Histórico!A279),Histórico!A279,U278)</f>
        <v>46324</v>
      </c>
    </row>
    <row r="280" spans="17:21" ht="22.95" customHeight="1">
      <c r="Q280" s="17">
        <f>IF(AND(ISNUMBER(Histórico!$A280),ISNUMBER(Histórico!B280),Histórico!B280&gt;0),Histórico!B280,Q279)</f>
        <v>157.42</v>
      </c>
      <c r="R280" s="17">
        <f>IF(AND(ISNUMBER(Histórico!$A280),ISNUMBER(Histórico!C280),Histórico!C280&gt;0),Histórico!C280,R279)</f>
        <v>64.73</v>
      </c>
      <c r="S280" s="17">
        <f>IF(AND(ISNUMBER(Histórico!$A280),ISNUMBER(Histórico!D280),Histórico!D280&gt;0),Histórico!D280,S279)</f>
        <v>389.05</v>
      </c>
      <c r="T280" s="18">
        <f>IF(AND(ISNUMBER(Histórico!$A280),ISNUMBER(Histórico!E280),Histórico!E280&gt;0),Histórico!E280,T279)</f>
        <v>5.3744</v>
      </c>
      <c r="U280" s="15">
        <f>IF(ISNUMBER(Histórico!A280),Histórico!A280,U279)</f>
        <v>46324</v>
      </c>
    </row>
    <row r="281" spans="17:21" ht="22.95" customHeight="1">
      <c r="Q281" s="17">
        <f>IF(AND(ISNUMBER(Histórico!$A281),ISNUMBER(Histórico!B281),Histórico!B281&gt;0),Histórico!B281,Q280)</f>
        <v>157.42</v>
      </c>
      <c r="R281" s="17">
        <f>IF(AND(ISNUMBER(Histórico!$A281),ISNUMBER(Histórico!C281),Histórico!C281&gt;0),Histórico!C281,R280)</f>
        <v>64.73</v>
      </c>
      <c r="S281" s="17">
        <f>IF(AND(ISNUMBER(Histórico!$A281),ISNUMBER(Histórico!D281),Histórico!D281&gt;0),Histórico!D281,S280)</f>
        <v>389.05</v>
      </c>
      <c r="T281" s="18">
        <f>IF(AND(ISNUMBER(Histórico!$A281),ISNUMBER(Histórico!E281),Histórico!E281&gt;0),Histórico!E281,T280)</f>
        <v>5.3744</v>
      </c>
      <c r="U281" s="15">
        <f>IF(ISNUMBER(Histórico!A281),Histórico!A281,U280)</f>
        <v>46324</v>
      </c>
    </row>
    <row r="282" spans="17:21" ht="22.95" customHeight="1">
      <c r="Q282" s="17">
        <f>IF(AND(ISNUMBER(Histórico!$A282),ISNUMBER(Histórico!B282),Histórico!B282&gt;0),Histórico!B282,Q281)</f>
        <v>157.42</v>
      </c>
      <c r="R282" s="17">
        <f>IF(AND(ISNUMBER(Histórico!$A282),ISNUMBER(Histórico!C282),Histórico!C282&gt;0),Histórico!C282,R281)</f>
        <v>64.73</v>
      </c>
      <c r="S282" s="17">
        <f>IF(AND(ISNUMBER(Histórico!$A282),ISNUMBER(Histórico!D282),Histórico!D282&gt;0),Histórico!D282,S281)</f>
        <v>389.05</v>
      </c>
      <c r="T282" s="18">
        <f>IF(AND(ISNUMBER(Histórico!$A282),ISNUMBER(Histórico!E282),Histórico!E282&gt;0),Histórico!E282,T281)</f>
        <v>5.3744</v>
      </c>
      <c r="U282" s="15">
        <f>IF(ISNUMBER(Histórico!A282),Histórico!A282,U281)</f>
        <v>46324</v>
      </c>
    </row>
    <row r="283" spans="17:21" ht="22.95" customHeight="1">
      <c r="Q283" s="17">
        <f>IF(AND(ISNUMBER(Histórico!$A283),ISNUMBER(Histórico!B283),Histórico!B283&gt;0),Histórico!B283,Q282)</f>
        <v>157.42</v>
      </c>
      <c r="R283" s="17">
        <f>IF(AND(ISNUMBER(Histórico!$A283),ISNUMBER(Histórico!C283),Histórico!C283&gt;0),Histórico!C283,R282)</f>
        <v>64.73</v>
      </c>
      <c r="S283" s="17">
        <f>IF(AND(ISNUMBER(Histórico!$A283),ISNUMBER(Histórico!D283),Histórico!D283&gt;0),Histórico!D283,S282)</f>
        <v>389.05</v>
      </c>
      <c r="T283" s="18">
        <f>IF(AND(ISNUMBER(Histórico!$A283),ISNUMBER(Histórico!E283),Histórico!E283&gt;0),Histórico!E283,T282)</f>
        <v>5.3744</v>
      </c>
      <c r="U283" s="15">
        <f>IF(ISNUMBER(Histórico!A283),Histórico!A283,U282)</f>
        <v>46324</v>
      </c>
    </row>
    <row r="284" spans="17:21" ht="22.95" customHeight="1">
      <c r="Q284" s="17">
        <f>IF(AND(ISNUMBER(Histórico!$A284),ISNUMBER(Histórico!B284),Histórico!B284&gt;0),Histórico!B284,Q283)</f>
        <v>157.42</v>
      </c>
      <c r="R284" s="17">
        <f>IF(AND(ISNUMBER(Histórico!$A284),ISNUMBER(Histórico!C284),Histórico!C284&gt;0),Histórico!C284,R283)</f>
        <v>64.73</v>
      </c>
      <c r="S284" s="17">
        <f>IF(AND(ISNUMBER(Histórico!$A284),ISNUMBER(Histórico!D284),Histórico!D284&gt;0),Histórico!D284,S283)</f>
        <v>389.05</v>
      </c>
      <c r="T284" s="18">
        <f>IF(AND(ISNUMBER(Histórico!$A284),ISNUMBER(Histórico!E284),Histórico!E284&gt;0),Histórico!E284,T283)</f>
        <v>5.3744</v>
      </c>
      <c r="U284" s="15">
        <f>IF(ISNUMBER(Histórico!A284),Histórico!A284,U283)</f>
        <v>46324</v>
      </c>
    </row>
    <row r="285" spans="17:21" ht="22.95" customHeight="1">
      <c r="Q285" s="17">
        <f>IF(AND(ISNUMBER(Histórico!$A285),ISNUMBER(Histórico!B285),Histórico!B285&gt;0),Histórico!B285,Q284)</f>
        <v>157.42</v>
      </c>
      <c r="R285" s="17">
        <f>IF(AND(ISNUMBER(Histórico!$A285),ISNUMBER(Histórico!C285),Histórico!C285&gt;0),Histórico!C285,R284)</f>
        <v>64.73</v>
      </c>
      <c r="S285" s="17">
        <f>IF(AND(ISNUMBER(Histórico!$A285),ISNUMBER(Histórico!D285),Histórico!D285&gt;0),Histórico!D285,S284)</f>
        <v>389.05</v>
      </c>
      <c r="T285" s="18">
        <f>IF(AND(ISNUMBER(Histórico!$A285),ISNUMBER(Histórico!E285),Histórico!E285&gt;0),Histórico!E285,T284)</f>
        <v>5.3744</v>
      </c>
      <c r="U285" s="15">
        <f>IF(ISNUMBER(Histórico!A285),Histórico!A285,U284)</f>
        <v>46324</v>
      </c>
    </row>
    <row r="286" spans="17:21" ht="22.95" customHeight="1">
      <c r="Q286" s="17">
        <f>IF(AND(ISNUMBER(Histórico!$A286),ISNUMBER(Histórico!B286),Histórico!B286&gt;0),Histórico!B286,Q285)</f>
        <v>157.42</v>
      </c>
      <c r="R286" s="17">
        <f>IF(AND(ISNUMBER(Histórico!$A286),ISNUMBER(Histórico!C286),Histórico!C286&gt;0),Histórico!C286,R285)</f>
        <v>64.73</v>
      </c>
      <c r="S286" s="17">
        <f>IF(AND(ISNUMBER(Histórico!$A286),ISNUMBER(Histórico!D286),Histórico!D286&gt;0),Histórico!D286,S285)</f>
        <v>389.05</v>
      </c>
      <c r="T286" s="18">
        <f>IF(AND(ISNUMBER(Histórico!$A286),ISNUMBER(Histórico!E286),Histórico!E286&gt;0),Histórico!E286,T285)</f>
        <v>5.3744</v>
      </c>
      <c r="U286" s="15">
        <f>IF(ISNUMBER(Histórico!A286),Histórico!A286,U285)</f>
        <v>46324</v>
      </c>
    </row>
    <row r="287" spans="17:21" ht="22.95" customHeight="1">
      <c r="Q287" s="17">
        <f>IF(AND(ISNUMBER(Histórico!$A287),ISNUMBER(Histórico!B287),Histórico!B287&gt;0),Histórico!B287,Q286)</f>
        <v>157.42</v>
      </c>
      <c r="R287" s="17">
        <f>IF(AND(ISNUMBER(Histórico!$A287),ISNUMBER(Histórico!C287),Histórico!C287&gt;0),Histórico!C287,R286)</f>
        <v>64.73</v>
      </c>
      <c r="S287" s="17">
        <f>IF(AND(ISNUMBER(Histórico!$A287),ISNUMBER(Histórico!D287),Histórico!D287&gt;0),Histórico!D287,S286)</f>
        <v>389.05</v>
      </c>
      <c r="T287" s="18">
        <f>IF(AND(ISNUMBER(Histórico!$A287),ISNUMBER(Histórico!E287),Histórico!E287&gt;0),Histórico!E287,T286)</f>
        <v>5.3744</v>
      </c>
      <c r="U287" s="15">
        <f>IF(ISNUMBER(Histórico!A287),Histórico!A287,U286)</f>
        <v>46324</v>
      </c>
    </row>
    <row r="288" spans="17:21" ht="22.95" customHeight="1">
      <c r="Q288" s="17">
        <f>IF(AND(ISNUMBER(Histórico!$A288),ISNUMBER(Histórico!B288),Histórico!B288&gt;0),Histórico!B288,Q287)</f>
        <v>157.42</v>
      </c>
      <c r="R288" s="17">
        <f>IF(AND(ISNUMBER(Histórico!$A288),ISNUMBER(Histórico!C288),Histórico!C288&gt;0),Histórico!C288,R287)</f>
        <v>64.73</v>
      </c>
      <c r="S288" s="17">
        <f>IF(AND(ISNUMBER(Histórico!$A288),ISNUMBER(Histórico!D288),Histórico!D288&gt;0),Histórico!D288,S287)</f>
        <v>389.05</v>
      </c>
      <c r="T288" s="18">
        <f>IF(AND(ISNUMBER(Histórico!$A288),ISNUMBER(Histórico!E288),Histórico!E288&gt;0),Histórico!E288,T287)</f>
        <v>5.3744</v>
      </c>
      <c r="U288" s="15">
        <f>IF(ISNUMBER(Histórico!A288),Histórico!A288,U287)</f>
        <v>46324</v>
      </c>
    </row>
    <row r="289" spans="17:21" ht="22.95" customHeight="1">
      <c r="Q289" s="17">
        <f>IF(AND(ISNUMBER(Histórico!$A289),ISNUMBER(Histórico!B289),Histórico!B289&gt;0),Histórico!B289,Q288)</f>
        <v>157.42</v>
      </c>
      <c r="R289" s="17">
        <f>IF(AND(ISNUMBER(Histórico!$A289),ISNUMBER(Histórico!C289),Histórico!C289&gt;0),Histórico!C289,R288)</f>
        <v>64.73</v>
      </c>
      <c r="S289" s="17">
        <f>IF(AND(ISNUMBER(Histórico!$A289),ISNUMBER(Histórico!D289),Histórico!D289&gt;0),Histórico!D289,S288)</f>
        <v>389.05</v>
      </c>
      <c r="T289" s="18">
        <f>IF(AND(ISNUMBER(Histórico!$A289),ISNUMBER(Histórico!E289),Histórico!E289&gt;0),Histórico!E289,T288)</f>
        <v>5.3744</v>
      </c>
      <c r="U289" s="15">
        <f>IF(ISNUMBER(Histórico!A289),Histórico!A289,U288)</f>
        <v>46324</v>
      </c>
    </row>
    <row r="290" spans="17:21" ht="22.95" customHeight="1">
      <c r="Q290" s="17">
        <f>IF(AND(ISNUMBER(Histórico!$A290),ISNUMBER(Histórico!B290),Histórico!B290&gt;0),Histórico!B290,Q289)</f>
        <v>157.42</v>
      </c>
      <c r="R290" s="17">
        <f>IF(AND(ISNUMBER(Histórico!$A290),ISNUMBER(Histórico!C290),Histórico!C290&gt;0),Histórico!C290,R289)</f>
        <v>64.73</v>
      </c>
      <c r="S290" s="17">
        <f>IF(AND(ISNUMBER(Histórico!$A290),ISNUMBER(Histórico!D290),Histórico!D290&gt;0),Histórico!D290,S289)</f>
        <v>389.05</v>
      </c>
      <c r="T290" s="18">
        <f>IF(AND(ISNUMBER(Histórico!$A290),ISNUMBER(Histórico!E290),Histórico!E290&gt;0),Histórico!E290,T289)</f>
        <v>5.3744</v>
      </c>
      <c r="U290" s="15">
        <f>IF(ISNUMBER(Histórico!A290),Histórico!A290,U289)</f>
        <v>46324</v>
      </c>
    </row>
    <row r="291" spans="17:21" ht="22.95" customHeight="1">
      <c r="Q291" s="17">
        <f>IF(AND(ISNUMBER(Histórico!$A291),ISNUMBER(Histórico!B291),Histórico!B291&gt;0),Histórico!B291,Q290)</f>
        <v>157.42</v>
      </c>
      <c r="R291" s="17">
        <f>IF(AND(ISNUMBER(Histórico!$A291),ISNUMBER(Histórico!C291),Histórico!C291&gt;0),Histórico!C291,R290)</f>
        <v>64.73</v>
      </c>
      <c r="S291" s="17">
        <f>IF(AND(ISNUMBER(Histórico!$A291),ISNUMBER(Histórico!D291),Histórico!D291&gt;0),Histórico!D291,S290)</f>
        <v>389.05</v>
      </c>
      <c r="T291" s="18">
        <f>IF(AND(ISNUMBER(Histórico!$A291),ISNUMBER(Histórico!E291),Histórico!E291&gt;0),Histórico!E291,T290)</f>
        <v>5.3744</v>
      </c>
      <c r="U291" s="15">
        <f>IF(ISNUMBER(Histórico!A291),Histórico!A291,U290)</f>
        <v>46324</v>
      </c>
    </row>
    <row r="292" spans="17:21" ht="22.95" customHeight="1">
      <c r="Q292" s="17">
        <f>IF(AND(ISNUMBER(Histórico!$A292),ISNUMBER(Histórico!B292),Histórico!B292&gt;0),Histórico!B292,Q291)</f>
        <v>157.42</v>
      </c>
      <c r="R292" s="17">
        <f>IF(AND(ISNUMBER(Histórico!$A292),ISNUMBER(Histórico!C292),Histórico!C292&gt;0),Histórico!C292,R291)</f>
        <v>64.73</v>
      </c>
      <c r="S292" s="17">
        <f>IF(AND(ISNUMBER(Histórico!$A292),ISNUMBER(Histórico!D292),Histórico!D292&gt;0),Histórico!D292,S291)</f>
        <v>389.05</v>
      </c>
      <c r="T292" s="18">
        <f>IF(AND(ISNUMBER(Histórico!$A292),ISNUMBER(Histórico!E292),Histórico!E292&gt;0),Histórico!E292,T291)</f>
        <v>5.3744</v>
      </c>
      <c r="U292" s="15">
        <f>IF(ISNUMBER(Histórico!A292),Histórico!A292,U291)</f>
        <v>46324</v>
      </c>
    </row>
    <row r="293" spans="17:21" ht="22.95" customHeight="1">
      <c r="Q293" s="17">
        <f>IF(AND(ISNUMBER(Histórico!$A293),ISNUMBER(Histórico!B293),Histórico!B293&gt;0),Histórico!B293,Q292)</f>
        <v>157.42</v>
      </c>
      <c r="R293" s="17">
        <f>IF(AND(ISNUMBER(Histórico!$A293),ISNUMBER(Histórico!C293),Histórico!C293&gt;0),Histórico!C293,R292)</f>
        <v>64.73</v>
      </c>
      <c r="S293" s="17">
        <f>IF(AND(ISNUMBER(Histórico!$A293),ISNUMBER(Histórico!D293),Histórico!D293&gt;0),Histórico!D293,S292)</f>
        <v>389.05</v>
      </c>
      <c r="T293" s="18">
        <f>IF(AND(ISNUMBER(Histórico!$A293),ISNUMBER(Histórico!E293),Histórico!E293&gt;0),Histórico!E293,T292)</f>
        <v>5.3744</v>
      </c>
      <c r="U293" s="15">
        <f>IF(ISNUMBER(Histórico!A293),Histórico!A293,U292)</f>
        <v>46324</v>
      </c>
    </row>
    <row r="294" spans="17:21" ht="22.95" customHeight="1">
      <c r="Q294" s="17">
        <f>IF(AND(ISNUMBER(Histórico!$A294),ISNUMBER(Histórico!B294),Histórico!B294&gt;0),Histórico!B294,Q293)</f>
        <v>157.42</v>
      </c>
      <c r="R294" s="17">
        <f>IF(AND(ISNUMBER(Histórico!$A294),ISNUMBER(Histórico!C294),Histórico!C294&gt;0),Histórico!C294,R293)</f>
        <v>64.73</v>
      </c>
      <c r="S294" s="17">
        <f>IF(AND(ISNUMBER(Histórico!$A294),ISNUMBER(Histórico!D294),Histórico!D294&gt;0),Histórico!D294,S293)</f>
        <v>389.05</v>
      </c>
      <c r="T294" s="18">
        <f>IF(AND(ISNUMBER(Histórico!$A294),ISNUMBER(Histórico!E294),Histórico!E294&gt;0),Histórico!E294,T293)</f>
        <v>5.3744</v>
      </c>
      <c r="U294" s="15">
        <f>IF(ISNUMBER(Histórico!A294),Histórico!A294,U293)</f>
        <v>46324</v>
      </c>
    </row>
    <row r="295" spans="17:21" ht="22.95" customHeight="1">
      <c r="Q295" s="17">
        <f>IF(AND(ISNUMBER(Histórico!$A295),ISNUMBER(Histórico!B295),Histórico!B295&gt;0),Histórico!B295,Q294)</f>
        <v>157.42</v>
      </c>
      <c r="R295" s="17">
        <f>IF(AND(ISNUMBER(Histórico!$A295),ISNUMBER(Histórico!C295),Histórico!C295&gt;0),Histórico!C295,R294)</f>
        <v>64.73</v>
      </c>
      <c r="S295" s="17">
        <f>IF(AND(ISNUMBER(Histórico!$A295),ISNUMBER(Histórico!D295),Histórico!D295&gt;0),Histórico!D295,S294)</f>
        <v>389.05</v>
      </c>
      <c r="T295" s="18">
        <f>IF(AND(ISNUMBER(Histórico!$A295),ISNUMBER(Histórico!E295),Histórico!E295&gt;0),Histórico!E295,T294)</f>
        <v>5.3744</v>
      </c>
      <c r="U295" s="15">
        <f>IF(ISNUMBER(Histórico!A295),Histórico!A295,U294)</f>
        <v>46324</v>
      </c>
    </row>
    <row r="296" spans="17:21" ht="22.95" customHeight="1">
      <c r="Q296" s="17">
        <f>IF(AND(ISNUMBER(Histórico!$A296),ISNUMBER(Histórico!B296),Histórico!B296&gt;0),Histórico!B296,Q295)</f>
        <v>157.42</v>
      </c>
      <c r="R296" s="17">
        <f>IF(AND(ISNUMBER(Histórico!$A296),ISNUMBER(Histórico!C296),Histórico!C296&gt;0),Histórico!C296,R295)</f>
        <v>64.73</v>
      </c>
      <c r="S296" s="17">
        <f>IF(AND(ISNUMBER(Histórico!$A296),ISNUMBER(Histórico!D296),Histórico!D296&gt;0),Histórico!D296,S295)</f>
        <v>389.05</v>
      </c>
      <c r="T296" s="18">
        <f>IF(AND(ISNUMBER(Histórico!$A296),ISNUMBER(Histórico!E296),Histórico!E296&gt;0),Histórico!E296,T295)</f>
        <v>5.3744</v>
      </c>
      <c r="U296" s="15">
        <f>IF(ISNUMBER(Histórico!A296),Histórico!A296,U295)</f>
        <v>46324</v>
      </c>
    </row>
    <row r="297" spans="17:21" ht="22.95" customHeight="1">
      <c r="Q297" s="17">
        <f>IF(AND(ISNUMBER(Histórico!$A297),ISNUMBER(Histórico!B297),Histórico!B297&gt;0),Histórico!B297,Q296)</f>
        <v>157.42</v>
      </c>
      <c r="R297" s="17">
        <f>IF(AND(ISNUMBER(Histórico!$A297),ISNUMBER(Histórico!C297),Histórico!C297&gt;0),Histórico!C297,R296)</f>
        <v>64.73</v>
      </c>
      <c r="S297" s="17">
        <f>IF(AND(ISNUMBER(Histórico!$A297),ISNUMBER(Histórico!D297),Histórico!D297&gt;0),Histórico!D297,S296)</f>
        <v>389.05</v>
      </c>
      <c r="T297" s="18">
        <f>IF(AND(ISNUMBER(Histórico!$A297),ISNUMBER(Histórico!E297),Histórico!E297&gt;0),Histórico!E297,T296)</f>
        <v>5.3744</v>
      </c>
      <c r="U297" s="15">
        <f>IF(ISNUMBER(Histórico!A297),Histórico!A297,U296)</f>
        <v>46324</v>
      </c>
    </row>
    <row r="298" spans="17:21" ht="22.95" customHeight="1">
      <c r="Q298" s="17">
        <f>IF(AND(ISNUMBER(Histórico!$A298),ISNUMBER(Histórico!B298),Histórico!B298&gt;0),Histórico!B298,Q297)</f>
        <v>157.42</v>
      </c>
      <c r="R298" s="17">
        <f>IF(AND(ISNUMBER(Histórico!$A298),ISNUMBER(Histórico!C298),Histórico!C298&gt;0),Histórico!C298,R297)</f>
        <v>64.73</v>
      </c>
      <c r="S298" s="17">
        <f>IF(AND(ISNUMBER(Histórico!$A298),ISNUMBER(Histórico!D298),Histórico!D298&gt;0),Histórico!D298,S297)</f>
        <v>389.05</v>
      </c>
      <c r="T298" s="18">
        <f>IF(AND(ISNUMBER(Histórico!$A298),ISNUMBER(Histórico!E298),Histórico!E298&gt;0),Histórico!E298,T297)</f>
        <v>5.3744</v>
      </c>
      <c r="U298" s="15">
        <f>IF(ISNUMBER(Histórico!A298),Histórico!A298,U297)</f>
        <v>46324</v>
      </c>
    </row>
    <row r="299" spans="17:21" ht="22.95" customHeight="1">
      <c r="Q299" s="17">
        <f>IF(AND(ISNUMBER(Histórico!$A299),ISNUMBER(Histórico!B299),Histórico!B299&gt;0),Histórico!B299,Q298)</f>
        <v>157.42</v>
      </c>
      <c r="R299" s="17">
        <f>IF(AND(ISNUMBER(Histórico!$A299),ISNUMBER(Histórico!C299),Histórico!C299&gt;0),Histórico!C299,R298)</f>
        <v>64.73</v>
      </c>
      <c r="S299" s="17">
        <f>IF(AND(ISNUMBER(Histórico!$A299),ISNUMBER(Histórico!D299),Histórico!D299&gt;0),Histórico!D299,S298)</f>
        <v>389.05</v>
      </c>
      <c r="T299" s="18">
        <f>IF(AND(ISNUMBER(Histórico!$A299),ISNUMBER(Histórico!E299),Histórico!E299&gt;0),Histórico!E299,T298)</f>
        <v>5.3744</v>
      </c>
      <c r="U299" s="15">
        <f>IF(ISNUMBER(Histórico!A299),Histórico!A299,U298)</f>
        <v>46324</v>
      </c>
    </row>
    <row r="300" spans="17:21" ht="22.95" customHeight="1">
      <c r="Q300" s="17">
        <f>IF(AND(ISNUMBER(Histórico!$A300),ISNUMBER(Histórico!B300),Histórico!B300&gt;0),Histórico!B300,Q299)</f>
        <v>157.42</v>
      </c>
      <c r="R300" s="17">
        <f>IF(AND(ISNUMBER(Histórico!$A300),ISNUMBER(Histórico!C300),Histórico!C300&gt;0),Histórico!C300,R299)</f>
        <v>64.73</v>
      </c>
      <c r="S300" s="17">
        <f>IF(AND(ISNUMBER(Histórico!$A300),ISNUMBER(Histórico!D300),Histórico!D300&gt;0),Histórico!D300,S299)</f>
        <v>389.05</v>
      </c>
      <c r="T300" s="18">
        <f>IF(AND(ISNUMBER(Histórico!$A300),ISNUMBER(Histórico!E300),Histórico!E300&gt;0),Histórico!E300,T299)</f>
        <v>5.3744</v>
      </c>
      <c r="U300" s="15">
        <f>IF(ISNUMBER(Histórico!A300),Histórico!A300,U299)</f>
        <v>46324</v>
      </c>
    </row>
    <row r="301" spans="17:21" ht="22.95" customHeight="1">
      <c r="Q301" s="17">
        <f>IF(AND(ISNUMBER(Histórico!$A301),ISNUMBER(Histórico!B301),Histórico!B301&gt;0),Histórico!B301,Q300)</f>
        <v>157.42</v>
      </c>
      <c r="R301" s="17">
        <f>IF(AND(ISNUMBER(Histórico!$A301),ISNUMBER(Histórico!C301),Histórico!C301&gt;0),Histórico!C301,R300)</f>
        <v>64.73</v>
      </c>
      <c r="S301" s="17">
        <f>IF(AND(ISNUMBER(Histórico!$A301),ISNUMBER(Histórico!D301),Histórico!D301&gt;0),Histórico!D301,S300)</f>
        <v>389.05</v>
      </c>
      <c r="T301" s="18">
        <f>IF(AND(ISNUMBER(Histórico!$A301),ISNUMBER(Histórico!E301),Histórico!E301&gt;0),Histórico!E301,T300)</f>
        <v>5.3744</v>
      </c>
      <c r="U301" s="15">
        <f>IF(ISNUMBER(Histórico!A301),Histórico!A301,U300)</f>
        <v>46324</v>
      </c>
    </row>
    <row r="302" spans="17:21" ht="22.95" customHeight="1">
      <c r="Q302" s="17">
        <f>IF(AND(ISNUMBER(Histórico!$A302),ISNUMBER(Histórico!B302),Histórico!B302&gt;0),Histórico!B302,Q301)</f>
        <v>157.42</v>
      </c>
      <c r="R302" s="17">
        <f>IF(AND(ISNUMBER(Histórico!$A302),ISNUMBER(Histórico!C302),Histórico!C302&gt;0),Histórico!C302,R301)</f>
        <v>64.73</v>
      </c>
      <c r="S302" s="17">
        <f>IF(AND(ISNUMBER(Histórico!$A302),ISNUMBER(Histórico!D302),Histórico!D302&gt;0),Histórico!D302,S301)</f>
        <v>389.05</v>
      </c>
      <c r="T302" s="18">
        <f>IF(AND(ISNUMBER(Histórico!$A302),ISNUMBER(Histórico!E302),Histórico!E302&gt;0),Histórico!E302,T301)</f>
        <v>5.3744</v>
      </c>
      <c r="U302" s="15">
        <f>IF(ISNUMBER(Histórico!A302),Histórico!A302,U301)</f>
        <v>46324</v>
      </c>
    </row>
    <row r="303" spans="17:21" ht="22.95" customHeight="1">
      <c r="Q303" s="17">
        <f>IF(AND(ISNUMBER(Histórico!$A303),ISNUMBER(Histórico!B303),Histórico!B303&gt;0),Histórico!B303,Q302)</f>
        <v>157.42</v>
      </c>
      <c r="R303" s="17">
        <f>IF(AND(ISNUMBER(Histórico!$A303),ISNUMBER(Histórico!C303),Histórico!C303&gt;0),Histórico!C303,R302)</f>
        <v>64.73</v>
      </c>
      <c r="S303" s="17">
        <f>IF(AND(ISNUMBER(Histórico!$A303),ISNUMBER(Histórico!D303),Histórico!D303&gt;0),Histórico!D303,S302)</f>
        <v>389.05</v>
      </c>
      <c r="T303" s="18">
        <f>IF(AND(ISNUMBER(Histórico!$A303),ISNUMBER(Histórico!E303),Histórico!E303&gt;0),Histórico!E303,T302)</f>
        <v>5.3744</v>
      </c>
      <c r="U303" s="15">
        <f>IF(ISNUMBER(Histórico!A303),Histórico!A303,U302)</f>
        <v>46324</v>
      </c>
    </row>
    <row r="304" spans="17:21" ht="22.95" customHeight="1">
      <c r="Q304" s="17">
        <f>IF(AND(ISNUMBER(Histórico!$A304),ISNUMBER(Histórico!B304),Histórico!B304&gt;0),Histórico!B304,Q303)</f>
        <v>157.42</v>
      </c>
      <c r="R304" s="17">
        <f>IF(AND(ISNUMBER(Histórico!$A304),ISNUMBER(Histórico!C304),Histórico!C304&gt;0),Histórico!C304,R303)</f>
        <v>64.73</v>
      </c>
      <c r="S304" s="17">
        <f>IF(AND(ISNUMBER(Histórico!$A304),ISNUMBER(Histórico!D304),Histórico!D304&gt;0),Histórico!D304,S303)</f>
        <v>389.05</v>
      </c>
      <c r="T304" s="18">
        <f>IF(AND(ISNUMBER(Histórico!$A304),ISNUMBER(Histórico!E304),Histórico!E304&gt;0),Histórico!E304,T303)</f>
        <v>5.3744</v>
      </c>
      <c r="U304" s="15">
        <f>IF(ISNUMBER(Histórico!A304),Histórico!A304,U303)</f>
        <v>46324</v>
      </c>
    </row>
    <row r="305" spans="17:21" ht="22.95" customHeight="1">
      <c r="Q305" s="17">
        <f>IF(AND(ISNUMBER(Histórico!$A305),ISNUMBER(Histórico!B305),Histórico!B305&gt;0),Histórico!B305,Q304)</f>
        <v>157.42</v>
      </c>
      <c r="R305" s="17">
        <f>IF(AND(ISNUMBER(Histórico!$A305),ISNUMBER(Histórico!C305),Histórico!C305&gt;0),Histórico!C305,R304)</f>
        <v>64.73</v>
      </c>
      <c r="S305" s="17">
        <f>IF(AND(ISNUMBER(Histórico!$A305),ISNUMBER(Histórico!D305),Histórico!D305&gt;0),Histórico!D305,S304)</f>
        <v>389.05</v>
      </c>
      <c r="T305" s="18">
        <f>IF(AND(ISNUMBER(Histórico!$A305),ISNUMBER(Histórico!E305),Histórico!E305&gt;0),Histórico!E305,T304)</f>
        <v>5.3744</v>
      </c>
      <c r="U305" s="15">
        <f>IF(ISNUMBER(Histórico!A305),Histórico!A305,U304)</f>
        <v>46324</v>
      </c>
    </row>
    <row r="306" spans="17:21" ht="22.95" customHeight="1">
      <c r="Q306" s="17">
        <f>IF(AND(ISNUMBER(Histórico!$A306),ISNUMBER(Histórico!B306),Histórico!B306&gt;0),Histórico!B306,Q305)</f>
        <v>157.42</v>
      </c>
      <c r="R306" s="17">
        <f>IF(AND(ISNUMBER(Histórico!$A306),ISNUMBER(Histórico!C306),Histórico!C306&gt;0),Histórico!C306,R305)</f>
        <v>64.73</v>
      </c>
      <c r="S306" s="17">
        <f>IF(AND(ISNUMBER(Histórico!$A306),ISNUMBER(Histórico!D306),Histórico!D306&gt;0),Histórico!D306,S305)</f>
        <v>389.05</v>
      </c>
      <c r="T306" s="18">
        <f>IF(AND(ISNUMBER(Histórico!$A306),ISNUMBER(Histórico!E306),Histórico!E306&gt;0),Histórico!E306,T305)</f>
        <v>5.3744</v>
      </c>
      <c r="U306" s="15">
        <f>IF(ISNUMBER(Histórico!A306),Histórico!A306,U305)</f>
        <v>46324</v>
      </c>
    </row>
    <row r="307" spans="17:21" ht="22.95" customHeight="1">
      <c r="Q307" s="17">
        <f>IF(AND(ISNUMBER(Histórico!$A307),ISNUMBER(Histórico!B307),Histórico!B307&gt;0),Histórico!B307,Q306)</f>
        <v>157.42</v>
      </c>
      <c r="R307" s="17">
        <f>IF(AND(ISNUMBER(Histórico!$A307),ISNUMBER(Histórico!C307),Histórico!C307&gt;0),Histórico!C307,R306)</f>
        <v>64.73</v>
      </c>
      <c r="S307" s="17">
        <f>IF(AND(ISNUMBER(Histórico!$A307),ISNUMBER(Histórico!D307),Histórico!D307&gt;0),Histórico!D307,S306)</f>
        <v>389.05</v>
      </c>
      <c r="T307" s="18">
        <f>IF(AND(ISNUMBER(Histórico!$A307),ISNUMBER(Histórico!E307),Histórico!E307&gt;0),Histórico!E307,T306)</f>
        <v>5.3744</v>
      </c>
      <c r="U307" s="15">
        <f>IF(ISNUMBER(Histórico!A307),Histórico!A307,U306)</f>
        <v>46324</v>
      </c>
    </row>
    <row r="308" spans="17:21" ht="22.95" customHeight="1">
      <c r="Q308" s="17">
        <f>IF(AND(ISNUMBER(Histórico!$A308),ISNUMBER(Histórico!B308),Histórico!B308&gt;0),Histórico!B308,Q307)</f>
        <v>157.42</v>
      </c>
      <c r="R308" s="17">
        <f>IF(AND(ISNUMBER(Histórico!$A308),ISNUMBER(Histórico!C308),Histórico!C308&gt;0),Histórico!C308,R307)</f>
        <v>64.73</v>
      </c>
      <c r="S308" s="17">
        <f>IF(AND(ISNUMBER(Histórico!$A308),ISNUMBER(Histórico!D308),Histórico!D308&gt;0),Histórico!D308,S307)</f>
        <v>389.05</v>
      </c>
      <c r="T308" s="18">
        <f>IF(AND(ISNUMBER(Histórico!$A308),ISNUMBER(Histórico!E308),Histórico!E308&gt;0),Histórico!E308,T307)</f>
        <v>5.3744</v>
      </c>
      <c r="U308" s="15">
        <f>IF(ISNUMBER(Histórico!A308),Histórico!A308,U307)</f>
        <v>46324</v>
      </c>
    </row>
    <row r="309" spans="17:21" ht="22.95" customHeight="1">
      <c r="Q309" s="17">
        <f>IF(AND(ISNUMBER(Histórico!$A309),ISNUMBER(Histórico!B309),Histórico!B309&gt;0),Histórico!B309,Q308)</f>
        <v>157.42</v>
      </c>
      <c r="R309" s="17">
        <f>IF(AND(ISNUMBER(Histórico!$A309),ISNUMBER(Histórico!C309),Histórico!C309&gt;0),Histórico!C309,R308)</f>
        <v>64.73</v>
      </c>
      <c r="S309" s="17">
        <f>IF(AND(ISNUMBER(Histórico!$A309),ISNUMBER(Histórico!D309),Histórico!D309&gt;0),Histórico!D309,S308)</f>
        <v>389.05</v>
      </c>
      <c r="T309" s="18">
        <f>IF(AND(ISNUMBER(Histórico!$A309),ISNUMBER(Histórico!E309),Histórico!E309&gt;0),Histórico!E309,T308)</f>
        <v>5.3744</v>
      </c>
      <c r="U309" s="15">
        <f>IF(ISNUMBER(Histórico!A309),Histórico!A309,U308)</f>
        <v>46324</v>
      </c>
    </row>
    <row r="310" spans="17:21" ht="22.95" customHeight="1">
      <c r="Q310" s="17">
        <f>IF(AND(ISNUMBER(Histórico!$A310),ISNUMBER(Histórico!B310),Histórico!B310&gt;0),Histórico!B310,Q309)</f>
        <v>157.42</v>
      </c>
      <c r="R310" s="17">
        <f>IF(AND(ISNUMBER(Histórico!$A310),ISNUMBER(Histórico!C310),Histórico!C310&gt;0),Histórico!C310,R309)</f>
        <v>64.73</v>
      </c>
      <c r="S310" s="17">
        <f>IF(AND(ISNUMBER(Histórico!$A310),ISNUMBER(Histórico!D310),Histórico!D310&gt;0),Histórico!D310,S309)</f>
        <v>389.05</v>
      </c>
      <c r="T310" s="18">
        <f>IF(AND(ISNUMBER(Histórico!$A310),ISNUMBER(Histórico!E310),Histórico!E310&gt;0),Histórico!E310,T309)</f>
        <v>5.3744</v>
      </c>
      <c r="U310" s="15">
        <f>IF(ISNUMBER(Histórico!A310),Histórico!A310,U309)</f>
        <v>46324</v>
      </c>
    </row>
    <row r="311" spans="17:21" ht="22.95" customHeight="1">
      <c r="Q311" s="17">
        <f>IF(AND(ISNUMBER(Histórico!$A311),ISNUMBER(Histórico!B311),Histórico!B311&gt;0),Histórico!B311,Q310)</f>
        <v>157.42</v>
      </c>
      <c r="R311" s="17">
        <f>IF(AND(ISNUMBER(Histórico!$A311),ISNUMBER(Histórico!C311),Histórico!C311&gt;0),Histórico!C311,R310)</f>
        <v>64.73</v>
      </c>
      <c r="S311" s="17">
        <f>IF(AND(ISNUMBER(Histórico!$A311),ISNUMBER(Histórico!D311),Histórico!D311&gt;0),Histórico!D311,S310)</f>
        <v>389.05</v>
      </c>
      <c r="T311" s="18">
        <f>IF(AND(ISNUMBER(Histórico!$A311),ISNUMBER(Histórico!E311),Histórico!E311&gt;0),Histórico!E311,T310)</f>
        <v>5.3744</v>
      </c>
      <c r="U311" s="15">
        <f>IF(ISNUMBER(Histórico!A311),Histórico!A311,U310)</f>
        <v>46324</v>
      </c>
    </row>
    <row r="312" spans="17:21" ht="22.95" customHeight="1">
      <c r="Q312" s="17">
        <f>IF(AND(ISNUMBER(Histórico!$A312),ISNUMBER(Histórico!B312),Histórico!B312&gt;0),Histórico!B312,Q311)</f>
        <v>157.42</v>
      </c>
      <c r="R312" s="17">
        <f>IF(AND(ISNUMBER(Histórico!$A312),ISNUMBER(Histórico!C312),Histórico!C312&gt;0),Histórico!C312,R311)</f>
        <v>64.73</v>
      </c>
      <c r="S312" s="17">
        <f>IF(AND(ISNUMBER(Histórico!$A312),ISNUMBER(Histórico!D312),Histórico!D312&gt;0),Histórico!D312,S311)</f>
        <v>389.05</v>
      </c>
      <c r="T312" s="18">
        <f>IF(AND(ISNUMBER(Histórico!$A312),ISNUMBER(Histórico!E312),Histórico!E312&gt;0),Histórico!E312,T311)</f>
        <v>5.3744</v>
      </c>
      <c r="U312" s="15">
        <f>IF(ISNUMBER(Histórico!A312),Histórico!A312,U311)</f>
        <v>46324</v>
      </c>
    </row>
    <row r="313" spans="17:21" ht="22.95" customHeight="1">
      <c r="Q313" s="17">
        <f>IF(AND(ISNUMBER(Histórico!$A313),ISNUMBER(Histórico!B313),Histórico!B313&gt;0),Histórico!B313,Q312)</f>
        <v>157.42</v>
      </c>
      <c r="R313" s="17">
        <f>IF(AND(ISNUMBER(Histórico!$A313),ISNUMBER(Histórico!C313),Histórico!C313&gt;0),Histórico!C313,R312)</f>
        <v>64.73</v>
      </c>
      <c r="S313" s="17">
        <f>IF(AND(ISNUMBER(Histórico!$A313),ISNUMBER(Histórico!D313),Histórico!D313&gt;0),Histórico!D313,S312)</f>
        <v>389.05</v>
      </c>
      <c r="T313" s="18">
        <f>IF(AND(ISNUMBER(Histórico!$A313),ISNUMBER(Histórico!E313),Histórico!E313&gt;0),Histórico!E313,T312)</f>
        <v>5.3744</v>
      </c>
      <c r="U313" s="15">
        <f>IF(ISNUMBER(Histórico!A313),Histórico!A313,U312)</f>
        <v>46324</v>
      </c>
    </row>
    <row r="314" spans="17:21" ht="22.95" customHeight="1">
      <c r="Q314" s="17">
        <f>IF(AND(ISNUMBER(Histórico!$A314),ISNUMBER(Histórico!B314),Histórico!B314&gt;0),Histórico!B314,Q313)</f>
        <v>157.42</v>
      </c>
      <c r="R314" s="17">
        <f>IF(AND(ISNUMBER(Histórico!$A314),ISNUMBER(Histórico!C314),Histórico!C314&gt;0),Histórico!C314,R313)</f>
        <v>64.73</v>
      </c>
      <c r="S314" s="17">
        <f>IF(AND(ISNUMBER(Histórico!$A314),ISNUMBER(Histórico!D314),Histórico!D314&gt;0),Histórico!D314,S313)</f>
        <v>389.05</v>
      </c>
      <c r="T314" s="18">
        <f>IF(AND(ISNUMBER(Histórico!$A314),ISNUMBER(Histórico!E314),Histórico!E314&gt;0),Histórico!E314,T313)</f>
        <v>5.3744</v>
      </c>
      <c r="U314" s="15">
        <f>IF(ISNUMBER(Histórico!A314),Histórico!A314,U313)</f>
        <v>46324</v>
      </c>
    </row>
    <row r="315" spans="17:21" ht="22.95" customHeight="1">
      <c r="Q315" s="17">
        <f>IF(AND(ISNUMBER(Histórico!$A315),ISNUMBER(Histórico!B315),Histórico!B315&gt;0),Histórico!B315,Q314)</f>
        <v>157.42</v>
      </c>
      <c r="R315" s="17">
        <f>IF(AND(ISNUMBER(Histórico!$A315),ISNUMBER(Histórico!C315),Histórico!C315&gt;0),Histórico!C315,R314)</f>
        <v>64.73</v>
      </c>
      <c r="S315" s="17">
        <f>IF(AND(ISNUMBER(Histórico!$A315),ISNUMBER(Histórico!D315),Histórico!D315&gt;0),Histórico!D315,S314)</f>
        <v>389.05</v>
      </c>
      <c r="T315" s="18">
        <f>IF(AND(ISNUMBER(Histórico!$A315),ISNUMBER(Histórico!E315),Histórico!E315&gt;0),Histórico!E315,T314)</f>
        <v>5.3744</v>
      </c>
      <c r="U315" s="15">
        <f>IF(ISNUMBER(Histórico!A315),Histórico!A315,U314)</f>
        <v>46324</v>
      </c>
    </row>
    <row r="316" spans="17:21" ht="22.95" customHeight="1">
      <c r="Q316" s="17">
        <f>IF(AND(ISNUMBER(Histórico!$A316),ISNUMBER(Histórico!B316),Histórico!B316&gt;0),Histórico!B316,Q315)</f>
        <v>157.42</v>
      </c>
      <c r="R316" s="17">
        <f>IF(AND(ISNUMBER(Histórico!$A316),ISNUMBER(Histórico!C316),Histórico!C316&gt;0),Histórico!C316,R315)</f>
        <v>64.73</v>
      </c>
      <c r="S316" s="17">
        <f>IF(AND(ISNUMBER(Histórico!$A316),ISNUMBER(Histórico!D316),Histórico!D316&gt;0),Histórico!D316,S315)</f>
        <v>389.05</v>
      </c>
      <c r="T316" s="18">
        <f>IF(AND(ISNUMBER(Histórico!$A316),ISNUMBER(Histórico!E316),Histórico!E316&gt;0),Histórico!E316,T315)</f>
        <v>5.3744</v>
      </c>
      <c r="U316" s="15">
        <f>IF(ISNUMBER(Histórico!A316),Histórico!A316,U315)</f>
        <v>46324</v>
      </c>
    </row>
    <row r="317" spans="17:21" ht="22.95" customHeight="1">
      <c r="Q317" s="17">
        <f>IF(AND(ISNUMBER(Histórico!$A317),ISNUMBER(Histórico!B317),Histórico!B317&gt;0),Histórico!B317,Q316)</f>
        <v>157.42</v>
      </c>
      <c r="R317" s="17">
        <f>IF(AND(ISNUMBER(Histórico!$A317),ISNUMBER(Histórico!C317),Histórico!C317&gt;0),Histórico!C317,R316)</f>
        <v>64.73</v>
      </c>
      <c r="S317" s="17">
        <f>IF(AND(ISNUMBER(Histórico!$A317),ISNUMBER(Histórico!D317),Histórico!D317&gt;0),Histórico!D317,S316)</f>
        <v>389.05</v>
      </c>
      <c r="T317" s="18">
        <f>IF(AND(ISNUMBER(Histórico!$A317),ISNUMBER(Histórico!E317),Histórico!E317&gt;0),Histórico!E317,T316)</f>
        <v>5.3744</v>
      </c>
      <c r="U317" s="15">
        <f>IF(ISNUMBER(Histórico!A317),Histórico!A317,U316)</f>
        <v>46324</v>
      </c>
    </row>
    <row r="318" spans="17:21" ht="22.95" customHeight="1">
      <c r="Q318" s="17">
        <f>IF(AND(ISNUMBER(Histórico!$A318),ISNUMBER(Histórico!B318),Histórico!B318&gt;0),Histórico!B318,Q317)</f>
        <v>157.42</v>
      </c>
      <c r="R318" s="17">
        <f>IF(AND(ISNUMBER(Histórico!$A318),ISNUMBER(Histórico!C318),Histórico!C318&gt;0),Histórico!C318,R317)</f>
        <v>64.73</v>
      </c>
      <c r="S318" s="17">
        <f>IF(AND(ISNUMBER(Histórico!$A318),ISNUMBER(Histórico!D318),Histórico!D318&gt;0),Histórico!D318,S317)</f>
        <v>389.05</v>
      </c>
      <c r="T318" s="18">
        <f>IF(AND(ISNUMBER(Histórico!$A318),ISNUMBER(Histórico!E318),Histórico!E318&gt;0),Histórico!E318,T317)</f>
        <v>5.3744</v>
      </c>
      <c r="U318" s="15">
        <f>IF(ISNUMBER(Histórico!A318),Histórico!A318,U317)</f>
        <v>46324</v>
      </c>
    </row>
    <row r="319" spans="17:21" ht="22.95" customHeight="1">
      <c r="Q319" s="17">
        <f>IF(AND(ISNUMBER(Histórico!$A319),ISNUMBER(Histórico!B319),Histórico!B319&gt;0),Histórico!B319,Q318)</f>
        <v>157.42</v>
      </c>
      <c r="R319" s="17">
        <f>IF(AND(ISNUMBER(Histórico!$A319),ISNUMBER(Histórico!C319),Histórico!C319&gt;0),Histórico!C319,R318)</f>
        <v>64.73</v>
      </c>
      <c r="S319" s="17">
        <f>IF(AND(ISNUMBER(Histórico!$A319),ISNUMBER(Histórico!D319),Histórico!D319&gt;0),Histórico!D319,S318)</f>
        <v>389.05</v>
      </c>
      <c r="T319" s="18">
        <f>IF(AND(ISNUMBER(Histórico!$A319),ISNUMBER(Histórico!E319),Histórico!E319&gt;0),Histórico!E319,T318)</f>
        <v>5.3744</v>
      </c>
      <c r="U319" s="15">
        <f>IF(ISNUMBER(Histórico!A319),Histórico!A319,U318)</f>
        <v>46324</v>
      </c>
    </row>
    <row r="320" spans="17:21" ht="22.95" customHeight="1">
      <c r="Q320" s="17">
        <f>IF(AND(ISNUMBER(Histórico!$A320),ISNUMBER(Histórico!B320),Histórico!B320&gt;0),Histórico!B320,Q319)</f>
        <v>157.42</v>
      </c>
      <c r="R320" s="17">
        <f>IF(AND(ISNUMBER(Histórico!$A320),ISNUMBER(Histórico!C320),Histórico!C320&gt;0),Histórico!C320,R319)</f>
        <v>64.73</v>
      </c>
      <c r="S320" s="17">
        <f>IF(AND(ISNUMBER(Histórico!$A320),ISNUMBER(Histórico!D320),Histórico!D320&gt;0),Histórico!D320,S319)</f>
        <v>389.05</v>
      </c>
      <c r="T320" s="18">
        <f>IF(AND(ISNUMBER(Histórico!$A320),ISNUMBER(Histórico!E320),Histórico!E320&gt;0),Histórico!E320,T319)</f>
        <v>5.3744</v>
      </c>
      <c r="U320" s="15">
        <f>IF(ISNUMBER(Histórico!A320),Histórico!A320,U319)</f>
        <v>46324</v>
      </c>
    </row>
    <row r="321" spans="17:21" ht="22.95" customHeight="1">
      <c r="Q321" s="17">
        <f>IF(AND(ISNUMBER(Histórico!$A321),ISNUMBER(Histórico!B321),Histórico!B321&gt;0),Histórico!B321,Q320)</f>
        <v>157.42</v>
      </c>
      <c r="R321" s="17">
        <f>IF(AND(ISNUMBER(Histórico!$A321),ISNUMBER(Histórico!C321),Histórico!C321&gt;0),Histórico!C321,R320)</f>
        <v>64.73</v>
      </c>
      <c r="S321" s="17">
        <f>IF(AND(ISNUMBER(Histórico!$A321),ISNUMBER(Histórico!D321),Histórico!D321&gt;0),Histórico!D321,S320)</f>
        <v>389.05</v>
      </c>
      <c r="T321" s="18">
        <f>IF(AND(ISNUMBER(Histórico!$A321),ISNUMBER(Histórico!E321),Histórico!E321&gt;0),Histórico!E321,T320)</f>
        <v>5.3744</v>
      </c>
      <c r="U321" s="15">
        <f>IF(ISNUMBER(Histórico!A321),Histórico!A321,U320)</f>
        <v>46324</v>
      </c>
    </row>
    <row r="322" spans="17:21" ht="22.95" customHeight="1">
      <c r="Q322" s="17">
        <f>IF(AND(ISNUMBER(Histórico!$A322),ISNUMBER(Histórico!B322),Histórico!B322&gt;0),Histórico!B322,Q321)</f>
        <v>157.42</v>
      </c>
      <c r="R322" s="17">
        <f>IF(AND(ISNUMBER(Histórico!$A322),ISNUMBER(Histórico!C322),Histórico!C322&gt;0),Histórico!C322,R321)</f>
        <v>64.73</v>
      </c>
      <c r="S322" s="17">
        <f>IF(AND(ISNUMBER(Histórico!$A322),ISNUMBER(Histórico!D322),Histórico!D322&gt;0),Histórico!D322,S321)</f>
        <v>389.05</v>
      </c>
      <c r="T322" s="18">
        <f>IF(AND(ISNUMBER(Histórico!$A322),ISNUMBER(Histórico!E322),Histórico!E322&gt;0),Histórico!E322,T321)</f>
        <v>5.3744</v>
      </c>
      <c r="U322" s="15">
        <f>IF(ISNUMBER(Histórico!A322),Histórico!A322,U321)</f>
        <v>46324</v>
      </c>
    </row>
    <row r="323" spans="17:21" ht="22.95" customHeight="1">
      <c r="Q323" s="17">
        <f>IF(AND(ISNUMBER(Histórico!$A323),ISNUMBER(Histórico!B323),Histórico!B323&gt;0),Histórico!B323,Q322)</f>
        <v>157.42</v>
      </c>
      <c r="R323" s="17">
        <f>IF(AND(ISNUMBER(Histórico!$A323),ISNUMBER(Histórico!C323),Histórico!C323&gt;0),Histórico!C323,R322)</f>
        <v>64.73</v>
      </c>
      <c r="S323" s="17">
        <f>IF(AND(ISNUMBER(Histórico!$A323),ISNUMBER(Histórico!D323),Histórico!D323&gt;0),Histórico!D323,S322)</f>
        <v>389.05</v>
      </c>
      <c r="T323" s="18">
        <f>IF(AND(ISNUMBER(Histórico!$A323),ISNUMBER(Histórico!E323),Histórico!E323&gt;0),Histórico!E323,T322)</f>
        <v>5.3744</v>
      </c>
      <c r="U323" s="15">
        <f>IF(ISNUMBER(Histórico!A323),Histórico!A323,U322)</f>
        <v>46324</v>
      </c>
    </row>
    <row r="324" spans="17:21" ht="22.95" customHeight="1">
      <c r="Q324" s="17">
        <f>IF(AND(ISNUMBER(Histórico!$A324),ISNUMBER(Histórico!B324),Histórico!B324&gt;0),Histórico!B324,Q323)</f>
        <v>157.42</v>
      </c>
      <c r="R324" s="17">
        <f>IF(AND(ISNUMBER(Histórico!$A324),ISNUMBER(Histórico!C324),Histórico!C324&gt;0),Histórico!C324,R323)</f>
        <v>64.73</v>
      </c>
      <c r="S324" s="17">
        <f>IF(AND(ISNUMBER(Histórico!$A324),ISNUMBER(Histórico!D324),Histórico!D324&gt;0),Histórico!D324,S323)</f>
        <v>389.05</v>
      </c>
      <c r="T324" s="18">
        <f>IF(AND(ISNUMBER(Histórico!$A324),ISNUMBER(Histórico!E324),Histórico!E324&gt;0),Histórico!E324,T323)</f>
        <v>5.3744</v>
      </c>
      <c r="U324" s="15">
        <f>IF(ISNUMBER(Histórico!A324),Histórico!A324,U323)</f>
        <v>46324</v>
      </c>
    </row>
    <row r="325" spans="17:21" ht="22.95" customHeight="1">
      <c r="Q325" s="17">
        <f>IF(AND(ISNUMBER(Histórico!$A325),ISNUMBER(Histórico!B325),Histórico!B325&gt;0),Histórico!B325,Q324)</f>
        <v>157.42</v>
      </c>
      <c r="R325" s="17">
        <f>IF(AND(ISNUMBER(Histórico!$A325),ISNUMBER(Histórico!C325),Histórico!C325&gt;0),Histórico!C325,R324)</f>
        <v>64.73</v>
      </c>
      <c r="S325" s="17">
        <f>IF(AND(ISNUMBER(Histórico!$A325),ISNUMBER(Histórico!D325),Histórico!D325&gt;0),Histórico!D325,S324)</f>
        <v>389.05</v>
      </c>
      <c r="T325" s="18">
        <f>IF(AND(ISNUMBER(Histórico!$A325),ISNUMBER(Histórico!E325),Histórico!E325&gt;0),Histórico!E325,T324)</f>
        <v>5.3744</v>
      </c>
      <c r="U325" s="15">
        <f>IF(ISNUMBER(Histórico!A325),Histórico!A325,U324)</f>
        <v>46324</v>
      </c>
    </row>
    <row r="326" spans="17:21" ht="22.95" customHeight="1">
      <c r="Q326" s="17">
        <f>IF(AND(ISNUMBER(Histórico!$A326),ISNUMBER(Histórico!B326),Histórico!B326&gt;0),Histórico!B326,Q325)</f>
        <v>157.42</v>
      </c>
      <c r="R326" s="17">
        <f>IF(AND(ISNUMBER(Histórico!$A326),ISNUMBER(Histórico!C326),Histórico!C326&gt;0),Histórico!C326,R325)</f>
        <v>64.73</v>
      </c>
      <c r="S326" s="17">
        <f>IF(AND(ISNUMBER(Histórico!$A326),ISNUMBER(Histórico!D326),Histórico!D326&gt;0),Histórico!D326,S325)</f>
        <v>389.05</v>
      </c>
      <c r="T326" s="18">
        <f>IF(AND(ISNUMBER(Histórico!$A326),ISNUMBER(Histórico!E326),Histórico!E326&gt;0),Histórico!E326,T325)</f>
        <v>5.3744</v>
      </c>
      <c r="U326" s="15">
        <f>IF(ISNUMBER(Histórico!A326),Histórico!A326,U325)</f>
        <v>46324</v>
      </c>
    </row>
    <row r="327" spans="17:21" ht="22.95" customHeight="1">
      <c r="Q327" s="17">
        <f>IF(AND(ISNUMBER(Histórico!$A327),ISNUMBER(Histórico!B327),Histórico!B327&gt;0),Histórico!B327,Q326)</f>
        <v>157.42</v>
      </c>
      <c r="R327" s="17">
        <f>IF(AND(ISNUMBER(Histórico!$A327),ISNUMBER(Histórico!C327),Histórico!C327&gt;0),Histórico!C327,R326)</f>
        <v>64.73</v>
      </c>
      <c r="S327" s="17">
        <f>IF(AND(ISNUMBER(Histórico!$A327),ISNUMBER(Histórico!D327),Histórico!D327&gt;0),Histórico!D327,S326)</f>
        <v>389.05</v>
      </c>
      <c r="T327" s="18">
        <f>IF(AND(ISNUMBER(Histórico!$A327),ISNUMBER(Histórico!E327),Histórico!E327&gt;0),Histórico!E327,T326)</f>
        <v>5.3744</v>
      </c>
      <c r="U327" s="15">
        <f>IF(ISNUMBER(Histórico!A327),Histórico!A327,U326)</f>
        <v>46324</v>
      </c>
    </row>
    <row r="328" spans="17:21" ht="22.95" customHeight="1">
      <c r="Q328" s="17">
        <f>IF(AND(ISNUMBER(Histórico!$A328),ISNUMBER(Histórico!B328),Histórico!B328&gt;0),Histórico!B328,Q327)</f>
        <v>157.42</v>
      </c>
      <c r="R328" s="17">
        <f>IF(AND(ISNUMBER(Histórico!$A328),ISNUMBER(Histórico!C328),Histórico!C328&gt;0),Histórico!C328,R327)</f>
        <v>64.73</v>
      </c>
      <c r="S328" s="17">
        <f>IF(AND(ISNUMBER(Histórico!$A328),ISNUMBER(Histórico!D328),Histórico!D328&gt;0),Histórico!D328,S327)</f>
        <v>389.05</v>
      </c>
      <c r="T328" s="18">
        <f>IF(AND(ISNUMBER(Histórico!$A328),ISNUMBER(Histórico!E328),Histórico!E328&gt;0),Histórico!E328,T327)</f>
        <v>5.3744</v>
      </c>
      <c r="U328" s="15">
        <f>IF(ISNUMBER(Histórico!A328),Histórico!A328,U327)</f>
        <v>46324</v>
      </c>
    </row>
    <row r="329" spans="17:21" ht="22.95" customHeight="1">
      <c r="Q329" s="17">
        <f>IF(AND(ISNUMBER(Histórico!$A329),ISNUMBER(Histórico!B329),Histórico!B329&gt;0),Histórico!B329,Q328)</f>
        <v>157.42</v>
      </c>
      <c r="R329" s="17">
        <f>IF(AND(ISNUMBER(Histórico!$A329),ISNUMBER(Histórico!C329),Histórico!C329&gt;0),Histórico!C329,R328)</f>
        <v>64.73</v>
      </c>
      <c r="S329" s="17">
        <f>IF(AND(ISNUMBER(Histórico!$A329),ISNUMBER(Histórico!D329),Histórico!D329&gt;0),Histórico!D329,S328)</f>
        <v>389.05</v>
      </c>
      <c r="T329" s="18">
        <f>IF(AND(ISNUMBER(Histórico!$A329),ISNUMBER(Histórico!E329),Histórico!E329&gt;0),Histórico!E329,T328)</f>
        <v>5.3744</v>
      </c>
      <c r="U329" s="15">
        <f>IF(ISNUMBER(Histórico!A329),Histórico!A329,U328)</f>
        <v>46324</v>
      </c>
    </row>
    <row r="330" spans="17:21" ht="22.95" customHeight="1">
      <c r="Q330" s="17">
        <f>IF(AND(ISNUMBER(Histórico!$A330),ISNUMBER(Histórico!B330),Histórico!B330&gt;0),Histórico!B330,Q329)</f>
        <v>157.42</v>
      </c>
      <c r="R330" s="17">
        <f>IF(AND(ISNUMBER(Histórico!$A330),ISNUMBER(Histórico!C330),Histórico!C330&gt;0),Histórico!C330,R329)</f>
        <v>64.73</v>
      </c>
      <c r="S330" s="17">
        <f>IF(AND(ISNUMBER(Histórico!$A330),ISNUMBER(Histórico!D330),Histórico!D330&gt;0),Histórico!D330,S329)</f>
        <v>389.05</v>
      </c>
      <c r="T330" s="18">
        <f>IF(AND(ISNUMBER(Histórico!$A330),ISNUMBER(Histórico!E330),Histórico!E330&gt;0),Histórico!E330,T329)</f>
        <v>5.3744</v>
      </c>
      <c r="U330" s="15">
        <f>IF(ISNUMBER(Histórico!A330),Histórico!A330,U329)</f>
        <v>46324</v>
      </c>
    </row>
    <row r="331" spans="17:21" ht="22.95" customHeight="1">
      <c r="Q331" s="17">
        <f>IF(AND(ISNUMBER(Histórico!$A331),ISNUMBER(Histórico!B331),Histórico!B331&gt;0),Histórico!B331,Q330)</f>
        <v>157.42</v>
      </c>
      <c r="R331" s="17">
        <f>IF(AND(ISNUMBER(Histórico!$A331),ISNUMBER(Histórico!C331),Histórico!C331&gt;0),Histórico!C331,R330)</f>
        <v>64.73</v>
      </c>
      <c r="S331" s="17">
        <f>IF(AND(ISNUMBER(Histórico!$A331),ISNUMBER(Histórico!D331),Histórico!D331&gt;0),Histórico!D331,S330)</f>
        <v>389.05</v>
      </c>
      <c r="T331" s="18">
        <f>IF(AND(ISNUMBER(Histórico!$A331),ISNUMBER(Histórico!E331),Histórico!E331&gt;0),Histórico!E331,T330)</f>
        <v>5.3744</v>
      </c>
      <c r="U331" s="15">
        <f>IF(ISNUMBER(Histórico!A331),Histórico!A331,U330)</f>
        <v>46324</v>
      </c>
    </row>
    <row r="332" spans="17:21" ht="22.95" customHeight="1">
      <c r="Q332" s="17">
        <f>IF(AND(ISNUMBER(Histórico!$A332),ISNUMBER(Histórico!B332),Histórico!B332&gt;0),Histórico!B332,Q331)</f>
        <v>157.42</v>
      </c>
      <c r="R332" s="17">
        <f>IF(AND(ISNUMBER(Histórico!$A332),ISNUMBER(Histórico!C332),Histórico!C332&gt;0),Histórico!C332,R331)</f>
        <v>64.73</v>
      </c>
      <c r="S332" s="17">
        <f>IF(AND(ISNUMBER(Histórico!$A332),ISNUMBER(Histórico!D332),Histórico!D332&gt;0),Histórico!D332,S331)</f>
        <v>389.05</v>
      </c>
      <c r="T332" s="18">
        <f>IF(AND(ISNUMBER(Histórico!$A332),ISNUMBER(Histórico!E332),Histórico!E332&gt;0),Histórico!E332,T331)</f>
        <v>5.3744</v>
      </c>
      <c r="U332" s="15">
        <f>IF(ISNUMBER(Histórico!A332),Histórico!A332,U331)</f>
        <v>46324</v>
      </c>
    </row>
    <row r="333" spans="17:21" ht="22.95" customHeight="1">
      <c r="Q333" s="17">
        <f>IF(AND(ISNUMBER(Histórico!$A333),ISNUMBER(Histórico!B333),Histórico!B333&gt;0),Histórico!B333,Q332)</f>
        <v>157.42</v>
      </c>
      <c r="R333" s="17">
        <f>IF(AND(ISNUMBER(Histórico!$A333),ISNUMBER(Histórico!C333),Histórico!C333&gt;0),Histórico!C333,R332)</f>
        <v>64.73</v>
      </c>
      <c r="S333" s="17">
        <f>IF(AND(ISNUMBER(Histórico!$A333),ISNUMBER(Histórico!D333),Histórico!D333&gt;0),Histórico!D333,S332)</f>
        <v>389.05</v>
      </c>
      <c r="T333" s="18">
        <f>IF(AND(ISNUMBER(Histórico!$A333),ISNUMBER(Histórico!E333),Histórico!E333&gt;0),Histórico!E333,T332)</f>
        <v>5.3744</v>
      </c>
      <c r="U333" s="15">
        <f>IF(ISNUMBER(Histórico!A333),Histórico!A333,U332)</f>
        <v>46324</v>
      </c>
    </row>
    <row r="334" spans="17:21" ht="22.95" customHeight="1">
      <c r="Q334" s="17">
        <f>IF(AND(ISNUMBER(Histórico!$A334),ISNUMBER(Histórico!B334),Histórico!B334&gt;0),Histórico!B334,Q333)</f>
        <v>157.42</v>
      </c>
      <c r="R334" s="17">
        <f>IF(AND(ISNUMBER(Histórico!$A334),ISNUMBER(Histórico!C334),Histórico!C334&gt;0),Histórico!C334,R333)</f>
        <v>64.73</v>
      </c>
      <c r="S334" s="17">
        <f>IF(AND(ISNUMBER(Histórico!$A334),ISNUMBER(Histórico!D334),Histórico!D334&gt;0),Histórico!D334,S333)</f>
        <v>389.05</v>
      </c>
      <c r="T334" s="18">
        <f>IF(AND(ISNUMBER(Histórico!$A334),ISNUMBER(Histórico!E334),Histórico!E334&gt;0),Histórico!E334,T333)</f>
        <v>5.3744</v>
      </c>
      <c r="U334" s="15">
        <f>IF(ISNUMBER(Histórico!A334),Histórico!A334,U333)</f>
        <v>46324</v>
      </c>
    </row>
    <row r="335" spans="17:21" ht="22.95" customHeight="1">
      <c r="Q335" s="17">
        <f>IF(AND(ISNUMBER(Histórico!$A335),ISNUMBER(Histórico!B335),Histórico!B335&gt;0),Histórico!B335,Q334)</f>
        <v>157.42</v>
      </c>
      <c r="R335" s="17">
        <f>IF(AND(ISNUMBER(Histórico!$A335),ISNUMBER(Histórico!C335),Histórico!C335&gt;0),Histórico!C335,R334)</f>
        <v>64.73</v>
      </c>
      <c r="S335" s="17">
        <f>IF(AND(ISNUMBER(Histórico!$A335),ISNUMBER(Histórico!D335),Histórico!D335&gt;0),Histórico!D335,S334)</f>
        <v>389.05</v>
      </c>
      <c r="T335" s="18">
        <f>IF(AND(ISNUMBER(Histórico!$A335),ISNUMBER(Histórico!E335),Histórico!E335&gt;0),Histórico!E335,T334)</f>
        <v>5.3744</v>
      </c>
      <c r="U335" s="15">
        <f>IF(ISNUMBER(Histórico!A335),Histórico!A335,U334)</f>
        <v>46324</v>
      </c>
    </row>
    <row r="336" spans="17:21" ht="22.95" customHeight="1">
      <c r="Q336" s="17">
        <f>IF(AND(ISNUMBER(Histórico!$A336),ISNUMBER(Histórico!B336),Histórico!B336&gt;0),Histórico!B336,Q335)</f>
        <v>157.42</v>
      </c>
      <c r="R336" s="17">
        <f>IF(AND(ISNUMBER(Histórico!$A336),ISNUMBER(Histórico!C336),Histórico!C336&gt;0),Histórico!C336,R335)</f>
        <v>64.73</v>
      </c>
      <c r="S336" s="17">
        <f>IF(AND(ISNUMBER(Histórico!$A336),ISNUMBER(Histórico!D336),Histórico!D336&gt;0),Histórico!D336,S335)</f>
        <v>389.05</v>
      </c>
      <c r="T336" s="18">
        <f>IF(AND(ISNUMBER(Histórico!$A336),ISNUMBER(Histórico!E336),Histórico!E336&gt;0),Histórico!E336,T335)</f>
        <v>5.3744</v>
      </c>
      <c r="U336" s="15">
        <f>IF(ISNUMBER(Histórico!A336),Histórico!A336,U335)</f>
        <v>46324</v>
      </c>
    </row>
    <row r="337" spans="17:21" ht="22.95" customHeight="1">
      <c r="Q337" s="17">
        <f>IF(AND(ISNUMBER(Histórico!$A337),ISNUMBER(Histórico!B337),Histórico!B337&gt;0),Histórico!B337,Q336)</f>
        <v>157.42</v>
      </c>
      <c r="R337" s="17">
        <f>IF(AND(ISNUMBER(Histórico!$A337),ISNUMBER(Histórico!C337),Histórico!C337&gt;0),Histórico!C337,R336)</f>
        <v>64.73</v>
      </c>
      <c r="S337" s="17">
        <f>IF(AND(ISNUMBER(Histórico!$A337),ISNUMBER(Histórico!D337),Histórico!D337&gt;0),Histórico!D337,S336)</f>
        <v>389.05</v>
      </c>
      <c r="T337" s="18">
        <f>IF(AND(ISNUMBER(Histórico!$A337),ISNUMBER(Histórico!E337),Histórico!E337&gt;0),Histórico!E337,T336)</f>
        <v>5.3744</v>
      </c>
      <c r="U337" s="15">
        <f>IF(ISNUMBER(Histórico!A337),Histórico!A337,U336)</f>
        <v>46324</v>
      </c>
    </row>
    <row r="338" spans="17:21" ht="22.95" customHeight="1">
      <c r="Q338" s="17">
        <f>IF(AND(ISNUMBER(Histórico!$A338),ISNUMBER(Histórico!B338),Histórico!B338&gt;0),Histórico!B338,Q337)</f>
        <v>157.42</v>
      </c>
      <c r="R338" s="17">
        <f>IF(AND(ISNUMBER(Histórico!$A338),ISNUMBER(Histórico!C338),Histórico!C338&gt;0),Histórico!C338,R337)</f>
        <v>64.73</v>
      </c>
      <c r="S338" s="17">
        <f>IF(AND(ISNUMBER(Histórico!$A338),ISNUMBER(Histórico!D338),Histórico!D338&gt;0),Histórico!D338,S337)</f>
        <v>389.05</v>
      </c>
      <c r="T338" s="18">
        <f>IF(AND(ISNUMBER(Histórico!$A338),ISNUMBER(Histórico!E338),Histórico!E338&gt;0),Histórico!E338,T337)</f>
        <v>5.3744</v>
      </c>
      <c r="U338" s="15">
        <f>IF(ISNUMBER(Histórico!A338),Histórico!A338,U337)</f>
        <v>46324</v>
      </c>
    </row>
    <row r="339" spans="17:21" ht="22.95" customHeight="1">
      <c r="Q339" s="17">
        <f>IF(AND(ISNUMBER(Histórico!$A339),ISNUMBER(Histórico!B339),Histórico!B339&gt;0),Histórico!B339,Q338)</f>
        <v>157.42</v>
      </c>
      <c r="R339" s="17">
        <f>IF(AND(ISNUMBER(Histórico!$A339),ISNUMBER(Histórico!C339),Histórico!C339&gt;0),Histórico!C339,R338)</f>
        <v>64.73</v>
      </c>
      <c r="S339" s="17">
        <f>IF(AND(ISNUMBER(Histórico!$A339),ISNUMBER(Histórico!D339),Histórico!D339&gt;0),Histórico!D339,S338)</f>
        <v>389.05</v>
      </c>
      <c r="T339" s="18">
        <f>IF(AND(ISNUMBER(Histórico!$A339),ISNUMBER(Histórico!E339),Histórico!E339&gt;0),Histórico!E339,T338)</f>
        <v>5.3744</v>
      </c>
      <c r="U339" s="15">
        <f>IF(ISNUMBER(Histórico!A339),Histórico!A339,U338)</f>
        <v>46324</v>
      </c>
    </row>
    <row r="340" spans="17:21" ht="22.95" customHeight="1">
      <c r="Q340" s="17">
        <f>IF(AND(ISNUMBER(Histórico!$A340),ISNUMBER(Histórico!B340),Histórico!B340&gt;0),Histórico!B340,Q339)</f>
        <v>157.42</v>
      </c>
      <c r="R340" s="17">
        <f>IF(AND(ISNUMBER(Histórico!$A340),ISNUMBER(Histórico!C340),Histórico!C340&gt;0),Histórico!C340,R339)</f>
        <v>64.73</v>
      </c>
      <c r="S340" s="17">
        <f>IF(AND(ISNUMBER(Histórico!$A340),ISNUMBER(Histórico!D340),Histórico!D340&gt;0),Histórico!D340,S339)</f>
        <v>389.05</v>
      </c>
      <c r="T340" s="18">
        <f>IF(AND(ISNUMBER(Histórico!$A340),ISNUMBER(Histórico!E340),Histórico!E340&gt;0),Histórico!E340,T339)</f>
        <v>5.3744</v>
      </c>
      <c r="U340" s="15">
        <f>IF(ISNUMBER(Histórico!A340),Histórico!A340,U339)</f>
        <v>46324</v>
      </c>
    </row>
    <row r="341" spans="17:21" ht="22.95" customHeight="1">
      <c r="Q341" s="17">
        <f>IF(AND(ISNUMBER(Histórico!$A341),ISNUMBER(Histórico!B341),Histórico!B341&gt;0),Histórico!B341,Q340)</f>
        <v>157.42</v>
      </c>
      <c r="R341" s="17">
        <f>IF(AND(ISNUMBER(Histórico!$A341),ISNUMBER(Histórico!C341),Histórico!C341&gt;0),Histórico!C341,R340)</f>
        <v>64.73</v>
      </c>
      <c r="S341" s="17">
        <f>IF(AND(ISNUMBER(Histórico!$A341),ISNUMBER(Histórico!D341),Histórico!D341&gt;0),Histórico!D341,S340)</f>
        <v>389.05</v>
      </c>
      <c r="T341" s="18">
        <f>IF(AND(ISNUMBER(Histórico!$A341),ISNUMBER(Histórico!E341),Histórico!E341&gt;0),Histórico!E341,T340)</f>
        <v>5.3744</v>
      </c>
      <c r="U341" s="15">
        <f>IF(ISNUMBER(Histórico!A341),Histórico!A341,U340)</f>
        <v>46324</v>
      </c>
    </row>
    <row r="342" spans="17:21" ht="22.95" customHeight="1">
      <c r="Q342" s="17">
        <f>IF(AND(ISNUMBER(Histórico!$A342),ISNUMBER(Histórico!B342),Histórico!B342&gt;0),Histórico!B342,Q341)</f>
        <v>157.42</v>
      </c>
      <c r="R342" s="17">
        <f>IF(AND(ISNUMBER(Histórico!$A342),ISNUMBER(Histórico!C342),Histórico!C342&gt;0),Histórico!C342,R341)</f>
        <v>64.73</v>
      </c>
      <c r="S342" s="17">
        <f>IF(AND(ISNUMBER(Histórico!$A342),ISNUMBER(Histórico!D342),Histórico!D342&gt;0),Histórico!D342,S341)</f>
        <v>389.05</v>
      </c>
      <c r="T342" s="18">
        <f>IF(AND(ISNUMBER(Histórico!$A342),ISNUMBER(Histórico!E342),Histórico!E342&gt;0),Histórico!E342,T341)</f>
        <v>5.3744</v>
      </c>
      <c r="U342" s="15">
        <f>IF(ISNUMBER(Histórico!A342),Histórico!A342,U341)</f>
        <v>46324</v>
      </c>
    </row>
    <row r="343" spans="17:21" ht="22.95" customHeight="1">
      <c r="Q343" s="17">
        <f>IF(AND(ISNUMBER(Histórico!$A343),ISNUMBER(Histórico!B343),Histórico!B343&gt;0),Histórico!B343,Q342)</f>
        <v>157.42</v>
      </c>
      <c r="R343" s="17">
        <f>IF(AND(ISNUMBER(Histórico!$A343),ISNUMBER(Histórico!C343),Histórico!C343&gt;0),Histórico!C343,R342)</f>
        <v>64.73</v>
      </c>
      <c r="S343" s="17">
        <f>IF(AND(ISNUMBER(Histórico!$A343),ISNUMBER(Histórico!D343),Histórico!D343&gt;0),Histórico!D343,S342)</f>
        <v>389.05</v>
      </c>
      <c r="T343" s="18">
        <f>IF(AND(ISNUMBER(Histórico!$A343),ISNUMBER(Histórico!E343),Histórico!E343&gt;0),Histórico!E343,T342)</f>
        <v>5.3744</v>
      </c>
      <c r="U343" s="15">
        <f>IF(ISNUMBER(Histórico!A343),Histórico!A343,U342)</f>
        <v>46324</v>
      </c>
    </row>
    <row r="344" spans="17:21" ht="22.95" customHeight="1">
      <c r="Q344" s="17">
        <f>IF(AND(ISNUMBER(Histórico!$A344),ISNUMBER(Histórico!B344),Histórico!B344&gt;0),Histórico!B344,Q343)</f>
        <v>157.42</v>
      </c>
      <c r="R344" s="17">
        <f>IF(AND(ISNUMBER(Histórico!$A344),ISNUMBER(Histórico!C344),Histórico!C344&gt;0),Histórico!C344,R343)</f>
        <v>64.73</v>
      </c>
      <c r="S344" s="17">
        <f>IF(AND(ISNUMBER(Histórico!$A344),ISNUMBER(Histórico!D344),Histórico!D344&gt;0),Histórico!D344,S343)</f>
        <v>389.05</v>
      </c>
      <c r="T344" s="18">
        <f>IF(AND(ISNUMBER(Histórico!$A344),ISNUMBER(Histórico!E344),Histórico!E344&gt;0),Histórico!E344,T343)</f>
        <v>5.3744</v>
      </c>
      <c r="U344" s="15">
        <f>IF(ISNUMBER(Histórico!A344),Histórico!A344,U343)</f>
        <v>46324</v>
      </c>
    </row>
    <row r="345" spans="17:21" ht="22.95" customHeight="1">
      <c r="Q345" s="17">
        <f>IF(AND(ISNUMBER(Histórico!$A345),ISNUMBER(Histórico!B345),Histórico!B345&gt;0),Histórico!B345,Q344)</f>
        <v>157.42</v>
      </c>
      <c r="R345" s="17">
        <f>IF(AND(ISNUMBER(Histórico!$A345),ISNUMBER(Histórico!C345),Histórico!C345&gt;0),Histórico!C345,R344)</f>
        <v>64.73</v>
      </c>
      <c r="S345" s="17">
        <f>IF(AND(ISNUMBER(Histórico!$A345),ISNUMBER(Histórico!D345),Histórico!D345&gt;0),Histórico!D345,S344)</f>
        <v>389.05</v>
      </c>
      <c r="T345" s="18">
        <f>IF(AND(ISNUMBER(Histórico!$A345),ISNUMBER(Histórico!E345),Histórico!E345&gt;0),Histórico!E345,T344)</f>
        <v>5.3744</v>
      </c>
      <c r="U345" s="15">
        <f>IF(ISNUMBER(Histórico!A345),Histórico!A345,U344)</f>
        <v>46324</v>
      </c>
    </row>
    <row r="346" spans="17:21" ht="22.95" customHeight="1">
      <c r="Q346" s="17">
        <f>IF(AND(ISNUMBER(Histórico!$A346),ISNUMBER(Histórico!B346),Histórico!B346&gt;0),Histórico!B346,Q345)</f>
        <v>157.42</v>
      </c>
      <c r="R346" s="17">
        <f>IF(AND(ISNUMBER(Histórico!$A346),ISNUMBER(Histórico!C346),Histórico!C346&gt;0),Histórico!C346,R345)</f>
        <v>64.73</v>
      </c>
      <c r="S346" s="17">
        <f>IF(AND(ISNUMBER(Histórico!$A346),ISNUMBER(Histórico!D346),Histórico!D346&gt;0),Histórico!D346,S345)</f>
        <v>389.05</v>
      </c>
      <c r="T346" s="18">
        <f>IF(AND(ISNUMBER(Histórico!$A346),ISNUMBER(Histórico!E346),Histórico!E346&gt;0),Histórico!E346,T345)</f>
        <v>5.3744</v>
      </c>
      <c r="U346" s="15">
        <f>IF(ISNUMBER(Histórico!A346),Histórico!A346,U345)</f>
        <v>46324</v>
      </c>
    </row>
    <row r="347" spans="17:21" ht="22.95" customHeight="1">
      <c r="Q347" s="17">
        <f>IF(AND(ISNUMBER(Histórico!$A347),ISNUMBER(Histórico!B347),Histórico!B347&gt;0),Histórico!B347,Q346)</f>
        <v>157.42</v>
      </c>
      <c r="R347" s="17">
        <f>IF(AND(ISNUMBER(Histórico!$A347),ISNUMBER(Histórico!C347),Histórico!C347&gt;0),Histórico!C347,R346)</f>
        <v>64.73</v>
      </c>
      <c r="S347" s="17">
        <f>IF(AND(ISNUMBER(Histórico!$A347),ISNUMBER(Histórico!D347),Histórico!D347&gt;0),Histórico!D347,S346)</f>
        <v>389.05</v>
      </c>
      <c r="T347" s="18">
        <f>IF(AND(ISNUMBER(Histórico!$A347),ISNUMBER(Histórico!E347),Histórico!E347&gt;0),Histórico!E347,T346)</f>
        <v>5.3744</v>
      </c>
      <c r="U347" s="15">
        <f>IF(ISNUMBER(Histórico!A347),Histórico!A347,U346)</f>
        <v>46324</v>
      </c>
    </row>
    <row r="348" spans="17:21" ht="22.95" customHeight="1">
      <c r="Q348" s="17">
        <f>IF(AND(ISNUMBER(Histórico!$A348),ISNUMBER(Histórico!B348),Histórico!B348&gt;0),Histórico!B348,Q347)</f>
        <v>157.42</v>
      </c>
      <c r="R348" s="17">
        <f>IF(AND(ISNUMBER(Histórico!$A348),ISNUMBER(Histórico!C348),Histórico!C348&gt;0),Histórico!C348,R347)</f>
        <v>64.73</v>
      </c>
      <c r="S348" s="17">
        <f>IF(AND(ISNUMBER(Histórico!$A348),ISNUMBER(Histórico!D348),Histórico!D348&gt;0),Histórico!D348,S347)</f>
        <v>389.05</v>
      </c>
      <c r="T348" s="18">
        <f>IF(AND(ISNUMBER(Histórico!$A348),ISNUMBER(Histórico!E348),Histórico!E348&gt;0),Histórico!E348,T347)</f>
        <v>5.3744</v>
      </c>
      <c r="U348" s="15">
        <f>IF(ISNUMBER(Histórico!A348),Histórico!A348,U347)</f>
        <v>46324</v>
      </c>
    </row>
    <row r="349" spans="17:21" ht="22.95" customHeight="1">
      <c r="Q349" s="17">
        <f>IF(AND(ISNUMBER(Histórico!$A349),ISNUMBER(Histórico!B349),Histórico!B349&gt;0),Histórico!B349,Q348)</f>
        <v>157.42</v>
      </c>
      <c r="R349" s="17">
        <f>IF(AND(ISNUMBER(Histórico!$A349),ISNUMBER(Histórico!C349),Histórico!C349&gt;0),Histórico!C349,R348)</f>
        <v>64.73</v>
      </c>
      <c r="S349" s="17">
        <f>IF(AND(ISNUMBER(Histórico!$A349),ISNUMBER(Histórico!D349),Histórico!D349&gt;0),Histórico!D349,S348)</f>
        <v>389.05</v>
      </c>
      <c r="T349" s="18">
        <f>IF(AND(ISNUMBER(Histórico!$A349),ISNUMBER(Histórico!E349),Histórico!E349&gt;0),Histórico!E349,T348)</f>
        <v>5.3744</v>
      </c>
      <c r="U349" s="15">
        <f>IF(ISNUMBER(Histórico!A349),Histórico!A349,U348)</f>
        <v>46324</v>
      </c>
    </row>
    <row r="350" spans="17:21" ht="22.95" customHeight="1">
      <c r="Q350" s="17">
        <f>IF(AND(ISNUMBER(Histórico!$A350),ISNUMBER(Histórico!B350),Histórico!B350&gt;0),Histórico!B350,Q349)</f>
        <v>157.42</v>
      </c>
      <c r="R350" s="17">
        <f>IF(AND(ISNUMBER(Histórico!$A350),ISNUMBER(Histórico!C350),Histórico!C350&gt;0),Histórico!C350,R349)</f>
        <v>64.73</v>
      </c>
      <c r="S350" s="17">
        <f>IF(AND(ISNUMBER(Histórico!$A350),ISNUMBER(Histórico!D350),Histórico!D350&gt;0),Histórico!D350,S349)</f>
        <v>389.05</v>
      </c>
      <c r="T350" s="18">
        <f>IF(AND(ISNUMBER(Histórico!$A350),ISNUMBER(Histórico!E350),Histórico!E350&gt;0),Histórico!E350,T349)</f>
        <v>5.3744</v>
      </c>
      <c r="U350" s="15">
        <f>IF(ISNUMBER(Histórico!A350),Histórico!A350,U349)</f>
        <v>46324</v>
      </c>
    </row>
    <row r="351" spans="17:21" ht="22.95" customHeight="1">
      <c r="Q351" s="17">
        <f>IF(AND(ISNUMBER(Histórico!$A351),ISNUMBER(Histórico!B351),Histórico!B351&gt;0),Histórico!B351,Q350)</f>
        <v>157.42</v>
      </c>
      <c r="R351" s="17">
        <f>IF(AND(ISNUMBER(Histórico!$A351),ISNUMBER(Histórico!C351),Histórico!C351&gt;0),Histórico!C351,R350)</f>
        <v>64.73</v>
      </c>
      <c r="S351" s="17">
        <f>IF(AND(ISNUMBER(Histórico!$A351),ISNUMBER(Histórico!D351),Histórico!D351&gt;0),Histórico!D351,S350)</f>
        <v>389.05</v>
      </c>
      <c r="T351" s="18">
        <f>IF(AND(ISNUMBER(Histórico!$A351),ISNUMBER(Histórico!E351),Histórico!E351&gt;0),Histórico!E351,T350)</f>
        <v>5.3744</v>
      </c>
      <c r="U351" s="15">
        <f>IF(ISNUMBER(Histórico!A351),Histórico!A351,U350)</f>
        <v>46324</v>
      </c>
    </row>
    <row r="352" spans="17:21" ht="22.95" customHeight="1">
      <c r="Q352" s="17">
        <f>IF(AND(ISNUMBER(Histórico!$A352),ISNUMBER(Histórico!B352),Histórico!B352&gt;0),Histórico!B352,Q351)</f>
        <v>157.42</v>
      </c>
      <c r="R352" s="17">
        <f>IF(AND(ISNUMBER(Histórico!$A352),ISNUMBER(Histórico!C352),Histórico!C352&gt;0),Histórico!C352,R351)</f>
        <v>64.73</v>
      </c>
      <c r="S352" s="17">
        <f>IF(AND(ISNUMBER(Histórico!$A352),ISNUMBER(Histórico!D352),Histórico!D352&gt;0),Histórico!D352,S351)</f>
        <v>389.05</v>
      </c>
      <c r="T352" s="18">
        <f>IF(AND(ISNUMBER(Histórico!$A352),ISNUMBER(Histórico!E352),Histórico!E352&gt;0),Histórico!E352,T351)</f>
        <v>5.3744</v>
      </c>
      <c r="U352" s="15">
        <f>IF(ISNUMBER(Histórico!A352),Histórico!A352,U351)</f>
        <v>46324</v>
      </c>
    </row>
    <row r="353" spans="17:21" ht="22.95" customHeight="1">
      <c r="Q353" s="17">
        <f>IF(AND(ISNUMBER(Histórico!$A353),ISNUMBER(Histórico!B353),Histórico!B353&gt;0),Histórico!B353,Q352)</f>
        <v>157.42</v>
      </c>
      <c r="R353" s="17">
        <f>IF(AND(ISNUMBER(Histórico!$A353),ISNUMBER(Histórico!C353),Histórico!C353&gt;0),Histórico!C353,R352)</f>
        <v>64.73</v>
      </c>
      <c r="S353" s="17">
        <f>IF(AND(ISNUMBER(Histórico!$A353),ISNUMBER(Histórico!D353),Histórico!D353&gt;0),Histórico!D353,S352)</f>
        <v>389.05</v>
      </c>
      <c r="T353" s="18">
        <f>IF(AND(ISNUMBER(Histórico!$A353),ISNUMBER(Histórico!E353),Histórico!E353&gt;0),Histórico!E353,T352)</f>
        <v>5.3744</v>
      </c>
      <c r="U353" s="15">
        <f>IF(ISNUMBER(Histórico!A353),Histórico!A353,U352)</f>
        <v>46324</v>
      </c>
    </row>
    <row r="354" spans="17:21" ht="22.95" customHeight="1">
      <c r="Q354" s="17">
        <f>IF(AND(ISNUMBER(Histórico!$A354),ISNUMBER(Histórico!B354),Histórico!B354&gt;0),Histórico!B354,Q353)</f>
        <v>157.42</v>
      </c>
      <c r="R354" s="17">
        <f>IF(AND(ISNUMBER(Histórico!$A354),ISNUMBER(Histórico!C354),Histórico!C354&gt;0),Histórico!C354,R353)</f>
        <v>64.73</v>
      </c>
      <c r="S354" s="17">
        <f>IF(AND(ISNUMBER(Histórico!$A354),ISNUMBER(Histórico!D354),Histórico!D354&gt;0),Histórico!D354,S353)</f>
        <v>389.05</v>
      </c>
      <c r="T354" s="18">
        <f>IF(AND(ISNUMBER(Histórico!$A354),ISNUMBER(Histórico!E354),Histórico!E354&gt;0),Histórico!E354,T353)</f>
        <v>5.3744</v>
      </c>
      <c r="U354" s="15">
        <f>IF(ISNUMBER(Histórico!A354),Histórico!A354,U353)</f>
        <v>46324</v>
      </c>
    </row>
    <row r="355" spans="17:21" ht="22.95" customHeight="1">
      <c r="Q355" s="17">
        <f>IF(AND(ISNUMBER(Histórico!$A355),ISNUMBER(Histórico!B355),Histórico!B355&gt;0),Histórico!B355,Q354)</f>
        <v>157.42</v>
      </c>
      <c r="R355" s="17">
        <f>IF(AND(ISNUMBER(Histórico!$A355),ISNUMBER(Histórico!C355),Histórico!C355&gt;0),Histórico!C355,R354)</f>
        <v>64.73</v>
      </c>
      <c r="S355" s="17">
        <f>IF(AND(ISNUMBER(Histórico!$A355),ISNUMBER(Histórico!D355),Histórico!D355&gt;0),Histórico!D355,S354)</f>
        <v>389.05</v>
      </c>
      <c r="T355" s="18">
        <f>IF(AND(ISNUMBER(Histórico!$A355),ISNUMBER(Histórico!E355),Histórico!E355&gt;0),Histórico!E355,T354)</f>
        <v>5.3744</v>
      </c>
      <c r="U355" s="15">
        <f>IF(ISNUMBER(Histórico!A355),Histórico!A355,U354)</f>
        <v>46324</v>
      </c>
    </row>
    <row r="356" spans="17:21" ht="22.95" customHeight="1">
      <c r="Q356" s="17">
        <f>IF(AND(ISNUMBER(Histórico!$A356),ISNUMBER(Histórico!B356),Histórico!B356&gt;0),Histórico!B356,Q355)</f>
        <v>157.42</v>
      </c>
      <c r="R356" s="17">
        <f>IF(AND(ISNUMBER(Histórico!$A356),ISNUMBER(Histórico!C356),Histórico!C356&gt;0),Histórico!C356,R355)</f>
        <v>64.73</v>
      </c>
      <c r="S356" s="17">
        <f>IF(AND(ISNUMBER(Histórico!$A356),ISNUMBER(Histórico!D356),Histórico!D356&gt;0),Histórico!D356,S355)</f>
        <v>389.05</v>
      </c>
      <c r="T356" s="18">
        <f>IF(AND(ISNUMBER(Histórico!$A356),ISNUMBER(Histórico!E356),Histórico!E356&gt;0),Histórico!E356,T355)</f>
        <v>5.3744</v>
      </c>
      <c r="U356" s="15">
        <f>IF(ISNUMBER(Histórico!A356),Histórico!A356,U355)</f>
        <v>46324</v>
      </c>
    </row>
    <row r="357" spans="17:21" ht="22.95" customHeight="1">
      <c r="Q357" s="17">
        <f>IF(AND(ISNUMBER(Histórico!$A357),ISNUMBER(Histórico!B357),Histórico!B357&gt;0),Histórico!B357,Q356)</f>
        <v>157.42</v>
      </c>
      <c r="R357" s="17">
        <f>IF(AND(ISNUMBER(Histórico!$A357),ISNUMBER(Histórico!C357),Histórico!C357&gt;0),Histórico!C357,R356)</f>
        <v>64.73</v>
      </c>
      <c r="S357" s="17">
        <f>IF(AND(ISNUMBER(Histórico!$A357),ISNUMBER(Histórico!D357),Histórico!D357&gt;0),Histórico!D357,S356)</f>
        <v>389.05</v>
      </c>
      <c r="T357" s="18">
        <f>IF(AND(ISNUMBER(Histórico!$A357),ISNUMBER(Histórico!E357),Histórico!E357&gt;0),Histórico!E357,T356)</f>
        <v>5.3744</v>
      </c>
      <c r="U357" s="15">
        <f>IF(ISNUMBER(Histórico!A357),Histórico!A357,U356)</f>
        <v>46324</v>
      </c>
    </row>
    <row r="358" spans="17:21" ht="22.95" customHeight="1">
      <c r="Q358" s="17">
        <f>IF(AND(ISNUMBER(Histórico!$A358),ISNUMBER(Histórico!B358),Histórico!B358&gt;0),Histórico!B358,Q357)</f>
        <v>157.42</v>
      </c>
      <c r="R358" s="17">
        <f>IF(AND(ISNUMBER(Histórico!$A358),ISNUMBER(Histórico!C358),Histórico!C358&gt;0),Histórico!C358,R357)</f>
        <v>64.73</v>
      </c>
      <c r="S358" s="17">
        <f>IF(AND(ISNUMBER(Histórico!$A358),ISNUMBER(Histórico!D358),Histórico!D358&gt;0),Histórico!D358,S357)</f>
        <v>389.05</v>
      </c>
      <c r="T358" s="18">
        <f>IF(AND(ISNUMBER(Histórico!$A358),ISNUMBER(Histórico!E358),Histórico!E358&gt;0),Histórico!E358,T357)</f>
        <v>5.3744</v>
      </c>
      <c r="U358" s="15">
        <f>IF(ISNUMBER(Histórico!A358),Histórico!A358,U357)</f>
        <v>46324</v>
      </c>
    </row>
    <row r="359" spans="17:21" ht="22.95" customHeight="1">
      <c r="Q359" s="17">
        <f>IF(AND(ISNUMBER(Histórico!$A359),ISNUMBER(Histórico!B359),Histórico!B359&gt;0),Histórico!B359,Q358)</f>
        <v>157.42</v>
      </c>
      <c r="R359" s="17">
        <f>IF(AND(ISNUMBER(Histórico!$A359),ISNUMBER(Histórico!C359),Histórico!C359&gt;0),Histórico!C359,R358)</f>
        <v>64.73</v>
      </c>
      <c r="S359" s="17">
        <f>IF(AND(ISNUMBER(Histórico!$A359),ISNUMBER(Histórico!D359),Histórico!D359&gt;0),Histórico!D359,S358)</f>
        <v>389.05</v>
      </c>
      <c r="T359" s="18">
        <f>IF(AND(ISNUMBER(Histórico!$A359),ISNUMBER(Histórico!E359),Histórico!E359&gt;0),Histórico!E359,T358)</f>
        <v>5.3744</v>
      </c>
      <c r="U359" s="15">
        <f>IF(ISNUMBER(Histórico!A359),Histórico!A359,U358)</f>
        <v>46324</v>
      </c>
    </row>
    <row r="360" spans="17:21" ht="22.95" customHeight="1">
      <c r="Q360" s="17">
        <f>IF(AND(ISNUMBER(Histórico!$A360),ISNUMBER(Histórico!B360),Histórico!B360&gt;0),Histórico!B360,Q359)</f>
        <v>157.42</v>
      </c>
      <c r="R360" s="17">
        <f>IF(AND(ISNUMBER(Histórico!$A360),ISNUMBER(Histórico!C360),Histórico!C360&gt;0),Histórico!C360,R359)</f>
        <v>64.73</v>
      </c>
      <c r="S360" s="17">
        <f>IF(AND(ISNUMBER(Histórico!$A360),ISNUMBER(Histórico!D360),Histórico!D360&gt;0),Histórico!D360,S359)</f>
        <v>389.05</v>
      </c>
      <c r="T360" s="18">
        <f>IF(AND(ISNUMBER(Histórico!$A360),ISNUMBER(Histórico!E360),Histórico!E360&gt;0),Histórico!E360,T359)</f>
        <v>5.3744</v>
      </c>
      <c r="U360" s="15">
        <f>IF(ISNUMBER(Histórico!A360),Histórico!A360,U359)</f>
        <v>46324</v>
      </c>
    </row>
    <row r="361" spans="17:21" ht="22.95" customHeight="1">
      <c r="Q361" s="17">
        <f>IF(AND(ISNUMBER(Histórico!$A361),ISNUMBER(Histórico!B361),Histórico!B361&gt;0),Histórico!B361,Q360)</f>
        <v>157.42</v>
      </c>
      <c r="R361" s="17">
        <f>IF(AND(ISNUMBER(Histórico!$A361),ISNUMBER(Histórico!C361),Histórico!C361&gt;0),Histórico!C361,R360)</f>
        <v>64.73</v>
      </c>
      <c r="S361" s="17">
        <f>IF(AND(ISNUMBER(Histórico!$A361),ISNUMBER(Histórico!D361),Histórico!D361&gt;0),Histórico!D361,S360)</f>
        <v>389.05</v>
      </c>
      <c r="T361" s="18">
        <f>IF(AND(ISNUMBER(Histórico!$A361),ISNUMBER(Histórico!E361),Histórico!E361&gt;0),Histórico!E361,T360)</f>
        <v>5.3744</v>
      </c>
      <c r="U361" s="15">
        <f>IF(ISNUMBER(Histórico!A361),Histórico!A361,U360)</f>
        <v>46324</v>
      </c>
    </row>
    <row r="362" spans="17:21" ht="22.95" customHeight="1">
      <c r="Q362" s="17">
        <f>IF(AND(ISNUMBER(Histórico!$A362),ISNUMBER(Histórico!B362),Histórico!B362&gt;0),Histórico!B362,Q361)</f>
        <v>157.42</v>
      </c>
      <c r="R362" s="17">
        <f>IF(AND(ISNUMBER(Histórico!$A362),ISNUMBER(Histórico!C362),Histórico!C362&gt;0),Histórico!C362,R361)</f>
        <v>64.73</v>
      </c>
      <c r="S362" s="17">
        <f>IF(AND(ISNUMBER(Histórico!$A362),ISNUMBER(Histórico!D362),Histórico!D362&gt;0),Histórico!D362,S361)</f>
        <v>389.05</v>
      </c>
      <c r="T362" s="18">
        <f>IF(AND(ISNUMBER(Histórico!$A362),ISNUMBER(Histórico!E362),Histórico!E362&gt;0),Histórico!E362,T361)</f>
        <v>5.3744</v>
      </c>
      <c r="U362" s="15">
        <f>IF(ISNUMBER(Histórico!A362),Histórico!A362,U361)</f>
        <v>46324</v>
      </c>
    </row>
    <row r="363" spans="17:21" ht="22.95" customHeight="1">
      <c r="Q363" s="17">
        <f>IF(AND(ISNUMBER(Histórico!$A363),ISNUMBER(Histórico!B363),Histórico!B363&gt;0),Histórico!B363,Q362)</f>
        <v>157.42</v>
      </c>
      <c r="R363" s="17">
        <f>IF(AND(ISNUMBER(Histórico!$A363),ISNUMBER(Histórico!C363),Histórico!C363&gt;0),Histórico!C363,R362)</f>
        <v>64.73</v>
      </c>
      <c r="S363" s="17">
        <f>IF(AND(ISNUMBER(Histórico!$A363),ISNUMBER(Histórico!D363),Histórico!D363&gt;0),Histórico!D363,S362)</f>
        <v>389.05</v>
      </c>
      <c r="T363" s="18">
        <f>IF(AND(ISNUMBER(Histórico!$A363),ISNUMBER(Histórico!E363),Histórico!E363&gt;0),Histórico!E363,T362)</f>
        <v>5.3744</v>
      </c>
      <c r="U363" s="15">
        <f>IF(ISNUMBER(Histórico!A363),Histórico!A363,U362)</f>
        <v>46324</v>
      </c>
    </row>
    <row r="364" spans="17:21" ht="22.95" customHeight="1">
      <c r="Q364" s="17">
        <f>IF(AND(ISNUMBER(Histórico!$A364),ISNUMBER(Histórico!B364),Histórico!B364&gt;0),Histórico!B364,Q363)</f>
        <v>157.42</v>
      </c>
      <c r="R364" s="17">
        <f>IF(AND(ISNUMBER(Histórico!$A364),ISNUMBER(Histórico!C364),Histórico!C364&gt;0),Histórico!C364,R363)</f>
        <v>64.73</v>
      </c>
      <c r="S364" s="17">
        <f>IF(AND(ISNUMBER(Histórico!$A364),ISNUMBER(Histórico!D364),Histórico!D364&gt;0),Histórico!D364,S363)</f>
        <v>389.05</v>
      </c>
      <c r="T364" s="18">
        <f>IF(AND(ISNUMBER(Histórico!$A364),ISNUMBER(Histórico!E364),Histórico!E364&gt;0),Histórico!E364,T363)</f>
        <v>5.3744</v>
      </c>
      <c r="U364" s="15">
        <f>IF(ISNUMBER(Histórico!A364),Histórico!A364,U363)</f>
        <v>46324</v>
      </c>
    </row>
    <row r="365" spans="17:21" ht="22.95" customHeight="1">
      <c r="Q365" s="17">
        <f>IF(AND(ISNUMBER(Histórico!$A365),ISNUMBER(Histórico!B365),Histórico!B365&gt;0),Histórico!B365,Q364)</f>
        <v>157.42</v>
      </c>
      <c r="R365" s="17">
        <f>IF(AND(ISNUMBER(Histórico!$A365),ISNUMBER(Histórico!C365),Histórico!C365&gt;0),Histórico!C365,R364)</f>
        <v>64.73</v>
      </c>
      <c r="S365" s="17">
        <f>IF(AND(ISNUMBER(Histórico!$A365),ISNUMBER(Histórico!D365),Histórico!D365&gt;0),Histórico!D365,S364)</f>
        <v>389.05</v>
      </c>
      <c r="T365" s="18">
        <f>IF(AND(ISNUMBER(Histórico!$A365),ISNUMBER(Histórico!E365),Histórico!E365&gt;0),Histórico!E365,T364)</f>
        <v>5.3744</v>
      </c>
      <c r="U365" s="15">
        <f>IF(ISNUMBER(Histórico!A365),Histórico!A365,U364)</f>
        <v>46324</v>
      </c>
    </row>
    <row r="366" spans="17:21" ht="22.95" customHeight="1">
      <c r="Q366" s="17">
        <f>IF(AND(ISNUMBER(Histórico!$A366),ISNUMBER(Histórico!B366),Histórico!B366&gt;0),Histórico!B366,Q365)</f>
        <v>157.42</v>
      </c>
      <c r="R366" s="17">
        <f>IF(AND(ISNUMBER(Histórico!$A366),ISNUMBER(Histórico!C366),Histórico!C366&gt;0),Histórico!C366,R365)</f>
        <v>64.73</v>
      </c>
      <c r="S366" s="17">
        <f>IF(AND(ISNUMBER(Histórico!$A366),ISNUMBER(Histórico!D366),Histórico!D366&gt;0),Histórico!D366,S365)</f>
        <v>389.05</v>
      </c>
      <c r="T366" s="18">
        <f>IF(AND(ISNUMBER(Histórico!$A366),ISNUMBER(Histórico!E366),Histórico!E366&gt;0),Histórico!E366,T365)</f>
        <v>5.3744</v>
      </c>
      <c r="U366" s="15">
        <f>IF(ISNUMBER(Histórico!A366),Histórico!A366,U365)</f>
        <v>46324</v>
      </c>
    </row>
    <row r="367" spans="17:21" ht="22.95" customHeight="1">
      <c r="Q367" s="17">
        <f>IF(AND(ISNUMBER(Histórico!$A367),ISNUMBER(Histórico!B367),Histórico!B367&gt;0),Histórico!B367,Q366)</f>
        <v>157.42</v>
      </c>
      <c r="R367" s="17">
        <f>IF(AND(ISNUMBER(Histórico!$A367),ISNUMBER(Histórico!C367),Histórico!C367&gt;0),Histórico!C367,R366)</f>
        <v>64.73</v>
      </c>
      <c r="S367" s="17">
        <f>IF(AND(ISNUMBER(Histórico!$A367),ISNUMBER(Histórico!D367),Histórico!D367&gt;0),Histórico!D367,S366)</f>
        <v>389.05</v>
      </c>
      <c r="T367" s="18">
        <f>IF(AND(ISNUMBER(Histórico!$A367),ISNUMBER(Histórico!E367),Histórico!E367&gt;0),Histórico!E367,T366)</f>
        <v>5.3744</v>
      </c>
      <c r="U367" s="15">
        <f>IF(ISNUMBER(Histórico!A367),Histórico!A367,U366)</f>
        <v>46324</v>
      </c>
    </row>
    <row r="368" spans="17:21" ht="22.95" customHeight="1">
      <c r="Q368" s="17">
        <f>IF(AND(ISNUMBER(Histórico!$A368),ISNUMBER(Histórico!B368),Histórico!B368&gt;0),Histórico!B368,Q367)</f>
        <v>157.42</v>
      </c>
      <c r="R368" s="17">
        <f>IF(AND(ISNUMBER(Histórico!$A368),ISNUMBER(Histórico!C368),Histórico!C368&gt;0),Histórico!C368,R367)</f>
        <v>64.73</v>
      </c>
      <c r="S368" s="17">
        <f>IF(AND(ISNUMBER(Histórico!$A368),ISNUMBER(Histórico!D368),Histórico!D368&gt;0),Histórico!D368,S367)</f>
        <v>389.05</v>
      </c>
      <c r="T368" s="18">
        <f>IF(AND(ISNUMBER(Histórico!$A368),ISNUMBER(Histórico!E368),Histórico!E368&gt;0),Histórico!E368,T367)</f>
        <v>5.3744</v>
      </c>
      <c r="U368" s="15">
        <f>IF(ISNUMBER(Histórico!A368),Histórico!A368,U367)</f>
        <v>46324</v>
      </c>
    </row>
    <row r="369" spans="17:21" ht="22.95" customHeight="1">
      <c r="Q369" s="17">
        <f>IF(AND(ISNUMBER(Histórico!$A369),ISNUMBER(Histórico!B369),Histórico!B369&gt;0),Histórico!B369,Q368)</f>
        <v>157.42</v>
      </c>
      <c r="R369" s="17">
        <f>IF(AND(ISNUMBER(Histórico!$A369),ISNUMBER(Histórico!C369),Histórico!C369&gt;0),Histórico!C369,R368)</f>
        <v>64.73</v>
      </c>
      <c r="S369" s="17">
        <f>IF(AND(ISNUMBER(Histórico!$A369),ISNUMBER(Histórico!D369),Histórico!D369&gt;0),Histórico!D369,S368)</f>
        <v>389.05</v>
      </c>
      <c r="T369" s="18">
        <f>IF(AND(ISNUMBER(Histórico!$A369),ISNUMBER(Histórico!E369),Histórico!E369&gt;0),Histórico!E369,T368)</f>
        <v>5.3744</v>
      </c>
      <c r="U369" s="15">
        <f>IF(ISNUMBER(Histórico!A369),Histórico!A369,U368)</f>
        <v>46324</v>
      </c>
    </row>
    <row r="370" spans="17:21" ht="22.95" customHeight="1">
      <c r="Q370" s="17">
        <f>IF(AND(ISNUMBER(Histórico!$A370),ISNUMBER(Histórico!B370),Histórico!B370&gt;0),Histórico!B370,Q369)</f>
        <v>157.42</v>
      </c>
      <c r="R370" s="17">
        <f>IF(AND(ISNUMBER(Histórico!$A370),ISNUMBER(Histórico!C370),Histórico!C370&gt;0),Histórico!C370,R369)</f>
        <v>64.73</v>
      </c>
      <c r="S370" s="17">
        <f>IF(AND(ISNUMBER(Histórico!$A370),ISNUMBER(Histórico!D370),Histórico!D370&gt;0),Histórico!D370,S369)</f>
        <v>389.05</v>
      </c>
      <c r="T370" s="18">
        <f>IF(AND(ISNUMBER(Histórico!$A370),ISNUMBER(Histórico!E370),Histórico!E370&gt;0),Histórico!E370,T369)</f>
        <v>5.3744</v>
      </c>
      <c r="U370" s="15">
        <f>IF(ISNUMBER(Histórico!A370),Histórico!A370,U369)</f>
        <v>46324</v>
      </c>
    </row>
    <row r="371" spans="17:21" ht="22.95" customHeight="1">
      <c r="Q371" s="17">
        <f>IF(AND(ISNUMBER(Histórico!$A371),ISNUMBER(Histórico!B371),Histórico!B371&gt;0),Histórico!B371,Q370)</f>
        <v>157.42</v>
      </c>
      <c r="R371" s="17">
        <f>IF(AND(ISNUMBER(Histórico!$A371),ISNUMBER(Histórico!C371),Histórico!C371&gt;0),Histórico!C371,R370)</f>
        <v>64.73</v>
      </c>
      <c r="S371" s="17">
        <f>IF(AND(ISNUMBER(Histórico!$A371),ISNUMBER(Histórico!D371),Histórico!D371&gt;0),Histórico!D371,S370)</f>
        <v>389.05</v>
      </c>
      <c r="T371" s="18">
        <f>IF(AND(ISNUMBER(Histórico!$A371),ISNUMBER(Histórico!E371),Histórico!E371&gt;0),Histórico!E371,T370)</f>
        <v>5.3744</v>
      </c>
      <c r="U371" s="15">
        <f>IF(ISNUMBER(Histórico!A371),Histórico!A371,U370)</f>
        <v>46324</v>
      </c>
    </row>
    <row r="372" spans="17:21" ht="22.95" customHeight="1">
      <c r="Q372" s="17">
        <f>IF(AND(ISNUMBER(Histórico!$A372),ISNUMBER(Histórico!B372),Histórico!B372&gt;0),Histórico!B372,Q371)</f>
        <v>157.42</v>
      </c>
      <c r="R372" s="17">
        <f>IF(AND(ISNUMBER(Histórico!$A372),ISNUMBER(Histórico!C372),Histórico!C372&gt;0),Histórico!C372,R371)</f>
        <v>64.73</v>
      </c>
      <c r="S372" s="17">
        <f>IF(AND(ISNUMBER(Histórico!$A372),ISNUMBER(Histórico!D372),Histórico!D372&gt;0),Histórico!D372,S371)</f>
        <v>389.05</v>
      </c>
      <c r="T372" s="18">
        <f>IF(AND(ISNUMBER(Histórico!$A372),ISNUMBER(Histórico!E372),Histórico!E372&gt;0),Histórico!E372,T371)</f>
        <v>5.3744</v>
      </c>
      <c r="U372" s="15">
        <f>IF(ISNUMBER(Histórico!A372),Histórico!A372,U371)</f>
        <v>46324</v>
      </c>
    </row>
    <row r="373" spans="17:21" ht="22.95" customHeight="1">
      <c r="Q373" s="17">
        <f>IF(AND(ISNUMBER(Histórico!$A373),ISNUMBER(Histórico!B373),Histórico!B373&gt;0),Histórico!B373,Q372)</f>
        <v>157.42</v>
      </c>
      <c r="R373" s="17">
        <f>IF(AND(ISNUMBER(Histórico!$A373),ISNUMBER(Histórico!C373),Histórico!C373&gt;0),Histórico!C373,R372)</f>
        <v>64.73</v>
      </c>
      <c r="S373" s="17">
        <f>IF(AND(ISNUMBER(Histórico!$A373),ISNUMBER(Histórico!D373),Histórico!D373&gt;0),Histórico!D373,S372)</f>
        <v>389.05</v>
      </c>
      <c r="T373" s="18">
        <f>IF(AND(ISNUMBER(Histórico!$A373),ISNUMBER(Histórico!E373),Histórico!E373&gt;0),Histórico!E373,T372)</f>
        <v>5.3744</v>
      </c>
      <c r="U373" s="15">
        <f>IF(ISNUMBER(Histórico!A373),Histórico!A373,U372)</f>
        <v>46324</v>
      </c>
    </row>
    <row r="374" spans="17:21" ht="22.95" customHeight="1">
      <c r="Q374" s="17">
        <f>IF(AND(ISNUMBER(Histórico!$A374),ISNUMBER(Histórico!B374),Histórico!B374&gt;0),Histórico!B374,Q373)</f>
        <v>157.42</v>
      </c>
      <c r="R374" s="17">
        <f>IF(AND(ISNUMBER(Histórico!$A374),ISNUMBER(Histórico!C374),Histórico!C374&gt;0),Histórico!C374,R373)</f>
        <v>64.73</v>
      </c>
      <c r="S374" s="17">
        <f>IF(AND(ISNUMBER(Histórico!$A374),ISNUMBER(Histórico!D374),Histórico!D374&gt;0),Histórico!D374,S373)</f>
        <v>389.05</v>
      </c>
      <c r="T374" s="18">
        <f>IF(AND(ISNUMBER(Histórico!$A374),ISNUMBER(Histórico!E374),Histórico!E374&gt;0),Histórico!E374,T373)</f>
        <v>5.3744</v>
      </c>
      <c r="U374" s="15">
        <f>IF(ISNUMBER(Histórico!A374),Histórico!A374,U373)</f>
        <v>46324</v>
      </c>
    </row>
    <row r="375" spans="17:21" ht="22.95" customHeight="1">
      <c r="Q375" s="17">
        <f>IF(AND(ISNUMBER(Histórico!$A375),ISNUMBER(Histórico!B375),Histórico!B375&gt;0),Histórico!B375,Q374)</f>
        <v>157.42</v>
      </c>
      <c r="R375" s="17">
        <f>IF(AND(ISNUMBER(Histórico!$A375),ISNUMBER(Histórico!C375),Histórico!C375&gt;0),Histórico!C375,R374)</f>
        <v>64.73</v>
      </c>
      <c r="S375" s="17">
        <f>IF(AND(ISNUMBER(Histórico!$A375),ISNUMBER(Histórico!D375),Histórico!D375&gt;0),Histórico!D375,S374)</f>
        <v>389.05</v>
      </c>
      <c r="T375" s="18">
        <f>IF(AND(ISNUMBER(Histórico!$A375),ISNUMBER(Histórico!E375),Histórico!E375&gt;0),Histórico!E375,T374)</f>
        <v>5.3744</v>
      </c>
      <c r="U375" s="15">
        <f>IF(ISNUMBER(Histórico!A375),Histórico!A375,U374)</f>
        <v>46324</v>
      </c>
    </row>
    <row r="376" spans="17:21" ht="22.95" customHeight="1">
      <c r="Q376" s="17">
        <f>IF(AND(ISNUMBER(Histórico!$A376),ISNUMBER(Histórico!B376),Histórico!B376&gt;0),Histórico!B376,Q375)</f>
        <v>157.42</v>
      </c>
      <c r="R376" s="17">
        <f>IF(AND(ISNUMBER(Histórico!$A376),ISNUMBER(Histórico!C376),Histórico!C376&gt;0),Histórico!C376,R375)</f>
        <v>64.73</v>
      </c>
      <c r="S376" s="17">
        <f>IF(AND(ISNUMBER(Histórico!$A376),ISNUMBER(Histórico!D376),Histórico!D376&gt;0),Histórico!D376,S375)</f>
        <v>389.05</v>
      </c>
      <c r="T376" s="18">
        <f>IF(AND(ISNUMBER(Histórico!$A376),ISNUMBER(Histórico!E376),Histórico!E376&gt;0),Histórico!E376,T375)</f>
        <v>5.3744</v>
      </c>
      <c r="U376" s="15">
        <f>IF(ISNUMBER(Histórico!A376),Histórico!A376,U375)</f>
        <v>46324</v>
      </c>
    </row>
    <row r="377" spans="17:21" ht="22.95" customHeight="1">
      <c r="Q377" s="17">
        <f>IF(AND(ISNUMBER(Histórico!$A377),ISNUMBER(Histórico!B377),Histórico!B377&gt;0),Histórico!B377,Q376)</f>
        <v>157.42</v>
      </c>
      <c r="R377" s="17">
        <f>IF(AND(ISNUMBER(Histórico!$A377),ISNUMBER(Histórico!C377),Histórico!C377&gt;0),Histórico!C377,R376)</f>
        <v>64.73</v>
      </c>
      <c r="S377" s="17">
        <f>IF(AND(ISNUMBER(Histórico!$A377),ISNUMBER(Histórico!D377),Histórico!D377&gt;0),Histórico!D377,S376)</f>
        <v>389.05</v>
      </c>
      <c r="T377" s="18">
        <f>IF(AND(ISNUMBER(Histórico!$A377),ISNUMBER(Histórico!E377),Histórico!E377&gt;0),Histórico!E377,T376)</f>
        <v>5.3744</v>
      </c>
      <c r="U377" s="15">
        <f>IF(ISNUMBER(Histórico!A377),Histórico!A377,U376)</f>
        <v>46324</v>
      </c>
    </row>
    <row r="378" spans="17:21" ht="22.95" customHeight="1">
      <c r="Q378" s="17">
        <f>IF(AND(ISNUMBER(Histórico!$A378),ISNUMBER(Histórico!B378),Histórico!B378&gt;0),Histórico!B378,Q377)</f>
        <v>157.42</v>
      </c>
      <c r="R378" s="17">
        <f>IF(AND(ISNUMBER(Histórico!$A378),ISNUMBER(Histórico!C378),Histórico!C378&gt;0),Histórico!C378,R377)</f>
        <v>64.73</v>
      </c>
      <c r="S378" s="17">
        <f>IF(AND(ISNUMBER(Histórico!$A378),ISNUMBER(Histórico!D378),Histórico!D378&gt;0),Histórico!D378,S377)</f>
        <v>389.05</v>
      </c>
      <c r="T378" s="18">
        <f>IF(AND(ISNUMBER(Histórico!$A378),ISNUMBER(Histórico!E378),Histórico!E378&gt;0),Histórico!E378,T377)</f>
        <v>5.3744</v>
      </c>
      <c r="U378" s="15">
        <f>IF(ISNUMBER(Histórico!A378),Histórico!A378,U377)</f>
        <v>46324</v>
      </c>
    </row>
    <row r="379" spans="17:21" ht="22.95" customHeight="1">
      <c r="Q379" s="17">
        <f>IF(AND(ISNUMBER(Histórico!$A379),ISNUMBER(Histórico!B379),Histórico!B379&gt;0),Histórico!B379,Q378)</f>
        <v>157.42</v>
      </c>
      <c r="R379" s="17">
        <f>IF(AND(ISNUMBER(Histórico!$A379),ISNUMBER(Histórico!C379),Histórico!C379&gt;0),Histórico!C379,R378)</f>
        <v>64.73</v>
      </c>
      <c r="S379" s="17">
        <f>IF(AND(ISNUMBER(Histórico!$A379),ISNUMBER(Histórico!D379),Histórico!D379&gt;0),Histórico!D379,S378)</f>
        <v>389.05</v>
      </c>
      <c r="T379" s="18">
        <f>IF(AND(ISNUMBER(Histórico!$A379),ISNUMBER(Histórico!E379),Histórico!E379&gt;0),Histórico!E379,T378)</f>
        <v>5.3744</v>
      </c>
      <c r="U379" s="15">
        <f>IF(ISNUMBER(Histórico!A379),Histórico!A379,U378)</f>
        <v>46324</v>
      </c>
    </row>
    <row r="380" spans="17:21" ht="22.95" customHeight="1">
      <c r="Q380" s="17">
        <f>IF(AND(ISNUMBER(Histórico!$A380),ISNUMBER(Histórico!B380),Histórico!B380&gt;0),Histórico!B380,Q379)</f>
        <v>157.42</v>
      </c>
      <c r="R380" s="17">
        <f>IF(AND(ISNUMBER(Histórico!$A380),ISNUMBER(Histórico!C380),Histórico!C380&gt;0),Histórico!C380,R379)</f>
        <v>64.73</v>
      </c>
      <c r="S380" s="17">
        <f>IF(AND(ISNUMBER(Histórico!$A380),ISNUMBER(Histórico!D380),Histórico!D380&gt;0),Histórico!D380,S379)</f>
        <v>389.05</v>
      </c>
      <c r="T380" s="18">
        <f>IF(AND(ISNUMBER(Histórico!$A380),ISNUMBER(Histórico!E380),Histórico!E380&gt;0),Histórico!E380,T379)</f>
        <v>5.3744</v>
      </c>
      <c r="U380" s="15">
        <f>IF(ISNUMBER(Histórico!A380),Histórico!A380,U379)</f>
        <v>46324</v>
      </c>
    </row>
    <row r="381" spans="17:21" ht="22.95" customHeight="1">
      <c r="Q381" s="17">
        <f>IF(AND(ISNUMBER(Histórico!$A381),ISNUMBER(Histórico!B381),Histórico!B381&gt;0),Histórico!B381,Q380)</f>
        <v>157.42</v>
      </c>
      <c r="R381" s="17">
        <f>IF(AND(ISNUMBER(Histórico!$A381),ISNUMBER(Histórico!C381),Histórico!C381&gt;0),Histórico!C381,R380)</f>
        <v>64.73</v>
      </c>
      <c r="S381" s="17">
        <f>IF(AND(ISNUMBER(Histórico!$A381),ISNUMBER(Histórico!D381),Histórico!D381&gt;0),Histórico!D381,S380)</f>
        <v>389.05</v>
      </c>
      <c r="T381" s="18">
        <f>IF(AND(ISNUMBER(Histórico!$A381),ISNUMBER(Histórico!E381),Histórico!E381&gt;0),Histórico!E381,T380)</f>
        <v>5.3744</v>
      </c>
      <c r="U381" s="15">
        <f>IF(ISNUMBER(Histórico!A381),Histórico!A381,U380)</f>
        <v>46324</v>
      </c>
    </row>
    <row r="382" spans="17:21" ht="22.95" customHeight="1">
      <c r="Q382" s="17">
        <f>IF(AND(ISNUMBER(Histórico!$A382),ISNUMBER(Histórico!B382),Histórico!B382&gt;0),Histórico!B382,Q381)</f>
        <v>157.42</v>
      </c>
      <c r="R382" s="17">
        <f>IF(AND(ISNUMBER(Histórico!$A382),ISNUMBER(Histórico!C382),Histórico!C382&gt;0),Histórico!C382,R381)</f>
        <v>64.73</v>
      </c>
      <c r="S382" s="17">
        <f>IF(AND(ISNUMBER(Histórico!$A382),ISNUMBER(Histórico!D382),Histórico!D382&gt;0),Histórico!D382,S381)</f>
        <v>389.05</v>
      </c>
      <c r="T382" s="18">
        <f>IF(AND(ISNUMBER(Histórico!$A382),ISNUMBER(Histórico!E382),Histórico!E382&gt;0),Histórico!E382,T381)</f>
        <v>5.3744</v>
      </c>
      <c r="U382" s="15">
        <f>IF(ISNUMBER(Histórico!A382),Histórico!A382,U381)</f>
        <v>46324</v>
      </c>
    </row>
    <row r="383" spans="17:21" ht="22.95" customHeight="1">
      <c r="Q383" s="17">
        <f>IF(AND(ISNUMBER(Histórico!$A383),ISNUMBER(Histórico!B383),Histórico!B383&gt;0),Histórico!B383,Q382)</f>
        <v>157.42</v>
      </c>
      <c r="R383" s="17">
        <f>IF(AND(ISNUMBER(Histórico!$A383),ISNUMBER(Histórico!C383),Histórico!C383&gt;0),Histórico!C383,R382)</f>
        <v>64.73</v>
      </c>
      <c r="S383" s="17">
        <f>IF(AND(ISNUMBER(Histórico!$A383),ISNUMBER(Histórico!D383),Histórico!D383&gt;0),Histórico!D383,S382)</f>
        <v>389.05</v>
      </c>
      <c r="T383" s="18">
        <f>IF(AND(ISNUMBER(Histórico!$A383),ISNUMBER(Histórico!E383),Histórico!E383&gt;0),Histórico!E383,T382)</f>
        <v>5.3744</v>
      </c>
      <c r="U383" s="15">
        <f>IF(ISNUMBER(Histórico!A383),Histórico!A383,U382)</f>
        <v>46324</v>
      </c>
    </row>
    <row r="384" spans="17:21" ht="22.95" customHeight="1">
      <c r="Q384" s="17">
        <f>IF(AND(ISNUMBER(Histórico!$A384),ISNUMBER(Histórico!B384),Histórico!B384&gt;0),Histórico!B384,Q383)</f>
        <v>157.42</v>
      </c>
      <c r="R384" s="17">
        <f>IF(AND(ISNUMBER(Histórico!$A384),ISNUMBER(Histórico!C384),Histórico!C384&gt;0),Histórico!C384,R383)</f>
        <v>64.73</v>
      </c>
      <c r="S384" s="17">
        <f>IF(AND(ISNUMBER(Histórico!$A384),ISNUMBER(Histórico!D384),Histórico!D384&gt;0),Histórico!D384,S383)</f>
        <v>389.05</v>
      </c>
      <c r="T384" s="18">
        <f>IF(AND(ISNUMBER(Histórico!$A384),ISNUMBER(Histórico!E384),Histórico!E384&gt;0),Histórico!E384,T383)</f>
        <v>5.3744</v>
      </c>
      <c r="U384" s="15">
        <f>IF(ISNUMBER(Histórico!A384),Histórico!A384,U383)</f>
        <v>46324</v>
      </c>
    </row>
    <row r="385" spans="17:21" ht="22.95" customHeight="1">
      <c r="Q385" s="17">
        <f>IF(AND(ISNUMBER(Histórico!$A385),ISNUMBER(Histórico!B385),Histórico!B385&gt;0),Histórico!B385,Q384)</f>
        <v>157.42</v>
      </c>
      <c r="R385" s="17">
        <f>IF(AND(ISNUMBER(Histórico!$A385),ISNUMBER(Histórico!C385),Histórico!C385&gt;0),Histórico!C385,R384)</f>
        <v>64.73</v>
      </c>
      <c r="S385" s="17">
        <f>IF(AND(ISNUMBER(Histórico!$A385),ISNUMBER(Histórico!D385),Histórico!D385&gt;0),Histórico!D385,S384)</f>
        <v>389.05</v>
      </c>
      <c r="T385" s="18">
        <f>IF(AND(ISNUMBER(Histórico!$A385),ISNUMBER(Histórico!E385),Histórico!E385&gt;0),Histórico!E385,T384)</f>
        <v>5.3744</v>
      </c>
      <c r="U385" s="15">
        <f>IF(ISNUMBER(Histórico!A385),Histórico!A385,U384)</f>
        <v>46324</v>
      </c>
    </row>
    <row r="386" spans="17:21" ht="22.95" customHeight="1">
      <c r="Q386" s="17">
        <f>IF(AND(ISNUMBER(Histórico!$A386),ISNUMBER(Histórico!B386),Histórico!B386&gt;0),Histórico!B386,Q385)</f>
        <v>157.42</v>
      </c>
      <c r="R386" s="17">
        <f>IF(AND(ISNUMBER(Histórico!$A386),ISNUMBER(Histórico!C386),Histórico!C386&gt;0),Histórico!C386,R385)</f>
        <v>64.73</v>
      </c>
      <c r="S386" s="17">
        <f>IF(AND(ISNUMBER(Histórico!$A386),ISNUMBER(Histórico!D386),Histórico!D386&gt;0),Histórico!D386,S385)</f>
        <v>389.05</v>
      </c>
      <c r="T386" s="18">
        <f>IF(AND(ISNUMBER(Histórico!$A386),ISNUMBER(Histórico!E386),Histórico!E386&gt;0),Histórico!E386,T385)</f>
        <v>5.3744</v>
      </c>
      <c r="U386" s="15">
        <f>IF(ISNUMBER(Histórico!A386),Histórico!A386,U385)</f>
        <v>46324</v>
      </c>
    </row>
    <row r="387" spans="17:21" ht="22.95" customHeight="1">
      <c r="Q387" s="17">
        <f>IF(AND(ISNUMBER(Histórico!$A387),ISNUMBER(Histórico!B387),Histórico!B387&gt;0),Histórico!B387,Q386)</f>
        <v>157.42</v>
      </c>
      <c r="R387" s="17">
        <f>IF(AND(ISNUMBER(Histórico!$A387),ISNUMBER(Histórico!C387),Histórico!C387&gt;0),Histórico!C387,R386)</f>
        <v>64.73</v>
      </c>
      <c r="S387" s="17">
        <f>IF(AND(ISNUMBER(Histórico!$A387),ISNUMBER(Histórico!D387),Histórico!D387&gt;0),Histórico!D387,S386)</f>
        <v>389.05</v>
      </c>
      <c r="T387" s="18">
        <f>IF(AND(ISNUMBER(Histórico!$A387),ISNUMBER(Histórico!E387),Histórico!E387&gt;0),Histórico!E387,T386)</f>
        <v>5.3744</v>
      </c>
      <c r="U387" s="15">
        <f>IF(ISNUMBER(Histórico!A387),Histórico!A387,U386)</f>
        <v>46324</v>
      </c>
    </row>
    <row r="388" spans="17:21" ht="22.95" customHeight="1">
      <c r="Q388" s="17">
        <f>IF(AND(ISNUMBER(Histórico!$A388),ISNUMBER(Histórico!B388),Histórico!B388&gt;0),Histórico!B388,Q387)</f>
        <v>157.42</v>
      </c>
      <c r="R388" s="17">
        <f>IF(AND(ISNUMBER(Histórico!$A388),ISNUMBER(Histórico!C388),Histórico!C388&gt;0),Histórico!C388,R387)</f>
        <v>64.73</v>
      </c>
      <c r="S388" s="17">
        <f>IF(AND(ISNUMBER(Histórico!$A388),ISNUMBER(Histórico!D388),Histórico!D388&gt;0),Histórico!D388,S387)</f>
        <v>389.05</v>
      </c>
      <c r="T388" s="18">
        <f>IF(AND(ISNUMBER(Histórico!$A388),ISNUMBER(Histórico!E388),Histórico!E388&gt;0),Histórico!E388,T387)</f>
        <v>5.3744</v>
      </c>
      <c r="U388" s="15">
        <f>IF(ISNUMBER(Histórico!A388),Histórico!A388,U387)</f>
        <v>46324</v>
      </c>
    </row>
    <row r="389" spans="17:21" ht="22.95" customHeight="1">
      <c r="Q389" s="17">
        <f>IF(AND(ISNUMBER(Histórico!$A389),ISNUMBER(Histórico!B389),Histórico!B389&gt;0),Histórico!B389,Q388)</f>
        <v>157.42</v>
      </c>
      <c r="R389" s="17">
        <f>IF(AND(ISNUMBER(Histórico!$A389),ISNUMBER(Histórico!C389),Histórico!C389&gt;0),Histórico!C389,R388)</f>
        <v>64.73</v>
      </c>
      <c r="S389" s="17">
        <f>IF(AND(ISNUMBER(Histórico!$A389),ISNUMBER(Histórico!D389),Histórico!D389&gt;0),Histórico!D389,S388)</f>
        <v>389.05</v>
      </c>
      <c r="T389" s="18">
        <f>IF(AND(ISNUMBER(Histórico!$A389),ISNUMBER(Histórico!E389),Histórico!E389&gt;0),Histórico!E389,T388)</f>
        <v>5.3744</v>
      </c>
      <c r="U389" s="15">
        <f>IF(ISNUMBER(Histórico!A389),Histórico!A389,U388)</f>
        <v>46324</v>
      </c>
    </row>
    <row r="390" spans="17:21" ht="22.95" customHeight="1">
      <c r="Q390" s="17">
        <f>IF(AND(ISNUMBER(Histórico!$A390),ISNUMBER(Histórico!B390),Histórico!B390&gt;0),Histórico!B390,Q389)</f>
        <v>157.42</v>
      </c>
      <c r="R390" s="17">
        <f>IF(AND(ISNUMBER(Histórico!$A390),ISNUMBER(Histórico!C390),Histórico!C390&gt;0),Histórico!C390,R389)</f>
        <v>64.73</v>
      </c>
      <c r="S390" s="17">
        <f>IF(AND(ISNUMBER(Histórico!$A390),ISNUMBER(Histórico!D390),Histórico!D390&gt;0),Histórico!D390,S389)</f>
        <v>389.05</v>
      </c>
      <c r="T390" s="18">
        <f>IF(AND(ISNUMBER(Histórico!$A390),ISNUMBER(Histórico!E390),Histórico!E390&gt;0),Histórico!E390,T389)</f>
        <v>5.3744</v>
      </c>
      <c r="U390" s="15">
        <f>IF(ISNUMBER(Histórico!A390),Histórico!A390,U389)</f>
        <v>46324</v>
      </c>
    </row>
    <row r="391" spans="17:21" ht="22.95" customHeight="1">
      <c r="Q391" s="17">
        <f>IF(AND(ISNUMBER(Histórico!$A391),ISNUMBER(Histórico!B391),Histórico!B391&gt;0),Histórico!B391,Q390)</f>
        <v>157.42</v>
      </c>
      <c r="R391" s="17">
        <f>IF(AND(ISNUMBER(Histórico!$A391),ISNUMBER(Histórico!C391),Histórico!C391&gt;0),Histórico!C391,R390)</f>
        <v>64.73</v>
      </c>
      <c r="S391" s="17">
        <f>IF(AND(ISNUMBER(Histórico!$A391),ISNUMBER(Histórico!D391),Histórico!D391&gt;0),Histórico!D391,S390)</f>
        <v>389.05</v>
      </c>
      <c r="T391" s="18">
        <f>IF(AND(ISNUMBER(Histórico!$A391),ISNUMBER(Histórico!E391),Histórico!E391&gt;0),Histórico!E391,T390)</f>
        <v>5.3744</v>
      </c>
      <c r="U391" s="15">
        <f>IF(ISNUMBER(Histórico!A391),Histórico!A391,U390)</f>
        <v>46324</v>
      </c>
    </row>
    <row r="392" spans="17:21" ht="22.95" customHeight="1">
      <c r="Q392" s="17">
        <f>IF(AND(ISNUMBER(Histórico!$A392),ISNUMBER(Histórico!B392),Histórico!B392&gt;0),Histórico!B392,Q391)</f>
        <v>157.42</v>
      </c>
      <c r="R392" s="17">
        <f>IF(AND(ISNUMBER(Histórico!$A392),ISNUMBER(Histórico!C392),Histórico!C392&gt;0),Histórico!C392,R391)</f>
        <v>64.73</v>
      </c>
      <c r="S392" s="17">
        <f>IF(AND(ISNUMBER(Histórico!$A392),ISNUMBER(Histórico!D392),Histórico!D392&gt;0),Histórico!D392,S391)</f>
        <v>389.05</v>
      </c>
      <c r="T392" s="18">
        <f>IF(AND(ISNUMBER(Histórico!$A392),ISNUMBER(Histórico!E392),Histórico!E392&gt;0),Histórico!E392,T391)</f>
        <v>5.3744</v>
      </c>
      <c r="U392" s="15">
        <f>IF(ISNUMBER(Histórico!A392),Histórico!A392,U391)</f>
        <v>46324</v>
      </c>
    </row>
    <row r="393" spans="17:21" ht="22.95" customHeight="1">
      <c r="Q393" s="17">
        <f>IF(AND(ISNUMBER(Histórico!$A393),ISNUMBER(Histórico!B393),Histórico!B393&gt;0),Histórico!B393,Q392)</f>
        <v>157.42</v>
      </c>
      <c r="R393" s="17">
        <f>IF(AND(ISNUMBER(Histórico!$A393),ISNUMBER(Histórico!C393),Histórico!C393&gt;0),Histórico!C393,R392)</f>
        <v>64.73</v>
      </c>
      <c r="S393" s="17">
        <f>IF(AND(ISNUMBER(Histórico!$A393),ISNUMBER(Histórico!D393),Histórico!D393&gt;0),Histórico!D393,S392)</f>
        <v>389.05</v>
      </c>
      <c r="T393" s="18">
        <f>IF(AND(ISNUMBER(Histórico!$A393),ISNUMBER(Histórico!E393),Histórico!E393&gt;0),Histórico!E393,T392)</f>
        <v>5.3744</v>
      </c>
      <c r="U393" s="15">
        <f>IF(ISNUMBER(Histórico!A393),Histórico!A393,U392)</f>
        <v>46324</v>
      </c>
    </row>
    <row r="394" spans="17:21" ht="22.95" customHeight="1">
      <c r="Q394" s="17">
        <f>IF(AND(ISNUMBER(Histórico!$A394),ISNUMBER(Histórico!B394),Histórico!B394&gt;0),Histórico!B394,Q393)</f>
        <v>157.42</v>
      </c>
      <c r="R394" s="17">
        <f>IF(AND(ISNUMBER(Histórico!$A394),ISNUMBER(Histórico!C394),Histórico!C394&gt;0),Histórico!C394,R393)</f>
        <v>64.73</v>
      </c>
      <c r="S394" s="17">
        <f>IF(AND(ISNUMBER(Histórico!$A394),ISNUMBER(Histórico!D394),Histórico!D394&gt;0),Histórico!D394,S393)</f>
        <v>389.05</v>
      </c>
      <c r="T394" s="18">
        <f>IF(AND(ISNUMBER(Histórico!$A394),ISNUMBER(Histórico!E394),Histórico!E394&gt;0),Histórico!E394,T393)</f>
        <v>5.3744</v>
      </c>
      <c r="U394" s="15">
        <f>IF(ISNUMBER(Histórico!A394),Histórico!A394,U393)</f>
        <v>46324</v>
      </c>
    </row>
    <row r="395" spans="17:21" ht="22.95" customHeight="1">
      <c r="Q395" s="17">
        <f>IF(AND(ISNUMBER(Histórico!$A395),ISNUMBER(Histórico!B395),Histórico!B395&gt;0),Histórico!B395,Q394)</f>
        <v>157.42</v>
      </c>
      <c r="R395" s="17">
        <f>IF(AND(ISNUMBER(Histórico!$A395),ISNUMBER(Histórico!C395),Histórico!C395&gt;0),Histórico!C395,R394)</f>
        <v>64.73</v>
      </c>
      <c r="S395" s="17">
        <f>IF(AND(ISNUMBER(Histórico!$A395),ISNUMBER(Histórico!D395),Histórico!D395&gt;0),Histórico!D395,S394)</f>
        <v>389.05</v>
      </c>
      <c r="T395" s="18">
        <f>IF(AND(ISNUMBER(Histórico!$A395),ISNUMBER(Histórico!E395),Histórico!E395&gt;0),Histórico!E395,T394)</f>
        <v>5.3744</v>
      </c>
      <c r="U395" s="15">
        <f>IF(ISNUMBER(Histórico!A395),Histórico!A395,U394)</f>
        <v>46324</v>
      </c>
    </row>
    <row r="396" spans="17:21" ht="22.95" customHeight="1">
      <c r="Q396" s="17">
        <f>IF(AND(ISNUMBER(Histórico!$A396),ISNUMBER(Histórico!B396),Histórico!B396&gt;0),Histórico!B396,Q395)</f>
        <v>157.42</v>
      </c>
      <c r="R396" s="17">
        <f>IF(AND(ISNUMBER(Histórico!$A396),ISNUMBER(Histórico!C396),Histórico!C396&gt;0),Histórico!C396,R395)</f>
        <v>64.73</v>
      </c>
      <c r="S396" s="17">
        <f>IF(AND(ISNUMBER(Histórico!$A396),ISNUMBER(Histórico!D396),Histórico!D396&gt;0),Histórico!D396,S395)</f>
        <v>389.05</v>
      </c>
      <c r="T396" s="18">
        <f>IF(AND(ISNUMBER(Histórico!$A396),ISNUMBER(Histórico!E396),Histórico!E396&gt;0),Histórico!E396,T395)</f>
        <v>5.3744</v>
      </c>
      <c r="U396" s="15">
        <f>IF(ISNUMBER(Histórico!A396),Histórico!A396,U395)</f>
        <v>46324</v>
      </c>
    </row>
    <row r="397" spans="17:21" ht="22.95" customHeight="1">
      <c r="Q397" s="17">
        <f>IF(AND(ISNUMBER(Histórico!$A397),ISNUMBER(Histórico!B397),Histórico!B397&gt;0),Histórico!B397,Q396)</f>
        <v>157.42</v>
      </c>
      <c r="R397" s="17">
        <f>IF(AND(ISNUMBER(Histórico!$A397),ISNUMBER(Histórico!C397),Histórico!C397&gt;0),Histórico!C397,R396)</f>
        <v>64.73</v>
      </c>
      <c r="S397" s="17">
        <f>IF(AND(ISNUMBER(Histórico!$A397),ISNUMBER(Histórico!D397),Histórico!D397&gt;0),Histórico!D397,S396)</f>
        <v>389.05</v>
      </c>
      <c r="T397" s="18">
        <f>IF(AND(ISNUMBER(Histórico!$A397),ISNUMBER(Histórico!E397),Histórico!E397&gt;0),Histórico!E397,T396)</f>
        <v>5.3744</v>
      </c>
      <c r="U397" s="15">
        <f>IF(ISNUMBER(Histórico!A397),Histórico!A397,U396)</f>
        <v>46324</v>
      </c>
    </row>
    <row r="398" spans="17:21" ht="22.95" customHeight="1">
      <c r="Q398" s="17">
        <f>IF(AND(ISNUMBER(Histórico!$A398),ISNUMBER(Histórico!B398),Histórico!B398&gt;0),Histórico!B398,Q397)</f>
        <v>157.42</v>
      </c>
      <c r="R398" s="17">
        <f>IF(AND(ISNUMBER(Histórico!$A398),ISNUMBER(Histórico!C398),Histórico!C398&gt;0),Histórico!C398,R397)</f>
        <v>64.73</v>
      </c>
      <c r="S398" s="17">
        <f>IF(AND(ISNUMBER(Histórico!$A398),ISNUMBER(Histórico!D398),Histórico!D398&gt;0),Histórico!D398,S397)</f>
        <v>389.05</v>
      </c>
      <c r="T398" s="18">
        <f>IF(AND(ISNUMBER(Histórico!$A398),ISNUMBER(Histórico!E398),Histórico!E398&gt;0),Histórico!E398,T397)</f>
        <v>5.3744</v>
      </c>
      <c r="U398" s="15">
        <f>IF(ISNUMBER(Histórico!A398),Histórico!A398,U397)</f>
        <v>46324</v>
      </c>
    </row>
    <row r="399" spans="17:21" ht="22.95" customHeight="1">
      <c r="Q399" s="17">
        <f>IF(AND(ISNUMBER(Histórico!$A399),ISNUMBER(Histórico!B399),Histórico!B399&gt;0),Histórico!B399,Q398)</f>
        <v>157.42</v>
      </c>
      <c r="R399" s="17">
        <f>IF(AND(ISNUMBER(Histórico!$A399),ISNUMBER(Histórico!C399),Histórico!C399&gt;0),Histórico!C399,R398)</f>
        <v>64.73</v>
      </c>
      <c r="S399" s="17">
        <f>IF(AND(ISNUMBER(Histórico!$A399),ISNUMBER(Histórico!D399),Histórico!D399&gt;0),Histórico!D399,S398)</f>
        <v>389.05</v>
      </c>
      <c r="T399" s="18">
        <f>IF(AND(ISNUMBER(Histórico!$A399),ISNUMBER(Histórico!E399),Histórico!E399&gt;0),Histórico!E399,T398)</f>
        <v>5.3744</v>
      </c>
      <c r="U399" s="15">
        <f>IF(ISNUMBER(Histórico!A399),Histórico!A399,U398)</f>
        <v>46324</v>
      </c>
    </row>
    <row r="400" spans="17:21" ht="22.95" customHeight="1">
      <c r="Q400" s="17">
        <f>IF(AND(ISNUMBER(Histórico!$A400),ISNUMBER(Histórico!B400),Histórico!B400&gt;0),Histórico!B400,Q399)</f>
        <v>157.42</v>
      </c>
      <c r="R400" s="17">
        <f>IF(AND(ISNUMBER(Histórico!$A400),ISNUMBER(Histórico!C400),Histórico!C400&gt;0),Histórico!C400,R399)</f>
        <v>64.73</v>
      </c>
      <c r="S400" s="17">
        <f>IF(AND(ISNUMBER(Histórico!$A400),ISNUMBER(Histórico!D400),Histórico!D400&gt;0),Histórico!D400,S399)</f>
        <v>389.05</v>
      </c>
      <c r="T400" s="18">
        <f>IF(AND(ISNUMBER(Histórico!$A400),ISNUMBER(Histórico!E400),Histórico!E400&gt;0),Histórico!E400,T399)</f>
        <v>5.3744</v>
      </c>
      <c r="U400" s="15">
        <f>IF(ISNUMBER(Histórico!A400),Histórico!A400,U399)</f>
        <v>46324</v>
      </c>
    </row>
    <row r="401" spans="17:21" ht="22.95" customHeight="1">
      <c r="Q401" s="17">
        <f>IF(AND(ISNUMBER(Histórico!$A401),ISNUMBER(Histórico!B401),Histórico!B401&gt;0),Histórico!B401,Q400)</f>
        <v>157.42</v>
      </c>
      <c r="R401" s="17">
        <f>IF(AND(ISNUMBER(Histórico!$A401),ISNUMBER(Histórico!C401),Histórico!C401&gt;0),Histórico!C401,R400)</f>
        <v>64.73</v>
      </c>
      <c r="S401" s="17">
        <f>IF(AND(ISNUMBER(Histórico!$A401),ISNUMBER(Histórico!D401),Histórico!D401&gt;0),Histórico!D401,S400)</f>
        <v>389.05</v>
      </c>
      <c r="T401" s="18">
        <f>IF(AND(ISNUMBER(Histórico!$A401),ISNUMBER(Histórico!E401),Histórico!E401&gt;0),Histórico!E401,T400)</f>
        <v>5.3744</v>
      </c>
      <c r="U401" s="15">
        <f>IF(ISNUMBER(Histórico!A401),Histórico!A401,U400)</f>
        <v>46324</v>
      </c>
    </row>
    <row r="402" spans="17:21" ht="22.95" customHeight="1">
      <c r="Q402" s="17">
        <f>IF(AND(ISNUMBER(Histórico!$A402),ISNUMBER(Histórico!B402),Histórico!B402&gt;0),Histórico!B402,Q401)</f>
        <v>157.42</v>
      </c>
      <c r="R402" s="17">
        <f>IF(AND(ISNUMBER(Histórico!$A402),ISNUMBER(Histórico!C402),Histórico!C402&gt;0),Histórico!C402,R401)</f>
        <v>64.73</v>
      </c>
      <c r="S402" s="17">
        <f>IF(AND(ISNUMBER(Histórico!$A402),ISNUMBER(Histórico!D402),Histórico!D402&gt;0),Histórico!D402,S401)</f>
        <v>389.05</v>
      </c>
      <c r="T402" s="18">
        <f>IF(AND(ISNUMBER(Histórico!$A402),ISNUMBER(Histórico!E402),Histórico!E402&gt;0),Histórico!E402,T401)</f>
        <v>5.3744</v>
      </c>
      <c r="U402" s="15">
        <f>IF(ISNUMBER(Histórico!A402),Histórico!A402,U401)</f>
        <v>46324</v>
      </c>
    </row>
    <row r="403" spans="17:21" ht="22.95" customHeight="1">
      <c r="Q403" s="17">
        <f>IF(AND(ISNUMBER(Histórico!$A403),ISNUMBER(Histórico!B403),Histórico!B403&gt;0),Histórico!B403,Q402)</f>
        <v>157.42</v>
      </c>
      <c r="R403" s="17">
        <f>IF(AND(ISNUMBER(Histórico!$A403),ISNUMBER(Histórico!C403),Histórico!C403&gt;0),Histórico!C403,R402)</f>
        <v>64.73</v>
      </c>
      <c r="S403" s="17">
        <f>IF(AND(ISNUMBER(Histórico!$A403),ISNUMBER(Histórico!D403),Histórico!D403&gt;0),Histórico!D403,S402)</f>
        <v>389.05</v>
      </c>
      <c r="T403" s="18">
        <f>IF(AND(ISNUMBER(Histórico!$A403),ISNUMBER(Histórico!E403),Histórico!E403&gt;0),Histórico!E403,T402)</f>
        <v>5.3744</v>
      </c>
      <c r="U403" s="15">
        <f>IF(ISNUMBER(Histórico!A403),Histórico!A403,U402)</f>
        <v>46324</v>
      </c>
    </row>
    <row r="404" spans="17:21" ht="22.95" customHeight="1">
      <c r="Q404" s="17">
        <f>IF(AND(ISNUMBER(Histórico!$A404),ISNUMBER(Histórico!B404),Histórico!B404&gt;0),Histórico!B404,Q403)</f>
        <v>157.42</v>
      </c>
      <c r="R404" s="17">
        <f>IF(AND(ISNUMBER(Histórico!$A404),ISNUMBER(Histórico!C404),Histórico!C404&gt;0),Histórico!C404,R403)</f>
        <v>64.73</v>
      </c>
      <c r="S404" s="17">
        <f>IF(AND(ISNUMBER(Histórico!$A404),ISNUMBER(Histórico!D404),Histórico!D404&gt;0),Histórico!D404,S403)</f>
        <v>389.05</v>
      </c>
      <c r="T404" s="18">
        <f>IF(AND(ISNUMBER(Histórico!$A404),ISNUMBER(Histórico!E404),Histórico!E404&gt;0),Histórico!E404,T403)</f>
        <v>5.3744</v>
      </c>
      <c r="U404" s="15">
        <f>IF(ISNUMBER(Histórico!A404),Histórico!A404,U403)</f>
        <v>46324</v>
      </c>
    </row>
    <row r="405" spans="17:21" ht="22.95" customHeight="1">
      <c r="Q405" s="17">
        <f>IF(AND(ISNUMBER(Histórico!$A405),ISNUMBER(Histórico!B405),Histórico!B405&gt;0),Histórico!B405,Q404)</f>
        <v>157.42</v>
      </c>
      <c r="R405" s="17">
        <f>IF(AND(ISNUMBER(Histórico!$A405),ISNUMBER(Histórico!C405),Histórico!C405&gt;0),Histórico!C405,R404)</f>
        <v>64.73</v>
      </c>
      <c r="S405" s="17">
        <f>IF(AND(ISNUMBER(Histórico!$A405),ISNUMBER(Histórico!D405),Histórico!D405&gt;0),Histórico!D405,S404)</f>
        <v>389.05</v>
      </c>
      <c r="T405" s="18">
        <f>IF(AND(ISNUMBER(Histórico!$A405),ISNUMBER(Histórico!E405),Histórico!E405&gt;0),Histórico!E405,T404)</f>
        <v>5.3744</v>
      </c>
      <c r="U405" s="15">
        <f>IF(ISNUMBER(Histórico!A405),Histórico!A405,U404)</f>
        <v>46324</v>
      </c>
    </row>
    <row r="406" spans="17:21" ht="22.95" customHeight="1">
      <c r="Q406" s="17">
        <f>IF(AND(ISNUMBER(Histórico!$A406),ISNUMBER(Histórico!B406),Histórico!B406&gt;0),Histórico!B406,Q405)</f>
        <v>157.42</v>
      </c>
      <c r="R406" s="17">
        <f>IF(AND(ISNUMBER(Histórico!$A406),ISNUMBER(Histórico!C406),Histórico!C406&gt;0),Histórico!C406,R405)</f>
        <v>64.73</v>
      </c>
      <c r="S406" s="17">
        <f>IF(AND(ISNUMBER(Histórico!$A406),ISNUMBER(Histórico!D406),Histórico!D406&gt;0),Histórico!D406,S405)</f>
        <v>389.05</v>
      </c>
      <c r="T406" s="18">
        <f>IF(AND(ISNUMBER(Histórico!$A406),ISNUMBER(Histórico!E406),Histórico!E406&gt;0),Histórico!E406,T405)</f>
        <v>5.3744</v>
      </c>
      <c r="U406" s="15">
        <f>IF(ISNUMBER(Histórico!A406),Histórico!A406,U405)</f>
        <v>46324</v>
      </c>
    </row>
    <row r="407" spans="17:21" ht="22.95" customHeight="1">
      <c r="Q407" s="17">
        <f>IF(AND(ISNUMBER(Histórico!$A407),ISNUMBER(Histórico!B407),Histórico!B407&gt;0),Histórico!B407,Q406)</f>
        <v>157.42</v>
      </c>
      <c r="R407" s="17">
        <f>IF(AND(ISNUMBER(Histórico!$A407),ISNUMBER(Histórico!C407),Histórico!C407&gt;0),Histórico!C407,R406)</f>
        <v>64.73</v>
      </c>
      <c r="S407" s="17">
        <f>IF(AND(ISNUMBER(Histórico!$A407),ISNUMBER(Histórico!D407),Histórico!D407&gt;0),Histórico!D407,S406)</f>
        <v>389.05</v>
      </c>
      <c r="T407" s="18">
        <f>IF(AND(ISNUMBER(Histórico!$A407),ISNUMBER(Histórico!E407),Histórico!E407&gt;0),Histórico!E407,T406)</f>
        <v>5.3744</v>
      </c>
      <c r="U407" s="15">
        <f>IF(ISNUMBER(Histórico!A407),Histórico!A407,U406)</f>
        <v>46324</v>
      </c>
    </row>
    <row r="408" spans="17:21" ht="22.95" customHeight="1">
      <c r="Q408" s="17">
        <f>IF(AND(ISNUMBER(Histórico!$A408),ISNUMBER(Histórico!B408),Histórico!B408&gt;0),Histórico!B408,Q407)</f>
        <v>157.42</v>
      </c>
      <c r="R408" s="17">
        <f>IF(AND(ISNUMBER(Histórico!$A408),ISNUMBER(Histórico!C408),Histórico!C408&gt;0),Histórico!C408,R407)</f>
        <v>64.73</v>
      </c>
      <c r="S408" s="17">
        <f>IF(AND(ISNUMBER(Histórico!$A408),ISNUMBER(Histórico!D408),Histórico!D408&gt;0),Histórico!D408,S407)</f>
        <v>389.05</v>
      </c>
      <c r="T408" s="18">
        <f>IF(AND(ISNUMBER(Histórico!$A408),ISNUMBER(Histórico!E408),Histórico!E408&gt;0),Histórico!E408,T407)</f>
        <v>5.3744</v>
      </c>
      <c r="U408" s="15">
        <f>IF(ISNUMBER(Histórico!A408),Histórico!A408,U407)</f>
        <v>46324</v>
      </c>
    </row>
    <row r="409" spans="17:21" ht="22.95" customHeight="1">
      <c r="Q409" s="17">
        <f>IF(AND(ISNUMBER(Histórico!$A409),ISNUMBER(Histórico!B409),Histórico!B409&gt;0),Histórico!B409,Q408)</f>
        <v>157.42</v>
      </c>
      <c r="R409" s="17">
        <f>IF(AND(ISNUMBER(Histórico!$A409),ISNUMBER(Histórico!C409),Histórico!C409&gt;0),Histórico!C409,R408)</f>
        <v>64.73</v>
      </c>
      <c r="S409" s="17">
        <f>IF(AND(ISNUMBER(Histórico!$A409),ISNUMBER(Histórico!D409),Histórico!D409&gt;0),Histórico!D409,S408)</f>
        <v>389.05</v>
      </c>
      <c r="T409" s="18">
        <f>IF(AND(ISNUMBER(Histórico!$A409),ISNUMBER(Histórico!E409),Histórico!E409&gt;0),Histórico!E409,T408)</f>
        <v>5.3744</v>
      </c>
      <c r="U409" s="15">
        <f>IF(ISNUMBER(Histórico!A409),Histórico!A409,U408)</f>
        <v>46324</v>
      </c>
    </row>
    <row r="410" spans="17:21" ht="22.95" customHeight="1">
      <c r="Q410" s="17">
        <f>IF(AND(ISNUMBER(Histórico!$A410),ISNUMBER(Histórico!B410),Histórico!B410&gt;0),Histórico!B410,Q409)</f>
        <v>157.42</v>
      </c>
      <c r="R410" s="17">
        <f>IF(AND(ISNUMBER(Histórico!$A410),ISNUMBER(Histórico!C410),Histórico!C410&gt;0),Histórico!C410,R409)</f>
        <v>64.73</v>
      </c>
      <c r="S410" s="17">
        <f>IF(AND(ISNUMBER(Histórico!$A410),ISNUMBER(Histórico!D410),Histórico!D410&gt;0),Histórico!D410,S409)</f>
        <v>389.05</v>
      </c>
      <c r="T410" s="18">
        <f>IF(AND(ISNUMBER(Histórico!$A410),ISNUMBER(Histórico!E410),Histórico!E410&gt;0),Histórico!E410,T409)</f>
        <v>5.3744</v>
      </c>
      <c r="U410" s="15">
        <f>IF(ISNUMBER(Histórico!A410),Histórico!A410,U409)</f>
        <v>46324</v>
      </c>
    </row>
    <row r="411" spans="17:21" ht="22.95" customHeight="1">
      <c r="Q411" s="17">
        <f>IF(AND(ISNUMBER(Histórico!$A411),ISNUMBER(Histórico!B411),Histórico!B411&gt;0),Histórico!B411,Q410)</f>
        <v>157.42</v>
      </c>
      <c r="R411" s="17">
        <f>IF(AND(ISNUMBER(Histórico!$A411),ISNUMBER(Histórico!C411),Histórico!C411&gt;0),Histórico!C411,R410)</f>
        <v>64.73</v>
      </c>
      <c r="S411" s="17">
        <f>IF(AND(ISNUMBER(Histórico!$A411),ISNUMBER(Histórico!D411),Histórico!D411&gt;0),Histórico!D411,S410)</f>
        <v>389.05</v>
      </c>
      <c r="T411" s="18">
        <f>IF(AND(ISNUMBER(Histórico!$A411),ISNUMBER(Histórico!E411),Histórico!E411&gt;0),Histórico!E411,T410)</f>
        <v>5.3744</v>
      </c>
      <c r="U411" s="15">
        <f>IF(ISNUMBER(Histórico!A411),Histórico!A411,U410)</f>
        <v>46324</v>
      </c>
    </row>
    <row r="412" spans="17:21" ht="22.95" customHeight="1">
      <c r="Q412" s="17">
        <f>IF(AND(ISNUMBER(Histórico!$A412),ISNUMBER(Histórico!B412),Histórico!B412&gt;0),Histórico!B412,Q411)</f>
        <v>157.42</v>
      </c>
      <c r="R412" s="17">
        <f>IF(AND(ISNUMBER(Histórico!$A412),ISNUMBER(Histórico!C412),Histórico!C412&gt;0),Histórico!C412,R411)</f>
        <v>64.73</v>
      </c>
      <c r="S412" s="17">
        <f>IF(AND(ISNUMBER(Histórico!$A412),ISNUMBER(Histórico!D412),Histórico!D412&gt;0),Histórico!D412,S411)</f>
        <v>389.05</v>
      </c>
      <c r="T412" s="18">
        <f>IF(AND(ISNUMBER(Histórico!$A412),ISNUMBER(Histórico!E412),Histórico!E412&gt;0),Histórico!E412,T411)</f>
        <v>5.3744</v>
      </c>
      <c r="U412" s="15">
        <f>IF(ISNUMBER(Histórico!A412),Histórico!A412,U411)</f>
        <v>46324</v>
      </c>
    </row>
    <row r="413" spans="17:21" ht="22.95" customHeight="1">
      <c r="Q413" s="17">
        <f>IF(AND(ISNUMBER(Histórico!$A413),ISNUMBER(Histórico!B413),Histórico!B413&gt;0),Histórico!B413,Q412)</f>
        <v>157.42</v>
      </c>
      <c r="R413" s="17">
        <f>IF(AND(ISNUMBER(Histórico!$A413),ISNUMBER(Histórico!C413),Histórico!C413&gt;0),Histórico!C413,R412)</f>
        <v>64.73</v>
      </c>
      <c r="S413" s="17">
        <f>IF(AND(ISNUMBER(Histórico!$A413),ISNUMBER(Histórico!D413),Histórico!D413&gt;0),Histórico!D413,S412)</f>
        <v>389.05</v>
      </c>
      <c r="T413" s="18">
        <f>IF(AND(ISNUMBER(Histórico!$A413),ISNUMBER(Histórico!E413),Histórico!E413&gt;0),Histórico!E413,T412)</f>
        <v>5.3744</v>
      </c>
      <c r="U413" s="15">
        <f>IF(ISNUMBER(Histórico!A413),Histórico!A413,U412)</f>
        <v>46324</v>
      </c>
    </row>
    <row r="414" spans="17:21" ht="22.95" customHeight="1">
      <c r="Q414" s="17">
        <f>IF(AND(ISNUMBER(Histórico!$A414),ISNUMBER(Histórico!B414),Histórico!B414&gt;0),Histórico!B414,Q413)</f>
        <v>157.42</v>
      </c>
      <c r="R414" s="17">
        <f>IF(AND(ISNUMBER(Histórico!$A414),ISNUMBER(Histórico!C414),Histórico!C414&gt;0),Histórico!C414,R413)</f>
        <v>64.73</v>
      </c>
      <c r="S414" s="17">
        <f>IF(AND(ISNUMBER(Histórico!$A414),ISNUMBER(Histórico!D414),Histórico!D414&gt;0),Histórico!D414,S413)</f>
        <v>389.05</v>
      </c>
      <c r="T414" s="18">
        <f>IF(AND(ISNUMBER(Histórico!$A414),ISNUMBER(Histórico!E414),Histórico!E414&gt;0),Histórico!E414,T413)</f>
        <v>5.3744</v>
      </c>
      <c r="U414" s="15">
        <f>IF(ISNUMBER(Histórico!A414),Histórico!A414,U413)</f>
        <v>46324</v>
      </c>
    </row>
    <row r="415" spans="17:21" ht="22.95" customHeight="1">
      <c r="Q415" s="17">
        <f>IF(AND(ISNUMBER(Histórico!$A415),ISNUMBER(Histórico!B415),Histórico!B415&gt;0),Histórico!B415,Q414)</f>
        <v>157.42</v>
      </c>
      <c r="R415" s="17">
        <f>IF(AND(ISNUMBER(Histórico!$A415),ISNUMBER(Histórico!C415),Histórico!C415&gt;0),Histórico!C415,R414)</f>
        <v>64.73</v>
      </c>
      <c r="S415" s="17">
        <f>IF(AND(ISNUMBER(Histórico!$A415),ISNUMBER(Histórico!D415),Histórico!D415&gt;0),Histórico!D415,S414)</f>
        <v>389.05</v>
      </c>
      <c r="T415" s="18">
        <f>IF(AND(ISNUMBER(Histórico!$A415),ISNUMBER(Histórico!E415),Histórico!E415&gt;0),Histórico!E415,T414)</f>
        <v>5.3744</v>
      </c>
      <c r="U415" s="15">
        <f>IF(ISNUMBER(Histórico!A415),Histórico!A415,U414)</f>
        <v>46324</v>
      </c>
    </row>
    <row r="416" spans="17:21" ht="22.95" customHeight="1">
      <c r="Q416" s="17">
        <f>IF(AND(ISNUMBER(Histórico!$A416),ISNUMBER(Histórico!B416),Histórico!B416&gt;0),Histórico!B416,Q415)</f>
        <v>157.42</v>
      </c>
      <c r="R416" s="17">
        <f>IF(AND(ISNUMBER(Histórico!$A416),ISNUMBER(Histórico!C416),Histórico!C416&gt;0),Histórico!C416,R415)</f>
        <v>64.73</v>
      </c>
      <c r="S416" s="17">
        <f>IF(AND(ISNUMBER(Histórico!$A416),ISNUMBER(Histórico!D416),Histórico!D416&gt;0),Histórico!D416,S415)</f>
        <v>389.05</v>
      </c>
      <c r="T416" s="18">
        <f>IF(AND(ISNUMBER(Histórico!$A416),ISNUMBER(Histórico!E416),Histórico!E416&gt;0),Histórico!E416,T415)</f>
        <v>5.3744</v>
      </c>
      <c r="U416" s="15">
        <f>IF(ISNUMBER(Histórico!A416),Histórico!A416,U415)</f>
        <v>46324</v>
      </c>
    </row>
    <row r="417" spans="17:21" ht="22.95" customHeight="1">
      <c r="Q417" s="17">
        <f>IF(AND(ISNUMBER(Histórico!$A417),ISNUMBER(Histórico!B417),Histórico!B417&gt;0),Histórico!B417,Q416)</f>
        <v>157.42</v>
      </c>
      <c r="R417" s="17">
        <f>IF(AND(ISNUMBER(Histórico!$A417),ISNUMBER(Histórico!C417),Histórico!C417&gt;0),Histórico!C417,R416)</f>
        <v>64.73</v>
      </c>
      <c r="S417" s="17">
        <f>IF(AND(ISNUMBER(Histórico!$A417),ISNUMBER(Histórico!D417),Histórico!D417&gt;0),Histórico!D417,S416)</f>
        <v>389.05</v>
      </c>
      <c r="T417" s="18">
        <f>IF(AND(ISNUMBER(Histórico!$A417),ISNUMBER(Histórico!E417),Histórico!E417&gt;0),Histórico!E417,T416)</f>
        <v>5.3744</v>
      </c>
      <c r="U417" s="15">
        <f>IF(ISNUMBER(Histórico!A417),Histórico!A417,U416)</f>
        <v>46324</v>
      </c>
    </row>
    <row r="418" spans="17:21" ht="22.95" customHeight="1">
      <c r="Q418" s="17">
        <f>IF(AND(ISNUMBER(Histórico!$A418),ISNUMBER(Histórico!B418),Histórico!B418&gt;0),Histórico!B418,Q417)</f>
        <v>157.42</v>
      </c>
      <c r="R418" s="17">
        <f>IF(AND(ISNUMBER(Histórico!$A418),ISNUMBER(Histórico!C418),Histórico!C418&gt;0),Histórico!C418,R417)</f>
        <v>64.73</v>
      </c>
      <c r="S418" s="17">
        <f>IF(AND(ISNUMBER(Histórico!$A418),ISNUMBER(Histórico!D418),Histórico!D418&gt;0),Histórico!D418,S417)</f>
        <v>389.05</v>
      </c>
      <c r="T418" s="18">
        <f>IF(AND(ISNUMBER(Histórico!$A418),ISNUMBER(Histórico!E418),Histórico!E418&gt;0),Histórico!E418,T417)</f>
        <v>5.3744</v>
      </c>
      <c r="U418" s="15">
        <f>IF(ISNUMBER(Histórico!A418),Histórico!A418,U417)</f>
        <v>46324</v>
      </c>
    </row>
    <row r="419" spans="17:21" ht="22.95" customHeight="1">
      <c r="Q419" s="17">
        <f>IF(AND(ISNUMBER(Histórico!$A419),ISNUMBER(Histórico!B419),Histórico!B419&gt;0),Histórico!B419,Q418)</f>
        <v>157.42</v>
      </c>
      <c r="R419" s="17">
        <f>IF(AND(ISNUMBER(Histórico!$A419),ISNUMBER(Histórico!C419),Histórico!C419&gt;0),Histórico!C419,R418)</f>
        <v>64.73</v>
      </c>
      <c r="S419" s="17">
        <f>IF(AND(ISNUMBER(Histórico!$A419),ISNUMBER(Histórico!D419),Histórico!D419&gt;0),Histórico!D419,S418)</f>
        <v>389.05</v>
      </c>
      <c r="T419" s="18">
        <f>IF(AND(ISNUMBER(Histórico!$A419),ISNUMBER(Histórico!E419),Histórico!E419&gt;0),Histórico!E419,T418)</f>
        <v>5.3744</v>
      </c>
      <c r="U419" s="15">
        <f>IF(ISNUMBER(Histórico!A419),Histórico!A419,U418)</f>
        <v>46324</v>
      </c>
    </row>
    <row r="420" spans="17:21" ht="22.95" customHeight="1">
      <c r="Q420" s="17">
        <f>IF(AND(ISNUMBER(Histórico!$A420),ISNUMBER(Histórico!B420),Histórico!B420&gt;0),Histórico!B420,Q419)</f>
        <v>157.42</v>
      </c>
      <c r="R420" s="17">
        <f>IF(AND(ISNUMBER(Histórico!$A420),ISNUMBER(Histórico!C420),Histórico!C420&gt;0),Histórico!C420,R419)</f>
        <v>64.73</v>
      </c>
      <c r="S420" s="17">
        <f>IF(AND(ISNUMBER(Histórico!$A420),ISNUMBER(Histórico!D420),Histórico!D420&gt;0),Histórico!D420,S419)</f>
        <v>389.05</v>
      </c>
      <c r="T420" s="18">
        <f>IF(AND(ISNUMBER(Histórico!$A420),ISNUMBER(Histórico!E420),Histórico!E420&gt;0),Histórico!E420,T419)</f>
        <v>5.3744</v>
      </c>
      <c r="U420" s="15">
        <f>IF(ISNUMBER(Histórico!A420),Histórico!A420,U419)</f>
        <v>46324</v>
      </c>
    </row>
    <row r="421" spans="17:21" ht="22.95" customHeight="1">
      <c r="Q421" s="17">
        <f>IF(AND(ISNUMBER(Histórico!$A421),ISNUMBER(Histórico!B421),Histórico!B421&gt;0),Histórico!B421,Q420)</f>
        <v>157.42</v>
      </c>
      <c r="R421" s="17">
        <f>IF(AND(ISNUMBER(Histórico!$A421),ISNUMBER(Histórico!C421),Histórico!C421&gt;0),Histórico!C421,R420)</f>
        <v>64.73</v>
      </c>
      <c r="S421" s="17">
        <f>IF(AND(ISNUMBER(Histórico!$A421),ISNUMBER(Histórico!D421),Histórico!D421&gt;0),Histórico!D421,S420)</f>
        <v>389.05</v>
      </c>
      <c r="T421" s="18">
        <f>IF(AND(ISNUMBER(Histórico!$A421),ISNUMBER(Histórico!E421),Histórico!E421&gt;0),Histórico!E421,T420)</f>
        <v>5.3744</v>
      </c>
      <c r="U421" s="15">
        <f>IF(ISNUMBER(Histórico!A421),Histórico!A421,U420)</f>
        <v>46324</v>
      </c>
    </row>
    <row r="422" spans="17:21" ht="22.95" customHeight="1">
      <c r="Q422" s="17">
        <f>IF(AND(ISNUMBER(Histórico!$A422),ISNUMBER(Histórico!B422),Histórico!B422&gt;0),Histórico!B422,Q421)</f>
        <v>157.42</v>
      </c>
      <c r="R422" s="17">
        <f>IF(AND(ISNUMBER(Histórico!$A422),ISNUMBER(Histórico!C422),Histórico!C422&gt;0),Histórico!C422,R421)</f>
        <v>64.73</v>
      </c>
      <c r="S422" s="17">
        <f>IF(AND(ISNUMBER(Histórico!$A422),ISNUMBER(Histórico!D422),Histórico!D422&gt;0),Histórico!D422,S421)</f>
        <v>389.05</v>
      </c>
      <c r="T422" s="18">
        <f>IF(AND(ISNUMBER(Histórico!$A422),ISNUMBER(Histórico!E422),Histórico!E422&gt;0),Histórico!E422,T421)</f>
        <v>5.3744</v>
      </c>
      <c r="U422" s="15">
        <f>IF(ISNUMBER(Histórico!A422),Histórico!A422,U421)</f>
        <v>46324</v>
      </c>
    </row>
    <row r="423" spans="17:21" ht="22.95" customHeight="1">
      <c r="Q423" s="17">
        <f>IF(AND(ISNUMBER(Histórico!$A423),ISNUMBER(Histórico!B423),Histórico!B423&gt;0),Histórico!B423,Q422)</f>
        <v>157.42</v>
      </c>
      <c r="R423" s="17">
        <f>IF(AND(ISNUMBER(Histórico!$A423),ISNUMBER(Histórico!C423),Histórico!C423&gt;0),Histórico!C423,R422)</f>
        <v>64.73</v>
      </c>
      <c r="S423" s="17">
        <f>IF(AND(ISNUMBER(Histórico!$A423),ISNUMBER(Histórico!D423),Histórico!D423&gt;0),Histórico!D423,S422)</f>
        <v>389.05</v>
      </c>
      <c r="T423" s="18">
        <f>IF(AND(ISNUMBER(Histórico!$A423),ISNUMBER(Histórico!E423),Histórico!E423&gt;0),Histórico!E423,T422)</f>
        <v>5.3744</v>
      </c>
      <c r="U423" s="15">
        <f>IF(ISNUMBER(Histórico!A423),Histórico!A423,U422)</f>
        <v>46324</v>
      </c>
    </row>
    <row r="424" spans="17:21" ht="22.95" customHeight="1">
      <c r="Q424" s="17">
        <f>IF(AND(ISNUMBER(Histórico!$A424),ISNUMBER(Histórico!B424),Histórico!B424&gt;0),Histórico!B424,Q423)</f>
        <v>157.42</v>
      </c>
      <c r="R424" s="17">
        <f>IF(AND(ISNUMBER(Histórico!$A424),ISNUMBER(Histórico!C424),Histórico!C424&gt;0),Histórico!C424,R423)</f>
        <v>64.73</v>
      </c>
      <c r="S424" s="17">
        <f>IF(AND(ISNUMBER(Histórico!$A424),ISNUMBER(Histórico!D424),Histórico!D424&gt;0),Histórico!D424,S423)</f>
        <v>389.05</v>
      </c>
      <c r="T424" s="18">
        <f>IF(AND(ISNUMBER(Histórico!$A424),ISNUMBER(Histórico!E424),Histórico!E424&gt;0),Histórico!E424,T423)</f>
        <v>5.3744</v>
      </c>
      <c r="U424" s="15">
        <f>IF(ISNUMBER(Histórico!A424),Histórico!A424,U423)</f>
        <v>46324</v>
      </c>
    </row>
    <row r="425" spans="17:21" ht="22.95" customHeight="1">
      <c r="Q425" s="17">
        <f>IF(AND(ISNUMBER(Histórico!$A425),ISNUMBER(Histórico!B425),Histórico!B425&gt;0),Histórico!B425,Q424)</f>
        <v>157.42</v>
      </c>
      <c r="R425" s="17">
        <f>IF(AND(ISNUMBER(Histórico!$A425),ISNUMBER(Histórico!C425),Histórico!C425&gt;0),Histórico!C425,R424)</f>
        <v>64.73</v>
      </c>
      <c r="S425" s="17">
        <f>IF(AND(ISNUMBER(Histórico!$A425),ISNUMBER(Histórico!D425),Histórico!D425&gt;0),Histórico!D425,S424)</f>
        <v>389.05</v>
      </c>
      <c r="T425" s="18">
        <f>IF(AND(ISNUMBER(Histórico!$A425),ISNUMBER(Histórico!E425),Histórico!E425&gt;0),Histórico!E425,T424)</f>
        <v>5.3744</v>
      </c>
      <c r="U425" s="15">
        <f>IF(ISNUMBER(Histórico!A425),Histórico!A425,U424)</f>
        <v>46324</v>
      </c>
    </row>
    <row r="426" spans="17:21" ht="22.95" customHeight="1">
      <c r="Q426" s="17">
        <f>IF(AND(ISNUMBER(Histórico!$A426),ISNUMBER(Histórico!B426),Histórico!B426&gt;0),Histórico!B426,Q425)</f>
        <v>157.42</v>
      </c>
      <c r="R426" s="17">
        <f>IF(AND(ISNUMBER(Histórico!$A426),ISNUMBER(Histórico!C426),Histórico!C426&gt;0),Histórico!C426,R425)</f>
        <v>64.73</v>
      </c>
      <c r="S426" s="17">
        <f>IF(AND(ISNUMBER(Histórico!$A426),ISNUMBER(Histórico!D426),Histórico!D426&gt;0),Histórico!D426,S425)</f>
        <v>389.05</v>
      </c>
      <c r="T426" s="18">
        <f>IF(AND(ISNUMBER(Histórico!$A426),ISNUMBER(Histórico!E426),Histórico!E426&gt;0),Histórico!E426,T425)</f>
        <v>5.3744</v>
      </c>
      <c r="U426" s="15">
        <f>IF(ISNUMBER(Histórico!A426),Histórico!A426,U425)</f>
        <v>46324</v>
      </c>
    </row>
    <row r="427" spans="17:21" ht="22.95" customHeight="1">
      <c r="Q427" s="17">
        <f>IF(AND(ISNUMBER(Histórico!$A427),ISNUMBER(Histórico!B427),Histórico!B427&gt;0),Histórico!B427,Q426)</f>
        <v>157.42</v>
      </c>
      <c r="R427" s="17">
        <f>IF(AND(ISNUMBER(Histórico!$A427),ISNUMBER(Histórico!C427),Histórico!C427&gt;0),Histórico!C427,R426)</f>
        <v>64.73</v>
      </c>
      <c r="S427" s="17">
        <f>IF(AND(ISNUMBER(Histórico!$A427),ISNUMBER(Histórico!D427),Histórico!D427&gt;0),Histórico!D427,S426)</f>
        <v>389.05</v>
      </c>
      <c r="T427" s="18">
        <f>IF(AND(ISNUMBER(Histórico!$A427),ISNUMBER(Histórico!E427),Histórico!E427&gt;0),Histórico!E427,T426)</f>
        <v>5.3744</v>
      </c>
      <c r="U427" s="15">
        <f>IF(ISNUMBER(Histórico!A427),Histórico!A427,U426)</f>
        <v>46324</v>
      </c>
    </row>
    <row r="428" spans="17:21" ht="22.95" customHeight="1">
      <c r="Q428" s="17">
        <f>IF(AND(ISNUMBER(Histórico!$A428),ISNUMBER(Histórico!B428),Histórico!B428&gt;0),Histórico!B428,Q427)</f>
        <v>157.42</v>
      </c>
      <c r="R428" s="17">
        <f>IF(AND(ISNUMBER(Histórico!$A428),ISNUMBER(Histórico!C428),Histórico!C428&gt;0),Histórico!C428,R427)</f>
        <v>64.73</v>
      </c>
      <c r="S428" s="17">
        <f>IF(AND(ISNUMBER(Histórico!$A428),ISNUMBER(Histórico!D428),Histórico!D428&gt;0),Histórico!D428,S427)</f>
        <v>389.05</v>
      </c>
      <c r="T428" s="18">
        <f>IF(AND(ISNUMBER(Histórico!$A428),ISNUMBER(Histórico!E428),Histórico!E428&gt;0),Histórico!E428,T427)</f>
        <v>5.3744</v>
      </c>
      <c r="U428" s="15">
        <f>IF(ISNUMBER(Histórico!A428),Histórico!A428,U427)</f>
        <v>46324</v>
      </c>
    </row>
    <row r="429" spans="17:21" ht="22.95" customHeight="1">
      <c r="Q429" s="17">
        <f>IF(AND(ISNUMBER(Histórico!$A429),ISNUMBER(Histórico!B429),Histórico!B429&gt;0),Histórico!B429,Q428)</f>
        <v>157.42</v>
      </c>
      <c r="R429" s="17">
        <f>IF(AND(ISNUMBER(Histórico!$A429),ISNUMBER(Histórico!C429),Histórico!C429&gt;0),Histórico!C429,R428)</f>
        <v>64.73</v>
      </c>
      <c r="S429" s="17">
        <f>IF(AND(ISNUMBER(Histórico!$A429),ISNUMBER(Histórico!D429),Histórico!D429&gt;0),Histórico!D429,S428)</f>
        <v>389.05</v>
      </c>
      <c r="T429" s="18">
        <f>IF(AND(ISNUMBER(Histórico!$A429),ISNUMBER(Histórico!E429),Histórico!E429&gt;0),Histórico!E429,T428)</f>
        <v>5.3744</v>
      </c>
      <c r="U429" s="15">
        <f>IF(ISNUMBER(Histórico!A429),Histórico!A429,U428)</f>
        <v>46324</v>
      </c>
    </row>
    <row r="430" spans="17:21" ht="22.95" customHeight="1">
      <c r="Q430" s="17">
        <f>IF(AND(ISNUMBER(Histórico!$A430),ISNUMBER(Histórico!B430),Histórico!B430&gt;0),Histórico!B430,Q429)</f>
        <v>157.42</v>
      </c>
      <c r="R430" s="17">
        <f>IF(AND(ISNUMBER(Histórico!$A430),ISNUMBER(Histórico!C430),Histórico!C430&gt;0),Histórico!C430,R429)</f>
        <v>64.73</v>
      </c>
      <c r="S430" s="17">
        <f>IF(AND(ISNUMBER(Histórico!$A430),ISNUMBER(Histórico!D430),Histórico!D430&gt;0),Histórico!D430,S429)</f>
        <v>389.05</v>
      </c>
      <c r="T430" s="18">
        <f>IF(AND(ISNUMBER(Histórico!$A430),ISNUMBER(Histórico!E430),Histórico!E430&gt;0),Histórico!E430,T429)</f>
        <v>5.3744</v>
      </c>
      <c r="U430" s="15">
        <f>IF(ISNUMBER(Histórico!A430),Histórico!A430,U429)</f>
        <v>46324</v>
      </c>
    </row>
    <row r="431" spans="17:21" ht="22.95" customHeight="1">
      <c r="Q431" s="17">
        <f>IF(AND(ISNUMBER(Histórico!$A431),ISNUMBER(Histórico!B431),Histórico!B431&gt;0),Histórico!B431,Q430)</f>
        <v>157.42</v>
      </c>
      <c r="R431" s="17">
        <f>IF(AND(ISNUMBER(Histórico!$A431),ISNUMBER(Histórico!C431),Histórico!C431&gt;0),Histórico!C431,R430)</f>
        <v>64.73</v>
      </c>
      <c r="S431" s="17">
        <f>IF(AND(ISNUMBER(Histórico!$A431),ISNUMBER(Histórico!D431),Histórico!D431&gt;0),Histórico!D431,S430)</f>
        <v>389.05</v>
      </c>
      <c r="T431" s="18">
        <f>IF(AND(ISNUMBER(Histórico!$A431),ISNUMBER(Histórico!E431),Histórico!E431&gt;0),Histórico!E431,T430)</f>
        <v>5.3744</v>
      </c>
      <c r="U431" s="15">
        <f>IF(ISNUMBER(Histórico!A431),Histórico!A431,U430)</f>
        <v>46324</v>
      </c>
    </row>
    <row r="432" spans="17:21" ht="22.95" customHeight="1">
      <c r="Q432" s="17">
        <f>IF(AND(ISNUMBER(Histórico!$A432),ISNUMBER(Histórico!B432),Histórico!B432&gt;0),Histórico!B432,Q431)</f>
        <v>157.42</v>
      </c>
      <c r="R432" s="17">
        <f>IF(AND(ISNUMBER(Histórico!$A432),ISNUMBER(Histórico!C432),Histórico!C432&gt;0),Histórico!C432,R431)</f>
        <v>64.73</v>
      </c>
      <c r="S432" s="17">
        <f>IF(AND(ISNUMBER(Histórico!$A432),ISNUMBER(Histórico!D432),Histórico!D432&gt;0),Histórico!D432,S431)</f>
        <v>389.05</v>
      </c>
      <c r="T432" s="18">
        <f>IF(AND(ISNUMBER(Histórico!$A432),ISNUMBER(Histórico!E432),Histórico!E432&gt;0),Histórico!E432,T431)</f>
        <v>5.3744</v>
      </c>
      <c r="U432" s="15">
        <f>IF(ISNUMBER(Histórico!A432),Histórico!A432,U431)</f>
        <v>46324</v>
      </c>
    </row>
    <row r="433" spans="17:21" ht="22.95" customHeight="1">
      <c r="Q433" s="17">
        <f>IF(AND(ISNUMBER(Histórico!$A433),ISNUMBER(Histórico!B433),Histórico!B433&gt;0),Histórico!B433,Q432)</f>
        <v>157.42</v>
      </c>
      <c r="R433" s="17">
        <f>IF(AND(ISNUMBER(Histórico!$A433),ISNUMBER(Histórico!C433),Histórico!C433&gt;0),Histórico!C433,R432)</f>
        <v>64.73</v>
      </c>
      <c r="S433" s="17">
        <f>IF(AND(ISNUMBER(Histórico!$A433),ISNUMBER(Histórico!D433),Histórico!D433&gt;0),Histórico!D433,S432)</f>
        <v>389.05</v>
      </c>
      <c r="T433" s="18">
        <f>IF(AND(ISNUMBER(Histórico!$A433),ISNUMBER(Histórico!E433),Histórico!E433&gt;0),Histórico!E433,T432)</f>
        <v>5.3744</v>
      </c>
      <c r="U433" s="15">
        <f>IF(ISNUMBER(Histórico!A433),Histórico!A433,U432)</f>
        <v>46324</v>
      </c>
    </row>
    <row r="434" spans="17:21" ht="22.95" customHeight="1">
      <c r="Q434" s="17">
        <f>IF(AND(ISNUMBER(Histórico!$A434),ISNUMBER(Histórico!B434),Histórico!B434&gt;0),Histórico!B434,Q433)</f>
        <v>157.42</v>
      </c>
      <c r="R434" s="17">
        <f>IF(AND(ISNUMBER(Histórico!$A434),ISNUMBER(Histórico!C434),Histórico!C434&gt;0),Histórico!C434,R433)</f>
        <v>64.73</v>
      </c>
      <c r="S434" s="17">
        <f>IF(AND(ISNUMBER(Histórico!$A434),ISNUMBER(Histórico!D434),Histórico!D434&gt;0),Histórico!D434,S433)</f>
        <v>389.05</v>
      </c>
      <c r="T434" s="18">
        <f>IF(AND(ISNUMBER(Histórico!$A434),ISNUMBER(Histórico!E434),Histórico!E434&gt;0),Histórico!E434,T433)</f>
        <v>5.3744</v>
      </c>
      <c r="U434" s="15">
        <f>IF(ISNUMBER(Histórico!A434),Histórico!A434,U433)</f>
        <v>46324</v>
      </c>
    </row>
    <row r="435" spans="17:21" ht="22.95" customHeight="1">
      <c r="Q435" s="17">
        <f>IF(AND(ISNUMBER(Histórico!$A435),ISNUMBER(Histórico!B435),Histórico!B435&gt;0),Histórico!B435,Q434)</f>
        <v>157.42</v>
      </c>
      <c r="R435" s="17">
        <f>IF(AND(ISNUMBER(Histórico!$A435),ISNUMBER(Histórico!C435),Histórico!C435&gt;0),Histórico!C435,R434)</f>
        <v>64.73</v>
      </c>
      <c r="S435" s="17">
        <f>IF(AND(ISNUMBER(Histórico!$A435),ISNUMBER(Histórico!D435),Histórico!D435&gt;0),Histórico!D435,S434)</f>
        <v>389.05</v>
      </c>
      <c r="T435" s="18">
        <f>IF(AND(ISNUMBER(Histórico!$A435),ISNUMBER(Histórico!E435),Histórico!E435&gt;0),Histórico!E435,T434)</f>
        <v>5.3744</v>
      </c>
      <c r="U435" s="15">
        <f>IF(ISNUMBER(Histórico!A435),Histórico!A435,U434)</f>
        <v>46324</v>
      </c>
    </row>
    <row r="436" spans="17:21" ht="22.95" customHeight="1">
      <c r="Q436" s="17">
        <f>IF(AND(ISNUMBER(Histórico!$A436),ISNUMBER(Histórico!B436),Histórico!B436&gt;0),Histórico!B436,Q435)</f>
        <v>157.42</v>
      </c>
      <c r="R436" s="17">
        <f>IF(AND(ISNUMBER(Histórico!$A436),ISNUMBER(Histórico!C436),Histórico!C436&gt;0),Histórico!C436,R435)</f>
        <v>64.73</v>
      </c>
      <c r="S436" s="17">
        <f>IF(AND(ISNUMBER(Histórico!$A436),ISNUMBER(Histórico!D436),Histórico!D436&gt;0),Histórico!D436,S435)</f>
        <v>389.05</v>
      </c>
      <c r="T436" s="18">
        <f>IF(AND(ISNUMBER(Histórico!$A436),ISNUMBER(Histórico!E436),Histórico!E436&gt;0),Histórico!E436,T435)</f>
        <v>5.3744</v>
      </c>
      <c r="U436" s="15">
        <f>IF(ISNUMBER(Histórico!A436),Histórico!A436,U435)</f>
        <v>46324</v>
      </c>
    </row>
    <row r="437" spans="17:21" ht="22.95" customHeight="1">
      <c r="Q437" s="17">
        <f>IF(AND(ISNUMBER(Histórico!$A437),ISNUMBER(Histórico!B437),Histórico!B437&gt;0),Histórico!B437,Q436)</f>
        <v>157.42</v>
      </c>
      <c r="R437" s="17">
        <f>IF(AND(ISNUMBER(Histórico!$A437),ISNUMBER(Histórico!C437),Histórico!C437&gt;0),Histórico!C437,R436)</f>
        <v>64.73</v>
      </c>
      <c r="S437" s="17">
        <f>IF(AND(ISNUMBER(Histórico!$A437),ISNUMBER(Histórico!D437),Histórico!D437&gt;0),Histórico!D437,S436)</f>
        <v>389.05</v>
      </c>
      <c r="T437" s="18">
        <f>IF(AND(ISNUMBER(Histórico!$A437),ISNUMBER(Histórico!E437),Histórico!E437&gt;0),Histórico!E437,T436)</f>
        <v>5.3744</v>
      </c>
      <c r="U437" s="15">
        <f>IF(ISNUMBER(Histórico!A437),Histórico!A437,U436)</f>
        <v>46324</v>
      </c>
    </row>
    <row r="438" spans="17:21" ht="22.95" customHeight="1">
      <c r="Q438" s="17">
        <f>IF(AND(ISNUMBER(Histórico!$A438),ISNUMBER(Histórico!B438),Histórico!B438&gt;0),Histórico!B438,Q437)</f>
        <v>157.42</v>
      </c>
      <c r="R438" s="17">
        <f>IF(AND(ISNUMBER(Histórico!$A438),ISNUMBER(Histórico!C438),Histórico!C438&gt;0),Histórico!C438,R437)</f>
        <v>64.73</v>
      </c>
      <c r="S438" s="17">
        <f>IF(AND(ISNUMBER(Histórico!$A438),ISNUMBER(Histórico!D438),Histórico!D438&gt;0),Histórico!D438,S437)</f>
        <v>389.05</v>
      </c>
      <c r="T438" s="18">
        <f>IF(AND(ISNUMBER(Histórico!$A438),ISNUMBER(Histórico!E438),Histórico!E438&gt;0),Histórico!E438,T437)</f>
        <v>5.3744</v>
      </c>
      <c r="U438" s="15">
        <f>IF(ISNUMBER(Histórico!A438),Histórico!A438,U437)</f>
        <v>46324</v>
      </c>
    </row>
    <row r="439" spans="17:21" ht="22.95" customHeight="1">
      <c r="Q439" s="17">
        <f>IF(AND(ISNUMBER(Histórico!$A439),ISNUMBER(Histórico!B439),Histórico!B439&gt;0),Histórico!B439,Q438)</f>
        <v>157.42</v>
      </c>
      <c r="R439" s="17">
        <f>IF(AND(ISNUMBER(Histórico!$A439),ISNUMBER(Histórico!C439),Histórico!C439&gt;0),Histórico!C439,R438)</f>
        <v>64.73</v>
      </c>
      <c r="S439" s="17">
        <f>IF(AND(ISNUMBER(Histórico!$A439),ISNUMBER(Histórico!D439),Histórico!D439&gt;0),Histórico!D439,S438)</f>
        <v>389.05</v>
      </c>
      <c r="T439" s="18">
        <f>IF(AND(ISNUMBER(Histórico!$A439),ISNUMBER(Histórico!E439),Histórico!E439&gt;0),Histórico!E439,T438)</f>
        <v>5.3744</v>
      </c>
      <c r="U439" s="15">
        <f>IF(ISNUMBER(Histórico!A439),Histórico!A439,U438)</f>
        <v>46324</v>
      </c>
    </row>
    <row r="440" spans="17:21" ht="22.95" customHeight="1">
      <c r="Q440" s="17">
        <f>IF(AND(ISNUMBER(Histórico!$A440),ISNUMBER(Histórico!B440),Histórico!B440&gt;0),Histórico!B440,Q439)</f>
        <v>157.42</v>
      </c>
      <c r="R440" s="17">
        <f>IF(AND(ISNUMBER(Histórico!$A440),ISNUMBER(Histórico!C440),Histórico!C440&gt;0),Histórico!C440,R439)</f>
        <v>64.73</v>
      </c>
      <c r="S440" s="17">
        <f>IF(AND(ISNUMBER(Histórico!$A440),ISNUMBER(Histórico!D440),Histórico!D440&gt;0),Histórico!D440,S439)</f>
        <v>389.05</v>
      </c>
      <c r="T440" s="18">
        <f>IF(AND(ISNUMBER(Histórico!$A440),ISNUMBER(Histórico!E440),Histórico!E440&gt;0),Histórico!E440,T439)</f>
        <v>5.3744</v>
      </c>
      <c r="U440" s="15">
        <f>IF(ISNUMBER(Histórico!A440),Histórico!A440,U439)</f>
        <v>46324</v>
      </c>
    </row>
    <row r="441" spans="17:21" ht="22.95" customHeight="1">
      <c r="Q441" s="17">
        <f>IF(AND(ISNUMBER(Histórico!$A441),ISNUMBER(Histórico!B441),Histórico!B441&gt;0),Histórico!B441,Q440)</f>
        <v>157.42</v>
      </c>
      <c r="R441" s="17">
        <f>IF(AND(ISNUMBER(Histórico!$A441),ISNUMBER(Histórico!C441),Histórico!C441&gt;0),Histórico!C441,R440)</f>
        <v>64.73</v>
      </c>
      <c r="S441" s="17">
        <f>IF(AND(ISNUMBER(Histórico!$A441),ISNUMBER(Histórico!D441),Histórico!D441&gt;0),Histórico!D441,S440)</f>
        <v>389.05</v>
      </c>
      <c r="T441" s="18">
        <f>IF(AND(ISNUMBER(Histórico!$A441),ISNUMBER(Histórico!E441),Histórico!E441&gt;0),Histórico!E441,T440)</f>
        <v>5.3744</v>
      </c>
      <c r="U441" s="15">
        <f>IF(ISNUMBER(Histórico!A441),Histórico!A441,U440)</f>
        <v>46324</v>
      </c>
    </row>
    <row r="442" spans="17:21" ht="22.95" customHeight="1">
      <c r="Q442" s="17">
        <f>IF(AND(ISNUMBER(Histórico!$A442),ISNUMBER(Histórico!B442),Histórico!B442&gt;0),Histórico!B442,Q441)</f>
        <v>157.42</v>
      </c>
      <c r="R442" s="17">
        <f>IF(AND(ISNUMBER(Histórico!$A442),ISNUMBER(Histórico!C442),Histórico!C442&gt;0),Histórico!C442,R441)</f>
        <v>64.73</v>
      </c>
      <c r="S442" s="17">
        <f>IF(AND(ISNUMBER(Histórico!$A442),ISNUMBER(Histórico!D442),Histórico!D442&gt;0),Histórico!D442,S441)</f>
        <v>389.05</v>
      </c>
      <c r="T442" s="18">
        <f>IF(AND(ISNUMBER(Histórico!$A442),ISNUMBER(Histórico!E442),Histórico!E442&gt;0),Histórico!E442,T441)</f>
        <v>5.3744</v>
      </c>
      <c r="U442" s="15">
        <f>IF(ISNUMBER(Histórico!A442),Histórico!A442,U441)</f>
        <v>46324</v>
      </c>
    </row>
    <row r="443" spans="17:21" ht="22.95" customHeight="1">
      <c r="Q443" s="17">
        <f>IF(AND(ISNUMBER(Histórico!$A443),ISNUMBER(Histórico!B443),Histórico!B443&gt;0),Histórico!B443,Q442)</f>
        <v>157.42</v>
      </c>
      <c r="R443" s="17">
        <f>IF(AND(ISNUMBER(Histórico!$A443),ISNUMBER(Histórico!C443),Histórico!C443&gt;0),Histórico!C443,R442)</f>
        <v>64.73</v>
      </c>
      <c r="S443" s="17">
        <f>IF(AND(ISNUMBER(Histórico!$A443),ISNUMBER(Histórico!D443),Histórico!D443&gt;0),Histórico!D443,S442)</f>
        <v>389.05</v>
      </c>
      <c r="T443" s="18">
        <f>IF(AND(ISNUMBER(Histórico!$A443),ISNUMBER(Histórico!E443),Histórico!E443&gt;0),Histórico!E443,T442)</f>
        <v>5.3744</v>
      </c>
      <c r="U443" s="15">
        <f>IF(ISNUMBER(Histórico!A443),Histórico!A443,U442)</f>
        <v>46324</v>
      </c>
    </row>
    <row r="444" spans="17:21" ht="22.95" customHeight="1">
      <c r="Q444" s="17">
        <f>IF(AND(ISNUMBER(Histórico!$A444),ISNUMBER(Histórico!B444),Histórico!B444&gt;0),Histórico!B444,Q443)</f>
        <v>157.42</v>
      </c>
      <c r="R444" s="17">
        <f>IF(AND(ISNUMBER(Histórico!$A444),ISNUMBER(Histórico!C444),Histórico!C444&gt;0),Histórico!C444,R443)</f>
        <v>64.73</v>
      </c>
      <c r="S444" s="17">
        <f>IF(AND(ISNUMBER(Histórico!$A444),ISNUMBER(Histórico!D444),Histórico!D444&gt;0),Histórico!D444,S443)</f>
        <v>389.05</v>
      </c>
      <c r="T444" s="18">
        <f>IF(AND(ISNUMBER(Histórico!$A444),ISNUMBER(Histórico!E444),Histórico!E444&gt;0),Histórico!E444,T443)</f>
        <v>5.3744</v>
      </c>
      <c r="U444" s="15">
        <f>IF(ISNUMBER(Histórico!A444),Histórico!A444,U443)</f>
        <v>46324</v>
      </c>
    </row>
    <row r="445" spans="17:21" ht="22.95" customHeight="1">
      <c r="Q445" s="17">
        <f>IF(AND(ISNUMBER(Histórico!$A445),ISNUMBER(Histórico!B445),Histórico!B445&gt;0),Histórico!B445,Q444)</f>
        <v>157.42</v>
      </c>
      <c r="R445" s="17">
        <f>IF(AND(ISNUMBER(Histórico!$A445),ISNUMBER(Histórico!C445),Histórico!C445&gt;0),Histórico!C445,R444)</f>
        <v>64.73</v>
      </c>
      <c r="S445" s="17">
        <f>IF(AND(ISNUMBER(Histórico!$A445),ISNUMBER(Histórico!D445),Histórico!D445&gt;0),Histórico!D445,S444)</f>
        <v>389.05</v>
      </c>
      <c r="T445" s="18">
        <f>IF(AND(ISNUMBER(Histórico!$A445),ISNUMBER(Histórico!E445),Histórico!E445&gt;0),Histórico!E445,T444)</f>
        <v>5.3744</v>
      </c>
      <c r="U445" s="15">
        <f>IF(ISNUMBER(Histórico!A445),Histórico!A445,U444)</f>
        <v>46324</v>
      </c>
    </row>
    <row r="446" spans="17:21" ht="22.95" customHeight="1">
      <c r="Q446" s="17">
        <f>IF(AND(ISNUMBER(Histórico!$A446),ISNUMBER(Histórico!B446),Histórico!B446&gt;0),Histórico!B446,Q445)</f>
        <v>157.42</v>
      </c>
      <c r="R446" s="17">
        <f>IF(AND(ISNUMBER(Histórico!$A446),ISNUMBER(Histórico!C446),Histórico!C446&gt;0),Histórico!C446,R445)</f>
        <v>64.73</v>
      </c>
      <c r="S446" s="17">
        <f>IF(AND(ISNUMBER(Histórico!$A446),ISNUMBER(Histórico!D446),Histórico!D446&gt;0),Histórico!D446,S445)</f>
        <v>389.05</v>
      </c>
      <c r="T446" s="18">
        <f>IF(AND(ISNUMBER(Histórico!$A446),ISNUMBER(Histórico!E446),Histórico!E446&gt;0),Histórico!E446,T445)</f>
        <v>5.3744</v>
      </c>
      <c r="U446" s="15">
        <f>IF(ISNUMBER(Histórico!A446),Histórico!A446,U445)</f>
        <v>46324</v>
      </c>
    </row>
    <row r="447" spans="17:21" ht="22.95" customHeight="1">
      <c r="Q447" s="17">
        <f>IF(AND(ISNUMBER(Histórico!$A447),ISNUMBER(Histórico!B447),Histórico!B447&gt;0),Histórico!B447,Q446)</f>
        <v>157.42</v>
      </c>
      <c r="R447" s="17">
        <f>IF(AND(ISNUMBER(Histórico!$A447),ISNUMBER(Histórico!C447),Histórico!C447&gt;0),Histórico!C447,R446)</f>
        <v>64.73</v>
      </c>
      <c r="S447" s="17">
        <f>IF(AND(ISNUMBER(Histórico!$A447),ISNUMBER(Histórico!D447),Histórico!D447&gt;0),Histórico!D447,S446)</f>
        <v>389.05</v>
      </c>
      <c r="T447" s="18">
        <f>IF(AND(ISNUMBER(Histórico!$A447),ISNUMBER(Histórico!E447),Histórico!E447&gt;0),Histórico!E447,T446)</f>
        <v>5.3744</v>
      </c>
      <c r="U447" s="15">
        <f>IF(ISNUMBER(Histórico!A447),Histórico!A447,U446)</f>
        <v>46324</v>
      </c>
    </row>
    <row r="448" spans="17:21" ht="22.95" customHeight="1">
      <c r="Q448" s="17">
        <f>IF(AND(ISNUMBER(Histórico!$A448),ISNUMBER(Histórico!B448),Histórico!B448&gt;0),Histórico!B448,Q447)</f>
        <v>157.42</v>
      </c>
      <c r="R448" s="17">
        <f>IF(AND(ISNUMBER(Histórico!$A448),ISNUMBER(Histórico!C448),Histórico!C448&gt;0),Histórico!C448,R447)</f>
        <v>64.73</v>
      </c>
      <c r="S448" s="17">
        <f>IF(AND(ISNUMBER(Histórico!$A448),ISNUMBER(Histórico!D448),Histórico!D448&gt;0),Histórico!D448,S447)</f>
        <v>389.05</v>
      </c>
      <c r="T448" s="18">
        <f>IF(AND(ISNUMBER(Histórico!$A448),ISNUMBER(Histórico!E448),Histórico!E448&gt;0),Histórico!E448,T447)</f>
        <v>5.3744</v>
      </c>
      <c r="U448" s="15">
        <f>IF(ISNUMBER(Histórico!A448),Histórico!A448,U447)</f>
        <v>46324</v>
      </c>
    </row>
    <row r="449" spans="17:21" ht="22.95" customHeight="1">
      <c r="Q449" s="17">
        <f>IF(AND(ISNUMBER(Histórico!$A449),ISNUMBER(Histórico!B449),Histórico!B449&gt;0),Histórico!B449,Q448)</f>
        <v>157.42</v>
      </c>
      <c r="R449" s="17">
        <f>IF(AND(ISNUMBER(Histórico!$A449),ISNUMBER(Histórico!C449),Histórico!C449&gt;0),Histórico!C449,R448)</f>
        <v>64.73</v>
      </c>
      <c r="S449" s="17">
        <f>IF(AND(ISNUMBER(Histórico!$A449),ISNUMBER(Histórico!D449),Histórico!D449&gt;0),Histórico!D449,S448)</f>
        <v>389.05</v>
      </c>
      <c r="T449" s="18">
        <f>IF(AND(ISNUMBER(Histórico!$A449),ISNUMBER(Histórico!E449),Histórico!E449&gt;0),Histórico!E449,T448)</f>
        <v>5.3744</v>
      </c>
      <c r="U449" s="15">
        <f>IF(ISNUMBER(Histórico!A449),Histórico!A449,U448)</f>
        <v>46324</v>
      </c>
    </row>
    <row r="450" spans="17:21" ht="22.95" customHeight="1">
      <c r="Q450" s="17">
        <f>IF(AND(ISNUMBER(Histórico!$A450),ISNUMBER(Histórico!B450),Histórico!B450&gt;0),Histórico!B450,Q449)</f>
        <v>157.42</v>
      </c>
      <c r="R450" s="17">
        <f>IF(AND(ISNUMBER(Histórico!$A450),ISNUMBER(Histórico!C450),Histórico!C450&gt;0),Histórico!C450,R449)</f>
        <v>64.73</v>
      </c>
      <c r="S450" s="17">
        <f>IF(AND(ISNUMBER(Histórico!$A450),ISNUMBER(Histórico!D450),Histórico!D450&gt;0),Histórico!D450,S449)</f>
        <v>389.05</v>
      </c>
      <c r="T450" s="18">
        <f>IF(AND(ISNUMBER(Histórico!$A450),ISNUMBER(Histórico!E450),Histórico!E450&gt;0),Histórico!E450,T449)</f>
        <v>5.3744</v>
      </c>
      <c r="U450" s="15">
        <f>IF(ISNUMBER(Histórico!A450),Histórico!A450,U449)</f>
        <v>46324</v>
      </c>
    </row>
    <row r="451" spans="17:21" ht="22.95" customHeight="1">
      <c r="Q451" s="17">
        <f>IF(AND(ISNUMBER(Histórico!$A451),ISNUMBER(Histórico!B451),Histórico!B451&gt;0),Histórico!B451,Q450)</f>
        <v>157.42</v>
      </c>
      <c r="R451" s="17">
        <f>IF(AND(ISNUMBER(Histórico!$A451),ISNUMBER(Histórico!C451),Histórico!C451&gt;0),Histórico!C451,R450)</f>
        <v>64.73</v>
      </c>
      <c r="S451" s="17">
        <f>IF(AND(ISNUMBER(Histórico!$A451),ISNUMBER(Histórico!D451),Histórico!D451&gt;0),Histórico!D451,S450)</f>
        <v>389.05</v>
      </c>
      <c r="T451" s="18">
        <f>IF(AND(ISNUMBER(Histórico!$A451),ISNUMBER(Histórico!E451),Histórico!E451&gt;0),Histórico!E451,T450)</f>
        <v>5.3744</v>
      </c>
      <c r="U451" s="15">
        <f>IF(ISNUMBER(Histórico!A451),Histórico!A451,U450)</f>
        <v>46324</v>
      </c>
    </row>
    <row r="452" spans="17:21" ht="22.95" customHeight="1">
      <c r="Q452" s="17">
        <f>IF(AND(ISNUMBER(Histórico!$A452),ISNUMBER(Histórico!B452),Histórico!B452&gt;0),Histórico!B452,Q451)</f>
        <v>157.42</v>
      </c>
      <c r="R452" s="17">
        <f>IF(AND(ISNUMBER(Histórico!$A452),ISNUMBER(Histórico!C452),Histórico!C452&gt;0),Histórico!C452,R451)</f>
        <v>64.73</v>
      </c>
      <c r="S452" s="17">
        <f>IF(AND(ISNUMBER(Histórico!$A452),ISNUMBER(Histórico!D452),Histórico!D452&gt;0),Histórico!D452,S451)</f>
        <v>389.05</v>
      </c>
      <c r="T452" s="18">
        <f>IF(AND(ISNUMBER(Histórico!$A452),ISNUMBER(Histórico!E452),Histórico!E452&gt;0),Histórico!E452,T451)</f>
        <v>5.3744</v>
      </c>
      <c r="U452" s="15">
        <f>IF(ISNUMBER(Histórico!A452),Histórico!A452,U451)</f>
        <v>46324</v>
      </c>
    </row>
    <row r="453" spans="17:21" ht="22.95" customHeight="1">
      <c r="Q453" s="17">
        <f>IF(AND(ISNUMBER(Histórico!$A453),ISNUMBER(Histórico!B453),Histórico!B453&gt;0),Histórico!B453,Q452)</f>
        <v>157.42</v>
      </c>
      <c r="R453" s="17">
        <f>IF(AND(ISNUMBER(Histórico!$A453),ISNUMBER(Histórico!C453),Histórico!C453&gt;0),Histórico!C453,R452)</f>
        <v>64.73</v>
      </c>
      <c r="S453" s="17">
        <f>IF(AND(ISNUMBER(Histórico!$A453),ISNUMBER(Histórico!D453),Histórico!D453&gt;0),Histórico!D453,S452)</f>
        <v>389.05</v>
      </c>
      <c r="T453" s="18">
        <f>IF(AND(ISNUMBER(Histórico!$A453),ISNUMBER(Histórico!E453),Histórico!E453&gt;0),Histórico!E453,T452)</f>
        <v>5.3744</v>
      </c>
      <c r="U453" s="15">
        <f>IF(ISNUMBER(Histórico!A453),Histórico!A453,U452)</f>
        <v>46324</v>
      </c>
    </row>
    <row r="454" spans="17:21" ht="22.95" customHeight="1">
      <c r="Q454" s="17">
        <f>IF(AND(ISNUMBER(Histórico!$A454),ISNUMBER(Histórico!B454),Histórico!B454&gt;0),Histórico!B454,Q453)</f>
        <v>157.42</v>
      </c>
      <c r="R454" s="17">
        <f>IF(AND(ISNUMBER(Histórico!$A454),ISNUMBER(Histórico!C454),Histórico!C454&gt;0),Histórico!C454,R453)</f>
        <v>64.73</v>
      </c>
      <c r="S454" s="17">
        <f>IF(AND(ISNUMBER(Histórico!$A454),ISNUMBER(Histórico!D454),Histórico!D454&gt;0),Histórico!D454,S453)</f>
        <v>389.05</v>
      </c>
      <c r="T454" s="18">
        <f>IF(AND(ISNUMBER(Histórico!$A454),ISNUMBER(Histórico!E454),Histórico!E454&gt;0),Histórico!E454,T453)</f>
        <v>5.3744</v>
      </c>
      <c r="U454" s="15">
        <f>IF(ISNUMBER(Histórico!A454),Histórico!A454,U453)</f>
        <v>46324</v>
      </c>
    </row>
    <row r="455" spans="17:21" ht="22.95" customHeight="1">
      <c r="Q455" s="17">
        <f>IF(AND(ISNUMBER(Histórico!$A455),ISNUMBER(Histórico!B455),Histórico!B455&gt;0),Histórico!B455,Q454)</f>
        <v>157.42</v>
      </c>
      <c r="R455" s="17">
        <f>IF(AND(ISNUMBER(Histórico!$A455),ISNUMBER(Histórico!C455),Histórico!C455&gt;0),Histórico!C455,R454)</f>
        <v>64.73</v>
      </c>
      <c r="S455" s="17">
        <f>IF(AND(ISNUMBER(Histórico!$A455),ISNUMBER(Histórico!D455),Histórico!D455&gt;0),Histórico!D455,S454)</f>
        <v>389.05</v>
      </c>
      <c r="T455" s="18">
        <f>IF(AND(ISNUMBER(Histórico!$A455),ISNUMBER(Histórico!E455),Histórico!E455&gt;0),Histórico!E455,T454)</f>
        <v>5.3744</v>
      </c>
      <c r="U455" s="15">
        <f>IF(ISNUMBER(Histórico!A455),Histórico!A455,U454)</f>
        <v>46324</v>
      </c>
    </row>
    <row r="456" spans="17:21" ht="22.95" customHeight="1">
      <c r="Q456" s="17">
        <f>IF(AND(ISNUMBER(Histórico!$A456),ISNUMBER(Histórico!B456),Histórico!B456&gt;0),Histórico!B456,Q455)</f>
        <v>157.42</v>
      </c>
      <c r="R456" s="17">
        <f>IF(AND(ISNUMBER(Histórico!$A456),ISNUMBER(Histórico!C456),Histórico!C456&gt;0),Histórico!C456,R455)</f>
        <v>64.73</v>
      </c>
      <c r="S456" s="17">
        <f>IF(AND(ISNUMBER(Histórico!$A456),ISNUMBER(Histórico!D456),Histórico!D456&gt;0),Histórico!D456,S455)</f>
        <v>389.05</v>
      </c>
      <c r="T456" s="18">
        <f>IF(AND(ISNUMBER(Histórico!$A456),ISNUMBER(Histórico!E456),Histórico!E456&gt;0),Histórico!E456,T455)</f>
        <v>5.3744</v>
      </c>
      <c r="U456" s="15">
        <f>IF(ISNUMBER(Histórico!A456),Histórico!A456,U455)</f>
        <v>46324</v>
      </c>
    </row>
    <row r="457" spans="17:21" ht="22.95" customHeight="1">
      <c r="Q457" s="17">
        <f>IF(AND(ISNUMBER(Histórico!$A457),ISNUMBER(Histórico!B457),Histórico!B457&gt;0),Histórico!B457,Q456)</f>
        <v>157.42</v>
      </c>
      <c r="R457" s="17">
        <f>IF(AND(ISNUMBER(Histórico!$A457),ISNUMBER(Histórico!C457),Histórico!C457&gt;0),Histórico!C457,R456)</f>
        <v>64.73</v>
      </c>
      <c r="S457" s="17">
        <f>IF(AND(ISNUMBER(Histórico!$A457),ISNUMBER(Histórico!D457),Histórico!D457&gt;0),Histórico!D457,S456)</f>
        <v>389.05</v>
      </c>
      <c r="T457" s="18">
        <f>IF(AND(ISNUMBER(Histórico!$A457),ISNUMBER(Histórico!E457),Histórico!E457&gt;0),Histórico!E457,T456)</f>
        <v>5.3744</v>
      </c>
      <c r="U457" s="15">
        <f>IF(ISNUMBER(Histórico!A457),Histórico!A457,U456)</f>
        <v>46324</v>
      </c>
    </row>
    <row r="458" spans="17:21" ht="22.95" customHeight="1">
      <c r="Q458" s="17">
        <f>IF(AND(ISNUMBER(Histórico!$A458),ISNUMBER(Histórico!B458),Histórico!B458&gt;0),Histórico!B458,Q457)</f>
        <v>157.42</v>
      </c>
      <c r="R458" s="17">
        <f>IF(AND(ISNUMBER(Histórico!$A458),ISNUMBER(Histórico!C458),Histórico!C458&gt;0),Histórico!C458,R457)</f>
        <v>64.73</v>
      </c>
      <c r="S458" s="17">
        <f>IF(AND(ISNUMBER(Histórico!$A458),ISNUMBER(Histórico!D458),Histórico!D458&gt;0),Histórico!D458,S457)</f>
        <v>389.05</v>
      </c>
      <c r="T458" s="18">
        <f>IF(AND(ISNUMBER(Histórico!$A458),ISNUMBER(Histórico!E458),Histórico!E458&gt;0),Histórico!E458,T457)</f>
        <v>5.3744</v>
      </c>
      <c r="U458" s="15">
        <f>IF(ISNUMBER(Histórico!A458),Histórico!A458,U457)</f>
        <v>46324</v>
      </c>
    </row>
    <row r="459" spans="17:21" ht="22.95" customHeight="1">
      <c r="Q459" s="17">
        <f>IF(AND(ISNUMBER(Histórico!$A459),ISNUMBER(Histórico!B459),Histórico!B459&gt;0),Histórico!B459,Q458)</f>
        <v>157.42</v>
      </c>
      <c r="R459" s="17">
        <f>IF(AND(ISNUMBER(Histórico!$A459),ISNUMBER(Histórico!C459),Histórico!C459&gt;0),Histórico!C459,R458)</f>
        <v>64.73</v>
      </c>
      <c r="S459" s="17">
        <f>IF(AND(ISNUMBER(Histórico!$A459),ISNUMBER(Histórico!D459),Histórico!D459&gt;0),Histórico!D459,S458)</f>
        <v>389.05</v>
      </c>
      <c r="T459" s="18">
        <f>IF(AND(ISNUMBER(Histórico!$A459),ISNUMBER(Histórico!E459),Histórico!E459&gt;0),Histórico!E459,T458)</f>
        <v>5.3744</v>
      </c>
      <c r="U459" s="15">
        <f>IF(ISNUMBER(Histórico!A459),Histórico!A459,U458)</f>
        <v>46324</v>
      </c>
    </row>
    <row r="460" spans="17:21" ht="22.95" customHeight="1">
      <c r="Q460" s="17">
        <f>IF(AND(ISNUMBER(Histórico!$A460),ISNUMBER(Histórico!B460),Histórico!B460&gt;0),Histórico!B460,Q459)</f>
        <v>157.42</v>
      </c>
      <c r="R460" s="17">
        <f>IF(AND(ISNUMBER(Histórico!$A460),ISNUMBER(Histórico!C460),Histórico!C460&gt;0),Histórico!C460,R459)</f>
        <v>64.73</v>
      </c>
      <c r="S460" s="17">
        <f>IF(AND(ISNUMBER(Histórico!$A460),ISNUMBER(Histórico!D460),Histórico!D460&gt;0),Histórico!D460,S459)</f>
        <v>389.05</v>
      </c>
      <c r="T460" s="18">
        <f>IF(AND(ISNUMBER(Histórico!$A460),ISNUMBER(Histórico!E460),Histórico!E460&gt;0),Histórico!E460,T459)</f>
        <v>5.3744</v>
      </c>
      <c r="U460" s="15">
        <f>IF(ISNUMBER(Histórico!A460),Histórico!A460,U459)</f>
        <v>46324</v>
      </c>
    </row>
    <row r="461" spans="17:21" ht="22.95" customHeight="1">
      <c r="Q461" s="17">
        <f>IF(AND(ISNUMBER(Histórico!$A461),ISNUMBER(Histórico!B461),Histórico!B461&gt;0),Histórico!B461,Q460)</f>
        <v>157.42</v>
      </c>
      <c r="R461" s="17">
        <f>IF(AND(ISNUMBER(Histórico!$A461),ISNUMBER(Histórico!C461),Histórico!C461&gt;0),Histórico!C461,R460)</f>
        <v>64.73</v>
      </c>
      <c r="S461" s="17">
        <f>IF(AND(ISNUMBER(Histórico!$A461),ISNUMBER(Histórico!D461),Histórico!D461&gt;0),Histórico!D461,S460)</f>
        <v>389.05</v>
      </c>
      <c r="T461" s="18">
        <f>IF(AND(ISNUMBER(Histórico!$A461),ISNUMBER(Histórico!E461),Histórico!E461&gt;0),Histórico!E461,T460)</f>
        <v>5.3744</v>
      </c>
      <c r="U461" s="15">
        <f>IF(ISNUMBER(Histórico!A461),Histórico!A461,U460)</f>
        <v>46324</v>
      </c>
    </row>
    <row r="462" spans="17:21" ht="22.95" customHeight="1">
      <c r="Q462" s="17">
        <f>IF(AND(ISNUMBER(Histórico!$A462),ISNUMBER(Histórico!B462),Histórico!B462&gt;0),Histórico!B462,Q461)</f>
        <v>157.42</v>
      </c>
      <c r="R462" s="17">
        <f>IF(AND(ISNUMBER(Histórico!$A462),ISNUMBER(Histórico!C462),Histórico!C462&gt;0),Histórico!C462,R461)</f>
        <v>64.73</v>
      </c>
      <c r="S462" s="17">
        <f>IF(AND(ISNUMBER(Histórico!$A462),ISNUMBER(Histórico!D462),Histórico!D462&gt;0),Histórico!D462,S461)</f>
        <v>389.05</v>
      </c>
      <c r="T462" s="18">
        <f>IF(AND(ISNUMBER(Histórico!$A462),ISNUMBER(Histórico!E462),Histórico!E462&gt;0),Histórico!E462,T461)</f>
        <v>5.3744</v>
      </c>
      <c r="U462" s="15">
        <f>IF(ISNUMBER(Histórico!A462),Histórico!A462,U461)</f>
        <v>46324</v>
      </c>
    </row>
    <row r="463" spans="17:21" ht="22.95" customHeight="1">
      <c r="Q463" s="17">
        <f>IF(AND(ISNUMBER(Histórico!$A463),ISNUMBER(Histórico!B463),Histórico!B463&gt;0),Histórico!B463,Q462)</f>
        <v>157.42</v>
      </c>
      <c r="R463" s="17">
        <f>IF(AND(ISNUMBER(Histórico!$A463),ISNUMBER(Histórico!C463),Histórico!C463&gt;0),Histórico!C463,R462)</f>
        <v>64.73</v>
      </c>
      <c r="S463" s="17">
        <f>IF(AND(ISNUMBER(Histórico!$A463),ISNUMBER(Histórico!D463),Histórico!D463&gt;0),Histórico!D463,S462)</f>
        <v>389.05</v>
      </c>
      <c r="T463" s="18">
        <f>IF(AND(ISNUMBER(Histórico!$A463),ISNUMBER(Histórico!E463),Histórico!E463&gt;0),Histórico!E463,T462)</f>
        <v>5.3744</v>
      </c>
      <c r="U463" s="15">
        <f>IF(ISNUMBER(Histórico!A463),Histórico!A463,U462)</f>
        <v>46324</v>
      </c>
    </row>
    <row r="464" spans="17:21" ht="22.95" customHeight="1">
      <c r="Q464" s="17">
        <f>IF(AND(ISNUMBER(Histórico!$A464),ISNUMBER(Histórico!B464),Histórico!B464&gt;0),Histórico!B464,Q463)</f>
        <v>157.42</v>
      </c>
      <c r="R464" s="17">
        <f>IF(AND(ISNUMBER(Histórico!$A464),ISNUMBER(Histórico!C464),Histórico!C464&gt;0),Histórico!C464,R463)</f>
        <v>64.73</v>
      </c>
      <c r="S464" s="17">
        <f>IF(AND(ISNUMBER(Histórico!$A464),ISNUMBER(Histórico!D464),Histórico!D464&gt;0),Histórico!D464,S463)</f>
        <v>389.05</v>
      </c>
      <c r="T464" s="18">
        <f>IF(AND(ISNUMBER(Histórico!$A464),ISNUMBER(Histórico!E464),Histórico!E464&gt;0),Histórico!E464,T463)</f>
        <v>5.3744</v>
      </c>
      <c r="U464" s="15">
        <f>IF(ISNUMBER(Histórico!A464),Histórico!A464,U463)</f>
        <v>46324</v>
      </c>
    </row>
    <row r="465" spans="17:21" ht="22.95" customHeight="1">
      <c r="Q465" s="17">
        <f>IF(AND(ISNUMBER(Histórico!$A465),ISNUMBER(Histórico!B465),Histórico!B465&gt;0),Histórico!B465,Q464)</f>
        <v>157.42</v>
      </c>
      <c r="R465" s="17">
        <f>IF(AND(ISNUMBER(Histórico!$A465),ISNUMBER(Histórico!C465),Histórico!C465&gt;0),Histórico!C465,R464)</f>
        <v>64.73</v>
      </c>
      <c r="S465" s="17">
        <f>IF(AND(ISNUMBER(Histórico!$A465),ISNUMBER(Histórico!D465),Histórico!D465&gt;0),Histórico!D465,S464)</f>
        <v>389.05</v>
      </c>
      <c r="T465" s="18">
        <f>IF(AND(ISNUMBER(Histórico!$A465),ISNUMBER(Histórico!E465),Histórico!E465&gt;0),Histórico!E465,T464)</f>
        <v>5.3744</v>
      </c>
      <c r="U465" s="15">
        <f>IF(ISNUMBER(Histórico!A465),Histórico!A465,U464)</f>
        <v>46324</v>
      </c>
    </row>
    <row r="466" spans="17:21" ht="22.95" customHeight="1">
      <c r="Q466" s="17">
        <f>IF(AND(ISNUMBER(Histórico!$A466),ISNUMBER(Histórico!B466),Histórico!B466&gt;0),Histórico!B466,Q465)</f>
        <v>157.42</v>
      </c>
      <c r="R466" s="17">
        <f>IF(AND(ISNUMBER(Histórico!$A466),ISNUMBER(Histórico!C466),Histórico!C466&gt;0),Histórico!C466,R465)</f>
        <v>64.73</v>
      </c>
      <c r="S466" s="17">
        <f>IF(AND(ISNUMBER(Histórico!$A466),ISNUMBER(Histórico!D466),Histórico!D466&gt;0),Histórico!D466,S465)</f>
        <v>389.05</v>
      </c>
      <c r="T466" s="18">
        <f>IF(AND(ISNUMBER(Histórico!$A466),ISNUMBER(Histórico!E466),Histórico!E466&gt;0),Histórico!E466,T465)</f>
        <v>5.3744</v>
      </c>
      <c r="U466" s="15">
        <f>IF(ISNUMBER(Histórico!A466),Histórico!A466,U465)</f>
        <v>46324</v>
      </c>
    </row>
    <row r="467" spans="17:21" ht="22.95" customHeight="1">
      <c r="Q467" s="17">
        <f>IF(AND(ISNUMBER(Histórico!$A467),ISNUMBER(Histórico!B467),Histórico!B467&gt;0),Histórico!B467,Q466)</f>
        <v>157.42</v>
      </c>
      <c r="R467" s="17">
        <f>IF(AND(ISNUMBER(Histórico!$A467),ISNUMBER(Histórico!C467),Histórico!C467&gt;0),Histórico!C467,R466)</f>
        <v>64.73</v>
      </c>
      <c r="S467" s="17">
        <f>IF(AND(ISNUMBER(Histórico!$A467),ISNUMBER(Histórico!D467),Histórico!D467&gt;0),Histórico!D467,S466)</f>
        <v>389.05</v>
      </c>
      <c r="T467" s="18">
        <f>IF(AND(ISNUMBER(Histórico!$A467),ISNUMBER(Histórico!E467),Histórico!E467&gt;0),Histórico!E467,T466)</f>
        <v>5.3744</v>
      </c>
      <c r="U467" s="15">
        <f>IF(ISNUMBER(Histórico!A467),Histórico!A467,U466)</f>
        <v>46324</v>
      </c>
    </row>
    <row r="468" spans="17:21" ht="22.95" customHeight="1">
      <c r="Q468" s="17">
        <f>IF(AND(ISNUMBER(Histórico!$A468),ISNUMBER(Histórico!B468),Histórico!B468&gt;0),Histórico!B468,Q467)</f>
        <v>157.42</v>
      </c>
      <c r="R468" s="17">
        <f>IF(AND(ISNUMBER(Histórico!$A468),ISNUMBER(Histórico!C468),Histórico!C468&gt;0),Histórico!C468,R467)</f>
        <v>64.73</v>
      </c>
      <c r="S468" s="17">
        <f>IF(AND(ISNUMBER(Histórico!$A468),ISNUMBER(Histórico!D468),Histórico!D468&gt;0),Histórico!D468,S467)</f>
        <v>389.05</v>
      </c>
      <c r="T468" s="18">
        <f>IF(AND(ISNUMBER(Histórico!$A468),ISNUMBER(Histórico!E468),Histórico!E468&gt;0),Histórico!E468,T467)</f>
        <v>5.3744</v>
      </c>
      <c r="U468" s="15">
        <f>IF(ISNUMBER(Histórico!A468),Histórico!A468,U467)</f>
        <v>46324</v>
      </c>
    </row>
    <row r="469" spans="17:21" ht="22.95" customHeight="1">
      <c r="Q469" s="17">
        <f>IF(AND(ISNUMBER(Histórico!$A469),ISNUMBER(Histórico!B469),Histórico!B469&gt;0),Histórico!B469,Q468)</f>
        <v>157.42</v>
      </c>
      <c r="R469" s="17">
        <f>IF(AND(ISNUMBER(Histórico!$A469),ISNUMBER(Histórico!C469),Histórico!C469&gt;0),Histórico!C469,R468)</f>
        <v>64.73</v>
      </c>
      <c r="S469" s="17">
        <f>IF(AND(ISNUMBER(Histórico!$A469),ISNUMBER(Histórico!D469),Histórico!D469&gt;0),Histórico!D469,S468)</f>
        <v>389.05</v>
      </c>
      <c r="T469" s="18">
        <f>IF(AND(ISNUMBER(Histórico!$A469),ISNUMBER(Histórico!E469),Histórico!E469&gt;0),Histórico!E469,T468)</f>
        <v>5.3744</v>
      </c>
      <c r="U469" s="15">
        <f>IF(ISNUMBER(Histórico!A469),Histórico!A469,U468)</f>
        <v>46324</v>
      </c>
    </row>
    <row r="470" spans="17:21" ht="22.95" customHeight="1">
      <c r="Q470" s="17">
        <f>IF(AND(ISNUMBER(Histórico!$A470),ISNUMBER(Histórico!B470),Histórico!B470&gt;0),Histórico!B470,Q469)</f>
        <v>157.42</v>
      </c>
      <c r="R470" s="17">
        <f>IF(AND(ISNUMBER(Histórico!$A470),ISNUMBER(Histórico!C470),Histórico!C470&gt;0),Histórico!C470,R469)</f>
        <v>64.73</v>
      </c>
      <c r="S470" s="17">
        <f>IF(AND(ISNUMBER(Histórico!$A470),ISNUMBER(Histórico!D470),Histórico!D470&gt;0),Histórico!D470,S469)</f>
        <v>389.05</v>
      </c>
      <c r="T470" s="18">
        <f>IF(AND(ISNUMBER(Histórico!$A470),ISNUMBER(Histórico!E470),Histórico!E470&gt;0),Histórico!E470,T469)</f>
        <v>5.3744</v>
      </c>
      <c r="U470" s="15">
        <f>IF(ISNUMBER(Histórico!A470),Histórico!A470,U469)</f>
        <v>46324</v>
      </c>
    </row>
    <row r="471" spans="17:21" ht="22.95" customHeight="1">
      <c r="Q471" s="17">
        <f>IF(AND(ISNUMBER(Histórico!$A471),ISNUMBER(Histórico!B471),Histórico!B471&gt;0),Histórico!B471,Q470)</f>
        <v>157.42</v>
      </c>
      <c r="R471" s="17">
        <f>IF(AND(ISNUMBER(Histórico!$A471),ISNUMBER(Histórico!C471),Histórico!C471&gt;0),Histórico!C471,R470)</f>
        <v>64.73</v>
      </c>
      <c r="S471" s="17">
        <f>IF(AND(ISNUMBER(Histórico!$A471),ISNUMBER(Histórico!D471),Histórico!D471&gt;0),Histórico!D471,S470)</f>
        <v>389.05</v>
      </c>
      <c r="T471" s="18">
        <f>IF(AND(ISNUMBER(Histórico!$A471),ISNUMBER(Histórico!E471),Histórico!E471&gt;0),Histórico!E471,T470)</f>
        <v>5.3744</v>
      </c>
      <c r="U471" s="15">
        <f>IF(ISNUMBER(Histórico!A471),Histórico!A471,U470)</f>
        <v>46324</v>
      </c>
    </row>
    <row r="472" spans="17:21" ht="22.95" customHeight="1">
      <c r="Q472" s="17">
        <f>IF(AND(ISNUMBER(Histórico!$A472),ISNUMBER(Histórico!B472),Histórico!B472&gt;0),Histórico!B472,Q471)</f>
        <v>157.42</v>
      </c>
      <c r="R472" s="17">
        <f>IF(AND(ISNUMBER(Histórico!$A472),ISNUMBER(Histórico!C472),Histórico!C472&gt;0),Histórico!C472,R471)</f>
        <v>64.73</v>
      </c>
      <c r="S472" s="17">
        <f>IF(AND(ISNUMBER(Histórico!$A472),ISNUMBER(Histórico!D472),Histórico!D472&gt;0),Histórico!D472,S471)</f>
        <v>389.05</v>
      </c>
      <c r="T472" s="18">
        <f>IF(AND(ISNUMBER(Histórico!$A472),ISNUMBER(Histórico!E472),Histórico!E472&gt;0),Histórico!E472,T471)</f>
        <v>5.3744</v>
      </c>
      <c r="U472" s="15">
        <f>IF(ISNUMBER(Histórico!A472),Histórico!A472,U471)</f>
        <v>46324</v>
      </c>
    </row>
    <row r="473" spans="17:21" ht="22.95" customHeight="1">
      <c r="Q473" s="17">
        <f>IF(AND(ISNUMBER(Histórico!$A473),ISNUMBER(Histórico!B473),Histórico!B473&gt;0),Histórico!B473,Q472)</f>
        <v>157.42</v>
      </c>
      <c r="R473" s="17">
        <f>IF(AND(ISNUMBER(Histórico!$A473),ISNUMBER(Histórico!C473),Histórico!C473&gt;0),Histórico!C473,R472)</f>
        <v>64.73</v>
      </c>
      <c r="S473" s="17">
        <f>IF(AND(ISNUMBER(Histórico!$A473),ISNUMBER(Histórico!D473),Histórico!D473&gt;0),Histórico!D473,S472)</f>
        <v>389.05</v>
      </c>
      <c r="T473" s="18">
        <f>IF(AND(ISNUMBER(Histórico!$A473),ISNUMBER(Histórico!E473),Histórico!E473&gt;0),Histórico!E473,T472)</f>
        <v>5.3744</v>
      </c>
      <c r="U473" s="15">
        <f>IF(ISNUMBER(Histórico!A473),Histórico!A473,U472)</f>
        <v>46324</v>
      </c>
    </row>
    <row r="474" spans="17:21" ht="22.95" customHeight="1">
      <c r="Q474" s="17">
        <f>IF(AND(ISNUMBER(Histórico!$A474),ISNUMBER(Histórico!B474),Histórico!B474&gt;0),Histórico!B474,Q473)</f>
        <v>157.42</v>
      </c>
      <c r="R474" s="17">
        <f>IF(AND(ISNUMBER(Histórico!$A474),ISNUMBER(Histórico!C474),Histórico!C474&gt;0),Histórico!C474,R473)</f>
        <v>64.73</v>
      </c>
      <c r="S474" s="17">
        <f>IF(AND(ISNUMBER(Histórico!$A474),ISNUMBER(Histórico!D474),Histórico!D474&gt;0),Histórico!D474,S473)</f>
        <v>389.05</v>
      </c>
      <c r="T474" s="18">
        <f>IF(AND(ISNUMBER(Histórico!$A474),ISNUMBER(Histórico!E474),Histórico!E474&gt;0),Histórico!E474,T473)</f>
        <v>5.3744</v>
      </c>
      <c r="U474" s="15">
        <f>IF(ISNUMBER(Histórico!A474),Histórico!A474,U473)</f>
        <v>46324</v>
      </c>
    </row>
    <row r="475" spans="17:21" ht="22.95" customHeight="1">
      <c r="Q475" s="17">
        <f>IF(AND(ISNUMBER(Histórico!$A475),ISNUMBER(Histórico!B475),Histórico!B475&gt;0),Histórico!B475,Q474)</f>
        <v>157.42</v>
      </c>
      <c r="R475" s="17">
        <f>IF(AND(ISNUMBER(Histórico!$A475),ISNUMBER(Histórico!C475),Histórico!C475&gt;0),Histórico!C475,R474)</f>
        <v>64.73</v>
      </c>
      <c r="S475" s="17">
        <f>IF(AND(ISNUMBER(Histórico!$A475),ISNUMBER(Histórico!D475),Histórico!D475&gt;0),Histórico!D475,S474)</f>
        <v>389.05</v>
      </c>
      <c r="T475" s="18">
        <f>IF(AND(ISNUMBER(Histórico!$A475),ISNUMBER(Histórico!E475),Histórico!E475&gt;0),Histórico!E475,T474)</f>
        <v>5.3744</v>
      </c>
      <c r="U475" s="15">
        <f>IF(ISNUMBER(Histórico!A475),Histórico!A475,U474)</f>
        <v>46324</v>
      </c>
    </row>
    <row r="476" spans="17:21" ht="22.95" customHeight="1">
      <c r="Q476" s="17">
        <f>IF(AND(ISNUMBER(Histórico!$A476),ISNUMBER(Histórico!B476),Histórico!B476&gt;0),Histórico!B476,Q475)</f>
        <v>157.42</v>
      </c>
      <c r="R476" s="17">
        <f>IF(AND(ISNUMBER(Histórico!$A476),ISNUMBER(Histórico!C476),Histórico!C476&gt;0),Histórico!C476,R475)</f>
        <v>64.73</v>
      </c>
      <c r="S476" s="17">
        <f>IF(AND(ISNUMBER(Histórico!$A476),ISNUMBER(Histórico!D476),Histórico!D476&gt;0),Histórico!D476,S475)</f>
        <v>389.05</v>
      </c>
      <c r="T476" s="18">
        <f>IF(AND(ISNUMBER(Histórico!$A476),ISNUMBER(Histórico!E476),Histórico!E476&gt;0),Histórico!E476,T475)</f>
        <v>5.3744</v>
      </c>
      <c r="U476" s="15">
        <f>IF(ISNUMBER(Histórico!A476),Histórico!A476,U475)</f>
        <v>46324</v>
      </c>
    </row>
    <row r="477" spans="17:21" ht="22.95" customHeight="1">
      <c r="Q477" s="17">
        <f>IF(AND(ISNUMBER(Histórico!$A477),ISNUMBER(Histórico!B477),Histórico!B477&gt;0),Histórico!B477,Q476)</f>
        <v>157.42</v>
      </c>
      <c r="R477" s="17">
        <f>IF(AND(ISNUMBER(Histórico!$A477),ISNUMBER(Histórico!C477),Histórico!C477&gt;0),Histórico!C477,R476)</f>
        <v>64.73</v>
      </c>
      <c r="S477" s="17">
        <f>IF(AND(ISNUMBER(Histórico!$A477),ISNUMBER(Histórico!D477),Histórico!D477&gt;0),Histórico!D477,S476)</f>
        <v>389.05</v>
      </c>
      <c r="T477" s="18">
        <f>IF(AND(ISNUMBER(Histórico!$A477),ISNUMBER(Histórico!E477),Histórico!E477&gt;0),Histórico!E477,T476)</f>
        <v>5.3744</v>
      </c>
      <c r="U477" s="15">
        <f>IF(ISNUMBER(Histórico!A477),Histórico!A477,U476)</f>
        <v>46324</v>
      </c>
    </row>
    <row r="478" spans="17:21" ht="22.95" customHeight="1">
      <c r="Q478" s="17">
        <f>IF(AND(ISNUMBER(Histórico!$A478),ISNUMBER(Histórico!B478),Histórico!B478&gt;0),Histórico!B478,Q477)</f>
        <v>157.42</v>
      </c>
      <c r="R478" s="17">
        <f>IF(AND(ISNUMBER(Histórico!$A478),ISNUMBER(Histórico!C478),Histórico!C478&gt;0),Histórico!C478,R477)</f>
        <v>64.73</v>
      </c>
      <c r="S478" s="17">
        <f>IF(AND(ISNUMBER(Histórico!$A478),ISNUMBER(Histórico!D478),Histórico!D478&gt;0),Histórico!D478,S477)</f>
        <v>389.05</v>
      </c>
      <c r="T478" s="18">
        <f>IF(AND(ISNUMBER(Histórico!$A478),ISNUMBER(Histórico!E478),Histórico!E478&gt;0),Histórico!E478,T477)</f>
        <v>5.3744</v>
      </c>
      <c r="U478" s="15">
        <f>IF(ISNUMBER(Histórico!A478),Histórico!A478,U477)</f>
        <v>46324</v>
      </c>
    </row>
    <row r="479" spans="17:21" ht="22.95" customHeight="1">
      <c r="Q479" s="17">
        <f>IF(AND(ISNUMBER(Histórico!$A479),ISNUMBER(Histórico!B479),Histórico!B479&gt;0),Histórico!B479,Q478)</f>
        <v>157.42</v>
      </c>
      <c r="R479" s="17">
        <f>IF(AND(ISNUMBER(Histórico!$A479),ISNUMBER(Histórico!C479),Histórico!C479&gt;0),Histórico!C479,R478)</f>
        <v>64.73</v>
      </c>
      <c r="S479" s="17">
        <f>IF(AND(ISNUMBER(Histórico!$A479),ISNUMBER(Histórico!D479),Histórico!D479&gt;0),Histórico!D479,S478)</f>
        <v>389.05</v>
      </c>
      <c r="T479" s="18">
        <f>IF(AND(ISNUMBER(Histórico!$A479),ISNUMBER(Histórico!E479),Histórico!E479&gt;0),Histórico!E479,T478)</f>
        <v>5.3744</v>
      </c>
      <c r="U479" s="15">
        <f>IF(ISNUMBER(Histórico!A479),Histórico!A479,U478)</f>
        <v>46324</v>
      </c>
    </row>
    <row r="480" spans="17:21" ht="22.95" customHeight="1">
      <c r="Q480" s="17">
        <f>IF(AND(ISNUMBER(Histórico!$A480),ISNUMBER(Histórico!B480),Histórico!B480&gt;0),Histórico!B480,Q479)</f>
        <v>157.42</v>
      </c>
      <c r="R480" s="17">
        <f>IF(AND(ISNUMBER(Histórico!$A480),ISNUMBER(Histórico!C480),Histórico!C480&gt;0),Histórico!C480,R479)</f>
        <v>64.73</v>
      </c>
      <c r="S480" s="17">
        <f>IF(AND(ISNUMBER(Histórico!$A480),ISNUMBER(Histórico!D480),Histórico!D480&gt;0),Histórico!D480,S479)</f>
        <v>389.05</v>
      </c>
      <c r="T480" s="18">
        <f>IF(AND(ISNUMBER(Histórico!$A480),ISNUMBER(Histórico!E480),Histórico!E480&gt;0),Histórico!E480,T479)</f>
        <v>5.3744</v>
      </c>
      <c r="U480" s="15">
        <f>IF(ISNUMBER(Histórico!A480),Histórico!A480,U479)</f>
        <v>46324</v>
      </c>
    </row>
    <row r="481" spans="17:21" ht="22.95" customHeight="1">
      <c r="Q481" s="17">
        <f>IF(AND(ISNUMBER(Histórico!$A481),ISNUMBER(Histórico!B481),Histórico!B481&gt;0),Histórico!B481,Q480)</f>
        <v>157.42</v>
      </c>
      <c r="R481" s="17">
        <f>IF(AND(ISNUMBER(Histórico!$A481),ISNUMBER(Histórico!C481),Histórico!C481&gt;0),Histórico!C481,R480)</f>
        <v>64.73</v>
      </c>
      <c r="S481" s="17">
        <f>IF(AND(ISNUMBER(Histórico!$A481),ISNUMBER(Histórico!D481),Histórico!D481&gt;0),Histórico!D481,S480)</f>
        <v>389.05</v>
      </c>
      <c r="T481" s="18">
        <f>IF(AND(ISNUMBER(Histórico!$A481),ISNUMBER(Histórico!E481),Histórico!E481&gt;0),Histórico!E481,T480)</f>
        <v>5.3744</v>
      </c>
      <c r="U481" s="15">
        <f>IF(ISNUMBER(Histórico!A481),Histórico!A481,U480)</f>
        <v>46324</v>
      </c>
    </row>
    <row r="482" spans="17:21" ht="22.95" customHeight="1">
      <c r="Q482" s="17">
        <f>IF(AND(ISNUMBER(Histórico!$A482),ISNUMBER(Histórico!B482),Histórico!B482&gt;0),Histórico!B482,Q481)</f>
        <v>157.42</v>
      </c>
      <c r="R482" s="17">
        <f>IF(AND(ISNUMBER(Histórico!$A482),ISNUMBER(Histórico!C482),Histórico!C482&gt;0),Histórico!C482,R481)</f>
        <v>64.73</v>
      </c>
      <c r="S482" s="17">
        <f>IF(AND(ISNUMBER(Histórico!$A482),ISNUMBER(Histórico!D482),Histórico!D482&gt;0),Histórico!D482,S481)</f>
        <v>389.05</v>
      </c>
      <c r="T482" s="18">
        <f>IF(AND(ISNUMBER(Histórico!$A482),ISNUMBER(Histórico!E482),Histórico!E482&gt;0),Histórico!E482,T481)</f>
        <v>5.3744</v>
      </c>
      <c r="U482" s="15">
        <f>IF(ISNUMBER(Histórico!A482),Histórico!A482,U481)</f>
        <v>46324</v>
      </c>
    </row>
    <row r="483" spans="17:21" ht="22.95" customHeight="1">
      <c r="Q483" s="17">
        <f>IF(AND(ISNUMBER(Histórico!$A483),ISNUMBER(Histórico!B483),Histórico!B483&gt;0),Histórico!B483,Q482)</f>
        <v>157.42</v>
      </c>
      <c r="R483" s="17">
        <f>IF(AND(ISNUMBER(Histórico!$A483),ISNUMBER(Histórico!C483),Histórico!C483&gt;0),Histórico!C483,R482)</f>
        <v>64.73</v>
      </c>
      <c r="S483" s="17">
        <f>IF(AND(ISNUMBER(Histórico!$A483),ISNUMBER(Histórico!D483),Histórico!D483&gt;0),Histórico!D483,S482)</f>
        <v>389.05</v>
      </c>
      <c r="T483" s="18">
        <f>IF(AND(ISNUMBER(Histórico!$A483),ISNUMBER(Histórico!E483),Histórico!E483&gt;0),Histórico!E483,T482)</f>
        <v>5.3744</v>
      </c>
      <c r="U483" s="15">
        <f>IF(ISNUMBER(Histórico!A483),Histórico!A483,U482)</f>
        <v>46324</v>
      </c>
    </row>
    <row r="484" spans="17:21" ht="22.95" customHeight="1">
      <c r="Q484" s="17">
        <f>IF(AND(ISNUMBER(Histórico!$A484),ISNUMBER(Histórico!B484),Histórico!B484&gt;0),Histórico!B484,Q483)</f>
        <v>157.42</v>
      </c>
      <c r="R484" s="17">
        <f>IF(AND(ISNUMBER(Histórico!$A484),ISNUMBER(Histórico!C484),Histórico!C484&gt;0),Histórico!C484,R483)</f>
        <v>64.73</v>
      </c>
      <c r="S484" s="17">
        <f>IF(AND(ISNUMBER(Histórico!$A484),ISNUMBER(Histórico!D484),Histórico!D484&gt;0),Histórico!D484,S483)</f>
        <v>389.05</v>
      </c>
      <c r="T484" s="18">
        <f>IF(AND(ISNUMBER(Histórico!$A484),ISNUMBER(Histórico!E484),Histórico!E484&gt;0),Histórico!E484,T483)</f>
        <v>5.3744</v>
      </c>
      <c r="U484" s="15">
        <f>IF(ISNUMBER(Histórico!A484),Histórico!A484,U483)</f>
        <v>46324</v>
      </c>
    </row>
    <row r="485" spans="17:21" ht="22.95" customHeight="1">
      <c r="Q485" s="17">
        <f>IF(AND(ISNUMBER(Histórico!$A485),ISNUMBER(Histórico!B485),Histórico!B485&gt;0),Histórico!B485,Q484)</f>
        <v>157.42</v>
      </c>
      <c r="R485" s="17">
        <f>IF(AND(ISNUMBER(Histórico!$A485),ISNUMBER(Histórico!C485),Histórico!C485&gt;0),Histórico!C485,R484)</f>
        <v>64.73</v>
      </c>
      <c r="S485" s="17">
        <f>IF(AND(ISNUMBER(Histórico!$A485),ISNUMBER(Histórico!D485),Histórico!D485&gt;0),Histórico!D485,S484)</f>
        <v>389.05</v>
      </c>
      <c r="T485" s="18">
        <f>IF(AND(ISNUMBER(Histórico!$A485),ISNUMBER(Histórico!E485),Histórico!E485&gt;0),Histórico!E485,T484)</f>
        <v>5.3744</v>
      </c>
      <c r="U485" s="15">
        <f>IF(ISNUMBER(Histórico!A485),Histórico!A485,U484)</f>
        <v>46324</v>
      </c>
    </row>
    <row r="486" spans="17:21" ht="22.95" customHeight="1">
      <c r="Q486" s="17">
        <f>IF(AND(ISNUMBER(Histórico!$A486),ISNUMBER(Histórico!B486),Histórico!B486&gt;0),Histórico!B486,Q485)</f>
        <v>157.42</v>
      </c>
      <c r="R486" s="17">
        <f>IF(AND(ISNUMBER(Histórico!$A486),ISNUMBER(Histórico!C486),Histórico!C486&gt;0),Histórico!C486,R485)</f>
        <v>64.73</v>
      </c>
      <c r="S486" s="17">
        <f>IF(AND(ISNUMBER(Histórico!$A486),ISNUMBER(Histórico!D486),Histórico!D486&gt;0),Histórico!D486,S485)</f>
        <v>389.05</v>
      </c>
      <c r="T486" s="18">
        <f>IF(AND(ISNUMBER(Histórico!$A486),ISNUMBER(Histórico!E486),Histórico!E486&gt;0),Histórico!E486,T485)</f>
        <v>5.3744</v>
      </c>
      <c r="U486" s="15">
        <f>IF(ISNUMBER(Histórico!A486),Histórico!A486,U485)</f>
        <v>46324</v>
      </c>
    </row>
    <row r="487" spans="17:21" ht="22.95" customHeight="1">
      <c r="Q487" s="17">
        <f>IF(AND(ISNUMBER(Histórico!$A487),ISNUMBER(Histórico!B487),Histórico!B487&gt;0),Histórico!B487,Q486)</f>
        <v>157.42</v>
      </c>
      <c r="R487" s="17">
        <f>IF(AND(ISNUMBER(Histórico!$A487),ISNUMBER(Histórico!C487),Histórico!C487&gt;0),Histórico!C487,R486)</f>
        <v>64.73</v>
      </c>
      <c r="S487" s="17">
        <f>IF(AND(ISNUMBER(Histórico!$A487),ISNUMBER(Histórico!D487),Histórico!D487&gt;0),Histórico!D487,S486)</f>
        <v>389.05</v>
      </c>
      <c r="T487" s="18">
        <f>IF(AND(ISNUMBER(Histórico!$A487),ISNUMBER(Histórico!E487),Histórico!E487&gt;0),Histórico!E487,T486)</f>
        <v>5.3744</v>
      </c>
      <c r="U487" s="15">
        <f>IF(ISNUMBER(Histórico!A487),Histórico!A487,U486)</f>
        <v>46324</v>
      </c>
    </row>
    <row r="488" spans="17:21" ht="22.95" customHeight="1">
      <c r="Q488" s="17">
        <f>IF(AND(ISNUMBER(Histórico!$A488),ISNUMBER(Histórico!B488),Histórico!B488&gt;0),Histórico!B488,Q487)</f>
        <v>157.42</v>
      </c>
      <c r="R488" s="17">
        <f>IF(AND(ISNUMBER(Histórico!$A488),ISNUMBER(Histórico!C488),Histórico!C488&gt;0),Histórico!C488,R487)</f>
        <v>64.73</v>
      </c>
      <c r="S488" s="17">
        <f>IF(AND(ISNUMBER(Histórico!$A488),ISNUMBER(Histórico!D488),Histórico!D488&gt;0),Histórico!D488,S487)</f>
        <v>389.05</v>
      </c>
      <c r="T488" s="18">
        <f>IF(AND(ISNUMBER(Histórico!$A488),ISNUMBER(Histórico!E488),Histórico!E488&gt;0),Histórico!E488,T487)</f>
        <v>5.3744</v>
      </c>
      <c r="U488" s="15">
        <f>IF(ISNUMBER(Histórico!A488),Histórico!A488,U487)</f>
        <v>46324</v>
      </c>
    </row>
    <row r="489" spans="17:21" ht="22.95" customHeight="1">
      <c r="Q489" s="17">
        <f>IF(AND(ISNUMBER(Histórico!$A489),ISNUMBER(Histórico!B489),Histórico!B489&gt;0),Histórico!B489,Q488)</f>
        <v>157.42</v>
      </c>
      <c r="R489" s="17">
        <f>IF(AND(ISNUMBER(Histórico!$A489),ISNUMBER(Histórico!C489),Histórico!C489&gt;0),Histórico!C489,R488)</f>
        <v>64.73</v>
      </c>
      <c r="S489" s="17">
        <f>IF(AND(ISNUMBER(Histórico!$A489),ISNUMBER(Histórico!D489),Histórico!D489&gt;0),Histórico!D489,S488)</f>
        <v>389.05</v>
      </c>
      <c r="T489" s="18">
        <f>IF(AND(ISNUMBER(Histórico!$A489),ISNUMBER(Histórico!E489),Histórico!E489&gt;0),Histórico!E489,T488)</f>
        <v>5.3744</v>
      </c>
      <c r="U489" s="15">
        <f>IF(ISNUMBER(Histórico!A489),Histórico!A489,U488)</f>
        <v>46324</v>
      </c>
    </row>
    <row r="490" spans="17:21" ht="22.95" customHeight="1">
      <c r="Q490" s="17">
        <f>IF(AND(ISNUMBER(Histórico!$A490),ISNUMBER(Histórico!B490),Histórico!B490&gt;0),Histórico!B490,Q489)</f>
        <v>157.42</v>
      </c>
      <c r="R490" s="17">
        <f>IF(AND(ISNUMBER(Histórico!$A490),ISNUMBER(Histórico!C490),Histórico!C490&gt;0),Histórico!C490,R489)</f>
        <v>64.73</v>
      </c>
      <c r="S490" s="17">
        <f>IF(AND(ISNUMBER(Histórico!$A490),ISNUMBER(Histórico!D490),Histórico!D490&gt;0),Histórico!D490,S489)</f>
        <v>389.05</v>
      </c>
      <c r="T490" s="18">
        <f>IF(AND(ISNUMBER(Histórico!$A490),ISNUMBER(Histórico!E490),Histórico!E490&gt;0),Histórico!E490,T489)</f>
        <v>5.3744</v>
      </c>
      <c r="U490" s="15">
        <f>IF(ISNUMBER(Histórico!A490),Histórico!A490,U489)</f>
        <v>46324</v>
      </c>
    </row>
    <row r="491" spans="17:21" ht="22.95" customHeight="1">
      <c r="Q491" s="17">
        <f>IF(AND(ISNUMBER(Histórico!$A491),ISNUMBER(Histórico!B491),Histórico!B491&gt;0),Histórico!B491,Q490)</f>
        <v>157.42</v>
      </c>
      <c r="R491" s="17">
        <f>IF(AND(ISNUMBER(Histórico!$A491),ISNUMBER(Histórico!C491),Histórico!C491&gt;0),Histórico!C491,R490)</f>
        <v>64.73</v>
      </c>
      <c r="S491" s="17">
        <f>IF(AND(ISNUMBER(Histórico!$A491),ISNUMBER(Histórico!D491),Histórico!D491&gt;0),Histórico!D491,S490)</f>
        <v>389.05</v>
      </c>
      <c r="T491" s="18">
        <f>IF(AND(ISNUMBER(Histórico!$A491),ISNUMBER(Histórico!E491),Histórico!E491&gt;0),Histórico!E491,T490)</f>
        <v>5.3744</v>
      </c>
      <c r="U491" s="15">
        <f>IF(ISNUMBER(Histórico!A491),Histórico!A491,U490)</f>
        <v>46324</v>
      </c>
    </row>
    <row r="492" spans="17:21" ht="22.95" customHeight="1">
      <c r="Q492" s="17">
        <f>IF(AND(ISNUMBER(Histórico!$A492),ISNUMBER(Histórico!B492),Histórico!B492&gt;0),Histórico!B492,Q491)</f>
        <v>157.42</v>
      </c>
      <c r="R492" s="17">
        <f>IF(AND(ISNUMBER(Histórico!$A492),ISNUMBER(Histórico!C492),Histórico!C492&gt;0),Histórico!C492,R491)</f>
        <v>64.73</v>
      </c>
      <c r="S492" s="17">
        <f>IF(AND(ISNUMBER(Histórico!$A492),ISNUMBER(Histórico!D492),Histórico!D492&gt;0),Histórico!D492,S491)</f>
        <v>389.05</v>
      </c>
      <c r="T492" s="18">
        <f>IF(AND(ISNUMBER(Histórico!$A492),ISNUMBER(Histórico!E492),Histórico!E492&gt;0),Histórico!E492,T491)</f>
        <v>5.3744</v>
      </c>
      <c r="U492" s="15">
        <f>IF(ISNUMBER(Histórico!A492),Histórico!A492,U491)</f>
        <v>46324</v>
      </c>
    </row>
    <row r="493" spans="17:21" ht="22.95" customHeight="1">
      <c r="Q493" s="17">
        <f>IF(AND(ISNUMBER(Histórico!$A493),ISNUMBER(Histórico!B493),Histórico!B493&gt;0),Histórico!B493,Q492)</f>
        <v>157.42</v>
      </c>
      <c r="R493" s="17">
        <f>IF(AND(ISNUMBER(Histórico!$A493),ISNUMBER(Histórico!C493),Histórico!C493&gt;0),Histórico!C493,R492)</f>
        <v>64.73</v>
      </c>
      <c r="S493" s="17">
        <f>IF(AND(ISNUMBER(Histórico!$A493),ISNUMBER(Histórico!D493),Histórico!D493&gt;0),Histórico!D493,S492)</f>
        <v>389.05</v>
      </c>
      <c r="T493" s="18">
        <f>IF(AND(ISNUMBER(Histórico!$A493),ISNUMBER(Histórico!E493),Histórico!E493&gt;0),Histórico!E493,T492)</f>
        <v>5.3744</v>
      </c>
      <c r="U493" s="15">
        <f>IF(ISNUMBER(Histórico!A493),Histórico!A493,U492)</f>
        <v>46324</v>
      </c>
    </row>
    <row r="494" spans="17:21" ht="22.95" customHeight="1">
      <c r="Q494" s="17">
        <f>IF(AND(ISNUMBER(Histórico!$A494),ISNUMBER(Histórico!B494),Histórico!B494&gt;0),Histórico!B494,Q493)</f>
        <v>157.42</v>
      </c>
      <c r="R494" s="17">
        <f>IF(AND(ISNUMBER(Histórico!$A494),ISNUMBER(Histórico!C494),Histórico!C494&gt;0),Histórico!C494,R493)</f>
        <v>64.73</v>
      </c>
      <c r="S494" s="17">
        <f>IF(AND(ISNUMBER(Histórico!$A494),ISNUMBER(Histórico!D494),Histórico!D494&gt;0),Histórico!D494,S493)</f>
        <v>389.05</v>
      </c>
      <c r="T494" s="18">
        <f>IF(AND(ISNUMBER(Histórico!$A494),ISNUMBER(Histórico!E494),Histórico!E494&gt;0),Histórico!E494,T493)</f>
        <v>5.3744</v>
      </c>
      <c r="U494" s="15">
        <f>IF(ISNUMBER(Histórico!A494),Histórico!A494,U493)</f>
        <v>46324</v>
      </c>
    </row>
    <row r="495" spans="17:21" ht="22.95" customHeight="1">
      <c r="Q495" s="17">
        <f>IF(AND(ISNUMBER(Histórico!$A495),ISNUMBER(Histórico!B495),Histórico!B495&gt;0),Histórico!B495,Q494)</f>
        <v>157.42</v>
      </c>
      <c r="R495" s="17">
        <f>IF(AND(ISNUMBER(Histórico!$A495),ISNUMBER(Histórico!C495),Histórico!C495&gt;0),Histórico!C495,R494)</f>
        <v>64.73</v>
      </c>
      <c r="S495" s="17">
        <f>IF(AND(ISNUMBER(Histórico!$A495),ISNUMBER(Histórico!D495),Histórico!D495&gt;0),Histórico!D495,S494)</f>
        <v>389.05</v>
      </c>
      <c r="T495" s="18">
        <f>IF(AND(ISNUMBER(Histórico!$A495),ISNUMBER(Histórico!E495),Histórico!E495&gt;0),Histórico!E495,T494)</f>
        <v>5.3744</v>
      </c>
      <c r="U495" s="15">
        <f>IF(ISNUMBER(Histórico!A495),Histórico!A495,U494)</f>
        <v>46324</v>
      </c>
    </row>
    <row r="496" spans="17:21" ht="22.95" customHeight="1">
      <c r="Q496" s="17">
        <f>IF(AND(ISNUMBER(Histórico!$A496),ISNUMBER(Histórico!B496),Histórico!B496&gt;0),Histórico!B496,Q495)</f>
        <v>157.42</v>
      </c>
      <c r="R496" s="17">
        <f>IF(AND(ISNUMBER(Histórico!$A496),ISNUMBER(Histórico!C496),Histórico!C496&gt;0),Histórico!C496,R495)</f>
        <v>64.73</v>
      </c>
      <c r="S496" s="17">
        <f>IF(AND(ISNUMBER(Histórico!$A496),ISNUMBER(Histórico!D496),Histórico!D496&gt;0),Histórico!D496,S495)</f>
        <v>389.05</v>
      </c>
      <c r="T496" s="18">
        <f>IF(AND(ISNUMBER(Histórico!$A496),ISNUMBER(Histórico!E496),Histórico!E496&gt;0),Histórico!E496,T495)</f>
        <v>5.3744</v>
      </c>
      <c r="U496" s="15">
        <f>IF(ISNUMBER(Histórico!A496),Histórico!A496,U495)</f>
        <v>46324</v>
      </c>
    </row>
    <row r="497" spans="17:21" ht="22.95" customHeight="1">
      <c r="Q497" s="17">
        <f>IF(AND(ISNUMBER(Histórico!$A497),ISNUMBER(Histórico!B497),Histórico!B497&gt;0),Histórico!B497,Q496)</f>
        <v>157.42</v>
      </c>
      <c r="R497" s="17">
        <f>IF(AND(ISNUMBER(Histórico!$A497),ISNUMBER(Histórico!C497),Histórico!C497&gt;0),Histórico!C497,R496)</f>
        <v>64.73</v>
      </c>
      <c r="S497" s="17">
        <f>IF(AND(ISNUMBER(Histórico!$A497),ISNUMBER(Histórico!D497),Histórico!D497&gt;0),Histórico!D497,S496)</f>
        <v>389.05</v>
      </c>
      <c r="T497" s="18">
        <f>IF(AND(ISNUMBER(Histórico!$A497),ISNUMBER(Histórico!E497),Histórico!E497&gt;0),Histórico!E497,T496)</f>
        <v>5.3744</v>
      </c>
      <c r="U497" s="15">
        <f>IF(ISNUMBER(Histórico!A497),Histórico!A497,U496)</f>
        <v>46324</v>
      </c>
    </row>
    <row r="498" spans="17:21" ht="22.95" customHeight="1">
      <c r="Q498" s="17">
        <f>IF(AND(ISNUMBER(Histórico!$A498),ISNUMBER(Histórico!B498),Histórico!B498&gt;0),Histórico!B498,Q497)</f>
        <v>157.42</v>
      </c>
      <c r="R498" s="17">
        <f>IF(AND(ISNUMBER(Histórico!$A498),ISNUMBER(Histórico!C498),Histórico!C498&gt;0),Histórico!C498,R497)</f>
        <v>64.73</v>
      </c>
      <c r="S498" s="17">
        <f>IF(AND(ISNUMBER(Histórico!$A498),ISNUMBER(Histórico!D498),Histórico!D498&gt;0),Histórico!D498,S497)</f>
        <v>389.05</v>
      </c>
      <c r="T498" s="18">
        <f>IF(AND(ISNUMBER(Histórico!$A498),ISNUMBER(Histórico!E498),Histórico!E498&gt;0),Histórico!E498,T497)</f>
        <v>5.3744</v>
      </c>
      <c r="U498" s="15">
        <f>IF(ISNUMBER(Histórico!A498),Histórico!A498,U497)</f>
        <v>46324</v>
      </c>
    </row>
    <row r="499" spans="17:21" ht="22.95" customHeight="1">
      <c r="Q499" s="17">
        <f>IF(AND(ISNUMBER(Histórico!$A499),ISNUMBER(Histórico!B499),Histórico!B499&gt;0),Histórico!B499,Q498)</f>
        <v>157.42</v>
      </c>
      <c r="R499" s="17">
        <f>IF(AND(ISNUMBER(Histórico!$A499),ISNUMBER(Histórico!C499),Histórico!C499&gt;0),Histórico!C499,R498)</f>
        <v>64.73</v>
      </c>
      <c r="S499" s="17">
        <f>IF(AND(ISNUMBER(Histórico!$A499),ISNUMBER(Histórico!D499),Histórico!D499&gt;0),Histórico!D499,S498)</f>
        <v>389.05</v>
      </c>
      <c r="T499" s="18">
        <f>IF(AND(ISNUMBER(Histórico!$A499),ISNUMBER(Histórico!E499),Histórico!E499&gt;0),Histórico!E499,T498)</f>
        <v>5.3744</v>
      </c>
      <c r="U499" s="15">
        <f>IF(ISNUMBER(Histórico!A499),Histórico!A499,U498)</f>
        <v>46324</v>
      </c>
    </row>
    <row r="500" spans="17:21" ht="22.95" customHeight="1">
      <c r="Q500" s="17">
        <f>IF(AND(ISNUMBER(Histórico!$A500),ISNUMBER(Histórico!B500),Histórico!B500&gt;0),Histórico!B500,Q499)</f>
        <v>157.42</v>
      </c>
      <c r="R500" s="17">
        <f>IF(AND(ISNUMBER(Histórico!$A500),ISNUMBER(Histórico!C500),Histórico!C500&gt;0),Histórico!C500,R499)</f>
        <v>64.73</v>
      </c>
      <c r="S500" s="17">
        <f>IF(AND(ISNUMBER(Histórico!$A500),ISNUMBER(Histórico!D500),Histórico!D500&gt;0),Histórico!D500,S499)</f>
        <v>389.05</v>
      </c>
      <c r="T500" s="18">
        <f>IF(AND(ISNUMBER(Histórico!$A500),ISNUMBER(Histórico!E500),Histórico!E500&gt;0),Histórico!E500,T499)</f>
        <v>5.3744</v>
      </c>
      <c r="U500" s="15">
        <f>IF(ISNUMBER(Histórico!A500),Histórico!A500,U499)</f>
        <v>46324</v>
      </c>
    </row>
    <row r="501" spans="17:21" ht="22.95" customHeight="1">
      <c r="Q501" s="17">
        <f>IF(AND(ISNUMBER(Histórico!$A501),ISNUMBER(Histórico!B501),Histórico!B501&gt;0),Histórico!B501,Q500)</f>
        <v>157.42</v>
      </c>
      <c r="R501" s="17">
        <f>IF(AND(ISNUMBER(Histórico!$A501),ISNUMBER(Histórico!C501),Histórico!C501&gt;0),Histórico!C501,R500)</f>
        <v>64.73</v>
      </c>
      <c r="S501" s="17">
        <f>IF(AND(ISNUMBER(Histórico!$A501),ISNUMBER(Histórico!D501),Histórico!D501&gt;0),Histórico!D501,S500)</f>
        <v>389.05</v>
      </c>
      <c r="T501" s="18">
        <f>IF(AND(ISNUMBER(Histórico!$A501),ISNUMBER(Histórico!E501),Histórico!E501&gt;0),Histórico!E501,T500)</f>
        <v>5.3744</v>
      </c>
      <c r="U501" s="15">
        <f>IF(ISNUMBER(Histórico!A501),Histórico!A501,U500)</f>
        <v>46324</v>
      </c>
    </row>
    <row r="502" spans="17:21" ht="22.95" customHeight="1">
      <c r="Q502" s="17">
        <f>IF(AND(ISNUMBER(Histórico!$A502),ISNUMBER(Histórico!B502),Histórico!B502&gt;0),Histórico!B502,Q501)</f>
        <v>157.42</v>
      </c>
      <c r="R502" s="17">
        <f>IF(AND(ISNUMBER(Histórico!$A502),ISNUMBER(Histórico!C502),Histórico!C502&gt;0),Histórico!C502,R501)</f>
        <v>64.73</v>
      </c>
      <c r="S502" s="17">
        <f>IF(AND(ISNUMBER(Histórico!$A502),ISNUMBER(Histórico!D502),Histórico!D502&gt;0),Histórico!D502,S501)</f>
        <v>389.05</v>
      </c>
      <c r="T502" s="18">
        <f>IF(AND(ISNUMBER(Histórico!$A502),ISNUMBER(Histórico!E502),Histórico!E502&gt;0),Histórico!E502,T501)</f>
        <v>5.3744</v>
      </c>
      <c r="U502" s="15">
        <f>IF(ISNUMBER(Histórico!A502),Histórico!A502,U501)</f>
        <v>46324</v>
      </c>
    </row>
    <row r="503" spans="17:21" ht="22.95" customHeight="1">
      <c r="Q503" s="17">
        <f>IF(AND(ISNUMBER(Histórico!$A503),ISNUMBER(Histórico!B503),Histórico!B503&gt;0),Histórico!B503,Q502)</f>
        <v>157.42</v>
      </c>
      <c r="R503" s="17">
        <f>IF(AND(ISNUMBER(Histórico!$A503),ISNUMBER(Histórico!C503),Histórico!C503&gt;0),Histórico!C503,R502)</f>
        <v>64.73</v>
      </c>
      <c r="S503" s="17">
        <f>IF(AND(ISNUMBER(Histórico!$A503),ISNUMBER(Histórico!D503),Histórico!D503&gt;0),Histórico!D503,S502)</f>
        <v>389.05</v>
      </c>
      <c r="T503" s="18">
        <f>IF(AND(ISNUMBER(Histórico!$A503),ISNUMBER(Histórico!E503),Histórico!E503&gt;0),Histórico!E503,T502)</f>
        <v>5.3744</v>
      </c>
      <c r="U503" s="15">
        <f>IF(ISNUMBER(Histórico!A503),Histórico!A503,U502)</f>
        <v>46324</v>
      </c>
    </row>
    <row r="504" spans="17:21" ht="22.95" customHeight="1">
      <c r="Q504" s="17">
        <f>IF(AND(ISNUMBER(Histórico!$A504),ISNUMBER(Histórico!B504),Histórico!B504&gt;0),Histórico!B504,Q503)</f>
        <v>157.42</v>
      </c>
      <c r="R504" s="17">
        <f>IF(AND(ISNUMBER(Histórico!$A504),ISNUMBER(Histórico!C504),Histórico!C504&gt;0),Histórico!C504,R503)</f>
        <v>64.73</v>
      </c>
      <c r="S504" s="17">
        <f>IF(AND(ISNUMBER(Histórico!$A504),ISNUMBER(Histórico!D504),Histórico!D504&gt;0),Histórico!D504,S503)</f>
        <v>389.05</v>
      </c>
      <c r="T504" s="18">
        <f>IF(AND(ISNUMBER(Histórico!$A504),ISNUMBER(Histórico!E504),Histórico!E504&gt;0),Histórico!E504,T503)</f>
        <v>5.3744</v>
      </c>
      <c r="U504" s="15">
        <f>IF(ISNUMBER(Histórico!A504),Histórico!A504,U503)</f>
        <v>46324</v>
      </c>
    </row>
    <row r="505" spans="17:21" ht="22.95" customHeight="1">
      <c r="Q505" s="17">
        <f>IF(AND(ISNUMBER(Histórico!$A505),ISNUMBER(Histórico!B505),Histórico!B505&gt;0),Histórico!B505,Q504)</f>
        <v>157.42</v>
      </c>
      <c r="R505" s="17">
        <f>IF(AND(ISNUMBER(Histórico!$A505),ISNUMBER(Histórico!C505),Histórico!C505&gt;0),Histórico!C505,R504)</f>
        <v>64.73</v>
      </c>
      <c r="S505" s="17">
        <f>IF(AND(ISNUMBER(Histórico!$A505),ISNUMBER(Histórico!D505),Histórico!D505&gt;0),Histórico!D505,S504)</f>
        <v>389.05</v>
      </c>
      <c r="T505" s="18">
        <f>IF(AND(ISNUMBER(Histórico!$A505),ISNUMBER(Histórico!E505),Histórico!E505&gt;0),Histórico!E505,T504)</f>
        <v>5.3744</v>
      </c>
      <c r="U505" s="15">
        <f>IF(ISNUMBER(Histórico!A505),Histórico!A505,U504)</f>
        <v>46324</v>
      </c>
    </row>
    <row r="506" spans="17:21" ht="22.95" customHeight="1">
      <c r="Q506" s="17">
        <f>IF(AND(ISNUMBER(Histórico!$A506),ISNUMBER(Histórico!B506),Histórico!B506&gt;0),Histórico!B506,Q505)</f>
        <v>157.42</v>
      </c>
      <c r="R506" s="17">
        <f>IF(AND(ISNUMBER(Histórico!$A506),ISNUMBER(Histórico!C506),Histórico!C506&gt;0),Histórico!C506,R505)</f>
        <v>64.73</v>
      </c>
      <c r="S506" s="17">
        <f>IF(AND(ISNUMBER(Histórico!$A506),ISNUMBER(Histórico!D506),Histórico!D506&gt;0),Histórico!D506,S505)</f>
        <v>389.05</v>
      </c>
      <c r="T506" s="18">
        <f>IF(AND(ISNUMBER(Histórico!$A506),ISNUMBER(Histórico!E506),Histórico!E506&gt;0),Histórico!E506,T505)</f>
        <v>5.3744</v>
      </c>
      <c r="U506" s="15">
        <f>IF(ISNUMBER(Histórico!A506),Histórico!A506,U505)</f>
        <v>46324</v>
      </c>
    </row>
    <row r="507" spans="17:21" ht="22.95" customHeight="1">
      <c r="Q507" s="17">
        <f>IF(AND(ISNUMBER(Histórico!$A507),ISNUMBER(Histórico!B507),Histórico!B507&gt;0),Histórico!B507,Q506)</f>
        <v>157.42</v>
      </c>
      <c r="R507" s="17">
        <f>IF(AND(ISNUMBER(Histórico!$A507),ISNUMBER(Histórico!C507),Histórico!C507&gt;0),Histórico!C507,R506)</f>
        <v>64.73</v>
      </c>
      <c r="S507" s="17">
        <f>IF(AND(ISNUMBER(Histórico!$A507),ISNUMBER(Histórico!D507),Histórico!D507&gt;0),Histórico!D507,S506)</f>
        <v>389.05</v>
      </c>
      <c r="T507" s="18">
        <f>IF(AND(ISNUMBER(Histórico!$A507),ISNUMBER(Histórico!E507),Histórico!E507&gt;0),Histórico!E507,T506)</f>
        <v>5.3744</v>
      </c>
      <c r="U507" s="15">
        <f>IF(ISNUMBER(Histórico!A507),Histórico!A507,U506)</f>
        <v>46324</v>
      </c>
    </row>
    <row r="508" spans="17:21" ht="22.95" customHeight="1">
      <c r="Q508" s="17">
        <f>IF(AND(ISNUMBER(Histórico!$A508),ISNUMBER(Histórico!B508),Histórico!B508&gt;0),Histórico!B508,Q507)</f>
        <v>157.42</v>
      </c>
      <c r="R508" s="17">
        <f>IF(AND(ISNUMBER(Histórico!$A508),ISNUMBER(Histórico!C508),Histórico!C508&gt;0),Histórico!C508,R507)</f>
        <v>64.73</v>
      </c>
      <c r="S508" s="17">
        <f>IF(AND(ISNUMBER(Histórico!$A508),ISNUMBER(Histórico!D508),Histórico!D508&gt;0),Histórico!D508,S507)</f>
        <v>389.05</v>
      </c>
      <c r="T508" s="18">
        <f>IF(AND(ISNUMBER(Histórico!$A508),ISNUMBER(Histórico!E508),Histórico!E508&gt;0),Histórico!E508,T507)</f>
        <v>5.3744</v>
      </c>
      <c r="U508" s="15">
        <f>IF(ISNUMBER(Histórico!A508),Histórico!A508,U507)</f>
        <v>46324</v>
      </c>
    </row>
    <row r="509" spans="17:21" ht="22.95" customHeight="1">
      <c r="Q509" s="17">
        <f>IF(AND(ISNUMBER(Histórico!$A509),ISNUMBER(Histórico!B509),Histórico!B509&gt;0),Histórico!B509,Q508)</f>
        <v>157.42</v>
      </c>
      <c r="R509" s="17">
        <f>IF(AND(ISNUMBER(Histórico!$A509),ISNUMBER(Histórico!C509),Histórico!C509&gt;0),Histórico!C509,R508)</f>
        <v>64.73</v>
      </c>
      <c r="S509" s="17">
        <f>IF(AND(ISNUMBER(Histórico!$A509),ISNUMBER(Histórico!D509),Histórico!D509&gt;0),Histórico!D509,S508)</f>
        <v>389.05</v>
      </c>
      <c r="T509" s="18">
        <f>IF(AND(ISNUMBER(Histórico!$A509),ISNUMBER(Histórico!E509),Histórico!E509&gt;0),Histórico!E509,T508)</f>
        <v>5.3744</v>
      </c>
      <c r="U509" s="15">
        <f>IF(ISNUMBER(Histórico!A509),Histórico!A509,U508)</f>
        <v>46324</v>
      </c>
    </row>
    <row r="510" spans="17:21" ht="22.95" customHeight="1">
      <c r="Q510" s="17">
        <f>IF(AND(ISNUMBER(Histórico!$A510),ISNUMBER(Histórico!B510),Histórico!B510&gt;0),Histórico!B510,Q509)</f>
        <v>157.42</v>
      </c>
      <c r="R510" s="17">
        <f>IF(AND(ISNUMBER(Histórico!$A510),ISNUMBER(Histórico!C510),Histórico!C510&gt;0),Histórico!C510,R509)</f>
        <v>64.73</v>
      </c>
      <c r="S510" s="17">
        <f>IF(AND(ISNUMBER(Histórico!$A510),ISNUMBER(Histórico!D510),Histórico!D510&gt;0),Histórico!D510,S509)</f>
        <v>389.05</v>
      </c>
      <c r="T510" s="18">
        <f>IF(AND(ISNUMBER(Histórico!$A510),ISNUMBER(Histórico!E510),Histórico!E510&gt;0),Histórico!E510,T509)</f>
        <v>5.3744</v>
      </c>
      <c r="U510" s="15">
        <f>IF(ISNUMBER(Histórico!A510),Histórico!A510,U509)</f>
        <v>46324</v>
      </c>
    </row>
    <row r="511" spans="17:21" ht="22.95" customHeight="1">
      <c r="Q511" s="17">
        <f>IF(AND(ISNUMBER(Histórico!$A511),ISNUMBER(Histórico!B511),Histórico!B511&gt;0),Histórico!B511,Q510)</f>
        <v>157.42</v>
      </c>
      <c r="R511" s="17">
        <f>IF(AND(ISNUMBER(Histórico!$A511),ISNUMBER(Histórico!C511),Histórico!C511&gt;0),Histórico!C511,R510)</f>
        <v>64.73</v>
      </c>
      <c r="S511" s="17">
        <f>IF(AND(ISNUMBER(Histórico!$A511),ISNUMBER(Histórico!D511),Histórico!D511&gt;0),Histórico!D511,S510)</f>
        <v>389.05</v>
      </c>
      <c r="T511" s="18">
        <f>IF(AND(ISNUMBER(Histórico!$A511),ISNUMBER(Histórico!E511),Histórico!E511&gt;0),Histórico!E511,T510)</f>
        <v>5.3744</v>
      </c>
      <c r="U511" s="15">
        <f>IF(ISNUMBER(Histórico!A511),Histórico!A511,U510)</f>
        <v>46324</v>
      </c>
    </row>
    <row r="512" spans="17:21" ht="22.95" customHeight="1">
      <c r="Q512" s="17">
        <f>IF(AND(ISNUMBER(Histórico!$A512),ISNUMBER(Histórico!B512),Histórico!B512&gt;0),Histórico!B512,Q511)</f>
        <v>157.42</v>
      </c>
      <c r="R512" s="17">
        <f>IF(AND(ISNUMBER(Histórico!$A512),ISNUMBER(Histórico!C512),Histórico!C512&gt;0),Histórico!C512,R511)</f>
        <v>64.73</v>
      </c>
      <c r="S512" s="17">
        <f>IF(AND(ISNUMBER(Histórico!$A512),ISNUMBER(Histórico!D512),Histórico!D512&gt;0),Histórico!D512,S511)</f>
        <v>389.05</v>
      </c>
      <c r="T512" s="18">
        <f>IF(AND(ISNUMBER(Histórico!$A512),ISNUMBER(Histórico!E512),Histórico!E512&gt;0),Histórico!E512,T511)</f>
        <v>5.3744</v>
      </c>
      <c r="U512" s="15">
        <f>IF(ISNUMBER(Histórico!A512),Histórico!A512,U511)</f>
        <v>46324</v>
      </c>
    </row>
    <row r="513" spans="17:21" ht="22.95" customHeight="1">
      <c r="Q513" s="17">
        <f>IF(AND(ISNUMBER(Histórico!$A513),ISNUMBER(Histórico!B513),Histórico!B513&gt;0),Histórico!B513,Q512)</f>
        <v>157.42</v>
      </c>
      <c r="R513" s="17">
        <f>IF(AND(ISNUMBER(Histórico!$A513),ISNUMBER(Histórico!C513),Histórico!C513&gt;0),Histórico!C513,R512)</f>
        <v>64.73</v>
      </c>
      <c r="S513" s="17">
        <f>IF(AND(ISNUMBER(Histórico!$A513),ISNUMBER(Histórico!D513),Histórico!D513&gt;0),Histórico!D513,S512)</f>
        <v>389.05</v>
      </c>
      <c r="T513" s="18">
        <f>IF(AND(ISNUMBER(Histórico!$A513),ISNUMBER(Histórico!E513),Histórico!E513&gt;0),Histórico!E513,T512)</f>
        <v>5.3744</v>
      </c>
      <c r="U513" s="15">
        <f>IF(ISNUMBER(Histórico!A513),Histórico!A513,U512)</f>
        <v>46324</v>
      </c>
    </row>
    <row r="514" spans="17:21" ht="22.95" customHeight="1">
      <c r="Q514" s="17">
        <f>IF(AND(ISNUMBER(Histórico!$A514),ISNUMBER(Histórico!B514),Histórico!B514&gt;0),Histórico!B514,Q513)</f>
        <v>157.42</v>
      </c>
      <c r="R514" s="17">
        <f>IF(AND(ISNUMBER(Histórico!$A514),ISNUMBER(Histórico!C514),Histórico!C514&gt;0),Histórico!C514,R513)</f>
        <v>64.73</v>
      </c>
      <c r="S514" s="17">
        <f>IF(AND(ISNUMBER(Histórico!$A514),ISNUMBER(Histórico!D514),Histórico!D514&gt;0),Histórico!D514,S513)</f>
        <v>389.05</v>
      </c>
      <c r="T514" s="18">
        <f>IF(AND(ISNUMBER(Histórico!$A514),ISNUMBER(Histórico!E514),Histórico!E514&gt;0),Histórico!E514,T513)</f>
        <v>5.3744</v>
      </c>
      <c r="U514" s="15">
        <f>IF(ISNUMBER(Histórico!A514),Histórico!A514,U513)</f>
        <v>46324</v>
      </c>
    </row>
    <row r="515" spans="17:21" ht="22.95" customHeight="1">
      <c r="Q515" s="17">
        <f>IF(AND(ISNUMBER(Histórico!$A515),ISNUMBER(Histórico!B515),Histórico!B515&gt;0),Histórico!B515,Q514)</f>
        <v>157.42</v>
      </c>
      <c r="R515" s="17">
        <f>IF(AND(ISNUMBER(Histórico!$A515),ISNUMBER(Histórico!C515),Histórico!C515&gt;0),Histórico!C515,R514)</f>
        <v>64.73</v>
      </c>
      <c r="S515" s="17">
        <f>IF(AND(ISNUMBER(Histórico!$A515),ISNUMBER(Histórico!D515),Histórico!D515&gt;0),Histórico!D515,S514)</f>
        <v>389.05</v>
      </c>
      <c r="T515" s="18">
        <f>IF(AND(ISNUMBER(Histórico!$A515),ISNUMBER(Histórico!E515),Histórico!E515&gt;0),Histórico!E515,T514)</f>
        <v>5.3744</v>
      </c>
      <c r="U515" s="15">
        <f>IF(ISNUMBER(Histórico!A515),Histórico!A515,U514)</f>
        <v>46324</v>
      </c>
    </row>
    <row r="516" spans="17:21" ht="22.95" customHeight="1">
      <c r="Q516" s="17">
        <f>IF(AND(ISNUMBER(Histórico!$A516),ISNUMBER(Histórico!B516),Histórico!B516&gt;0),Histórico!B516,Q515)</f>
        <v>157.42</v>
      </c>
      <c r="R516" s="17">
        <f>IF(AND(ISNUMBER(Histórico!$A516),ISNUMBER(Histórico!C516),Histórico!C516&gt;0),Histórico!C516,R515)</f>
        <v>64.73</v>
      </c>
      <c r="S516" s="17">
        <f>IF(AND(ISNUMBER(Histórico!$A516),ISNUMBER(Histórico!D516),Histórico!D516&gt;0),Histórico!D516,S515)</f>
        <v>389.05</v>
      </c>
      <c r="T516" s="18">
        <f>IF(AND(ISNUMBER(Histórico!$A516),ISNUMBER(Histórico!E516),Histórico!E516&gt;0),Histórico!E516,T515)</f>
        <v>5.3744</v>
      </c>
      <c r="U516" s="15">
        <f>IF(ISNUMBER(Histórico!A516),Histórico!A516,U515)</f>
        <v>46324</v>
      </c>
    </row>
    <row r="517" spans="17:21" ht="22.95" customHeight="1">
      <c r="Q517" s="17">
        <f>IF(AND(ISNUMBER(Histórico!$A517),ISNUMBER(Histórico!B517),Histórico!B517&gt;0),Histórico!B517,Q516)</f>
        <v>157.42</v>
      </c>
      <c r="R517" s="17">
        <f>IF(AND(ISNUMBER(Histórico!$A517),ISNUMBER(Histórico!C517),Histórico!C517&gt;0),Histórico!C517,R516)</f>
        <v>64.73</v>
      </c>
      <c r="S517" s="17">
        <f>IF(AND(ISNUMBER(Histórico!$A517),ISNUMBER(Histórico!D517),Histórico!D517&gt;0),Histórico!D517,S516)</f>
        <v>389.05</v>
      </c>
      <c r="T517" s="18">
        <f>IF(AND(ISNUMBER(Histórico!$A517),ISNUMBER(Histórico!E517),Histórico!E517&gt;0),Histórico!E517,T516)</f>
        <v>5.3744</v>
      </c>
      <c r="U517" s="15">
        <f>IF(ISNUMBER(Histórico!A517),Histórico!A517,U516)</f>
        <v>46324</v>
      </c>
    </row>
    <row r="518" spans="17:21" ht="22.95" customHeight="1">
      <c r="Q518" s="17">
        <f>IF(AND(ISNUMBER(Histórico!$A518),ISNUMBER(Histórico!B518),Histórico!B518&gt;0),Histórico!B518,Q517)</f>
        <v>157.42</v>
      </c>
      <c r="R518" s="17">
        <f>IF(AND(ISNUMBER(Histórico!$A518),ISNUMBER(Histórico!C518),Histórico!C518&gt;0),Histórico!C518,R517)</f>
        <v>64.73</v>
      </c>
      <c r="S518" s="17">
        <f>IF(AND(ISNUMBER(Histórico!$A518),ISNUMBER(Histórico!D518),Histórico!D518&gt;0),Histórico!D518,S517)</f>
        <v>389.05</v>
      </c>
      <c r="T518" s="18">
        <f>IF(AND(ISNUMBER(Histórico!$A518),ISNUMBER(Histórico!E518),Histórico!E518&gt;0),Histórico!E518,T517)</f>
        <v>5.3744</v>
      </c>
      <c r="U518" s="15">
        <f>IF(ISNUMBER(Histórico!A518),Histórico!A518,U517)</f>
        <v>46324</v>
      </c>
    </row>
    <row r="519" spans="17:21" ht="22.95" customHeight="1">
      <c r="Q519" s="17">
        <f>IF(AND(ISNUMBER(Histórico!$A519),ISNUMBER(Histórico!B519),Histórico!B519&gt;0),Histórico!B519,Q518)</f>
        <v>157.42</v>
      </c>
      <c r="R519" s="17">
        <f>IF(AND(ISNUMBER(Histórico!$A519),ISNUMBER(Histórico!C519),Histórico!C519&gt;0),Histórico!C519,R518)</f>
        <v>64.73</v>
      </c>
      <c r="S519" s="17">
        <f>IF(AND(ISNUMBER(Histórico!$A519),ISNUMBER(Histórico!D519),Histórico!D519&gt;0),Histórico!D519,S518)</f>
        <v>389.05</v>
      </c>
      <c r="T519" s="18">
        <f>IF(AND(ISNUMBER(Histórico!$A519),ISNUMBER(Histórico!E519),Histórico!E519&gt;0),Histórico!E519,T518)</f>
        <v>5.3744</v>
      </c>
      <c r="U519" s="15">
        <f>IF(ISNUMBER(Histórico!A519),Histórico!A519,U518)</f>
        <v>46324</v>
      </c>
    </row>
    <row r="520" spans="17:21" ht="22.95" customHeight="1">
      <c r="Q520" s="17">
        <f>IF(AND(ISNUMBER(Histórico!$A520),ISNUMBER(Histórico!B520),Histórico!B520&gt;0),Histórico!B520,Q519)</f>
        <v>157.42</v>
      </c>
      <c r="R520" s="17">
        <f>IF(AND(ISNUMBER(Histórico!$A520),ISNUMBER(Histórico!C520),Histórico!C520&gt;0),Histórico!C520,R519)</f>
        <v>64.73</v>
      </c>
      <c r="S520" s="17">
        <f>IF(AND(ISNUMBER(Histórico!$A520),ISNUMBER(Histórico!D520),Histórico!D520&gt;0),Histórico!D520,S519)</f>
        <v>389.05</v>
      </c>
      <c r="T520" s="18">
        <f>IF(AND(ISNUMBER(Histórico!$A520),ISNUMBER(Histórico!E520),Histórico!E520&gt;0),Histórico!E520,T519)</f>
        <v>5.3744</v>
      </c>
      <c r="U520" s="15">
        <f>IF(ISNUMBER(Histórico!A520),Histórico!A520,U519)</f>
        <v>46324</v>
      </c>
    </row>
    <row r="521" spans="17:21" ht="22.95" customHeight="1">
      <c r="Q521" s="17">
        <f>IF(AND(ISNUMBER(Histórico!$A521),ISNUMBER(Histórico!B521),Histórico!B521&gt;0),Histórico!B521,Q520)</f>
        <v>157.42</v>
      </c>
      <c r="R521" s="17">
        <f>IF(AND(ISNUMBER(Histórico!$A521),ISNUMBER(Histórico!C521),Histórico!C521&gt;0),Histórico!C521,R520)</f>
        <v>64.73</v>
      </c>
      <c r="S521" s="17">
        <f>IF(AND(ISNUMBER(Histórico!$A521),ISNUMBER(Histórico!D521),Histórico!D521&gt;0),Histórico!D521,S520)</f>
        <v>389.05</v>
      </c>
      <c r="T521" s="18">
        <f>IF(AND(ISNUMBER(Histórico!$A521),ISNUMBER(Histórico!E521),Histórico!E521&gt;0),Histórico!E521,T520)</f>
        <v>5.3744</v>
      </c>
      <c r="U521" s="15">
        <f>IF(ISNUMBER(Histórico!A521),Histórico!A521,U520)</f>
        <v>46324</v>
      </c>
    </row>
    <row r="522" spans="17:21" ht="22.95" customHeight="1">
      <c r="Q522" s="17">
        <f>IF(AND(ISNUMBER(Histórico!$A522),ISNUMBER(Histórico!B522),Histórico!B522&gt;0),Histórico!B522,Q521)</f>
        <v>157.42</v>
      </c>
      <c r="R522" s="17">
        <f>IF(AND(ISNUMBER(Histórico!$A522),ISNUMBER(Histórico!C522),Histórico!C522&gt;0),Histórico!C522,R521)</f>
        <v>64.73</v>
      </c>
      <c r="S522" s="17">
        <f>IF(AND(ISNUMBER(Histórico!$A522),ISNUMBER(Histórico!D522),Histórico!D522&gt;0),Histórico!D522,S521)</f>
        <v>389.05</v>
      </c>
      <c r="T522" s="18">
        <f>IF(AND(ISNUMBER(Histórico!$A522),ISNUMBER(Histórico!E522),Histórico!E522&gt;0),Histórico!E522,T521)</f>
        <v>5.3744</v>
      </c>
      <c r="U522" s="15">
        <f>IF(ISNUMBER(Histórico!A522),Histórico!A522,U521)</f>
        <v>46324</v>
      </c>
    </row>
    <row r="523" spans="17:21" ht="22.95" customHeight="1">
      <c r="Q523" s="17">
        <f>IF(AND(ISNUMBER(Histórico!$A523),ISNUMBER(Histórico!B523),Histórico!B523&gt;0),Histórico!B523,Q522)</f>
        <v>157.42</v>
      </c>
      <c r="R523" s="17">
        <f>IF(AND(ISNUMBER(Histórico!$A523),ISNUMBER(Histórico!C523),Histórico!C523&gt;0),Histórico!C523,R522)</f>
        <v>64.73</v>
      </c>
      <c r="S523" s="17">
        <f>IF(AND(ISNUMBER(Histórico!$A523),ISNUMBER(Histórico!D523),Histórico!D523&gt;0),Histórico!D523,S522)</f>
        <v>389.05</v>
      </c>
      <c r="T523" s="18">
        <f>IF(AND(ISNUMBER(Histórico!$A523),ISNUMBER(Histórico!E523),Histórico!E523&gt;0),Histórico!E523,T522)</f>
        <v>5.3744</v>
      </c>
      <c r="U523" s="15">
        <f>IF(ISNUMBER(Histórico!A523),Histórico!A523,U522)</f>
        <v>46324</v>
      </c>
    </row>
    <row r="524" spans="17:21" ht="22.95" customHeight="1">
      <c r="Q524" s="17">
        <f>IF(AND(ISNUMBER(Histórico!$A524),ISNUMBER(Histórico!B524),Histórico!B524&gt;0),Histórico!B524,Q523)</f>
        <v>157.42</v>
      </c>
      <c r="R524" s="17">
        <f>IF(AND(ISNUMBER(Histórico!$A524),ISNUMBER(Histórico!C524),Histórico!C524&gt;0),Histórico!C524,R523)</f>
        <v>64.73</v>
      </c>
      <c r="S524" s="17">
        <f>IF(AND(ISNUMBER(Histórico!$A524),ISNUMBER(Histórico!D524),Histórico!D524&gt;0),Histórico!D524,S523)</f>
        <v>389.05</v>
      </c>
      <c r="T524" s="18">
        <f>IF(AND(ISNUMBER(Histórico!$A524),ISNUMBER(Histórico!E524),Histórico!E524&gt;0),Histórico!E524,T523)</f>
        <v>5.3744</v>
      </c>
      <c r="U524" s="15">
        <f>IF(ISNUMBER(Histórico!A524),Histórico!A524,U523)</f>
        <v>46324</v>
      </c>
    </row>
    <row r="525" spans="17:21" ht="22.95" customHeight="1">
      <c r="Q525" s="17">
        <f>IF(AND(ISNUMBER(Histórico!$A525),ISNUMBER(Histórico!B525),Histórico!B525&gt;0),Histórico!B525,Q524)</f>
        <v>157.42</v>
      </c>
      <c r="R525" s="17">
        <f>IF(AND(ISNUMBER(Histórico!$A525),ISNUMBER(Histórico!C525),Histórico!C525&gt;0),Histórico!C525,R524)</f>
        <v>64.73</v>
      </c>
      <c r="S525" s="17">
        <f>IF(AND(ISNUMBER(Histórico!$A525),ISNUMBER(Histórico!D525),Histórico!D525&gt;0),Histórico!D525,S524)</f>
        <v>389.05</v>
      </c>
      <c r="T525" s="18">
        <f>IF(AND(ISNUMBER(Histórico!$A525),ISNUMBER(Histórico!E525),Histórico!E525&gt;0),Histórico!E525,T524)</f>
        <v>5.3744</v>
      </c>
      <c r="U525" s="15">
        <f>IF(ISNUMBER(Histórico!A525),Histórico!A525,U524)</f>
        <v>46324</v>
      </c>
    </row>
    <row r="526" spans="17:21" ht="22.95" customHeight="1">
      <c r="Q526" s="17">
        <f>IF(AND(ISNUMBER(Histórico!$A526),ISNUMBER(Histórico!B526),Histórico!B526&gt;0),Histórico!B526,Q525)</f>
        <v>157.42</v>
      </c>
      <c r="R526" s="17">
        <f>IF(AND(ISNUMBER(Histórico!$A526),ISNUMBER(Histórico!C526),Histórico!C526&gt;0),Histórico!C526,R525)</f>
        <v>64.73</v>
      </c>
      <c r="S526" s="17">
        <f>IF(AND(ISNUMBER(Histórico!$A526),ISNUMBER(Histórico!D526),Histórico!D526&gt;0),Histórico!D526,S525)</f>
        <v>389.05</v>
      </c>
      <c r="T526" s="18">
        <f>IF(AND(ISNUMBER(Histórico!$A526),ISNUMBER(Histórico!E526),Histórico!E526&gt;0),Histórico!E526,T525)</f>
        <v>5.3744</v>
      </c>
      <c r="U526" s="15">
        <f>IF(ISNUMBER(Histórico!A526),Histórico!A526,U525)</f>
        <v>46324</v>
      </c>
    </row>
    <row r="527" spans="17:21" ht="22.95" customHeight="1">
      <c r="Q527" s="17">
        <f>IF(AND(ISNUMBER(Histórico!$A527),ISNUMBER(Histórico!B527),Histórico!B527&gt;0),Histórico!B527,Q526)</f>
        <v>157.42</v>
      </c>
      <c r="R527" s="17">
        <f>IF(AND(ISNUMBER(Histórico!$A527),ISNUMBER(Histórico!C527),Histórico!C527&gt;0),Histórico!C527,R526)</f>
        <v>64.73</v>
      </c>
      <c r="S527" s="17">
        <f>IF(AND(ISNUMBER(Histórico!$A527),ISNUMBER(Histórico!D527),Histórico!D527&gt;0),Histórico!D527,S526)</f>
        <v>389.05</v>
      </c>
      <c r="T527" s="18">
        <f>IF(AND(ISNUMBER(Histórico!$A527),ISNUMBER(Histórico!E527),Histórico!E527&gt;0),Histórico!E527,T526)</f>
        <v>5.3744</v>
      </c>
      <c r="U527" s="15">
        <f>IF(ISNUMBER(Histórico!A527),Histórico!A527,U526)</f>
        <v>46324</v>
      </c>
    </row>
    <row r="528" spans="17:21" ht="22.95" customHeight="1">
      <c r="Q528" s="17">
        <f>IF(AND(ISNUMBER(Histórico!$A528),ISNUMBER(Histórico!B528),Histórico!B528&gt;0),Histórico!B528,Q527)</f>
        <v>157.42</v>
      </c>
      <c r="R528" s="17">
        <f>IF(AND(ISNUMBER(Histórico!$A528),ISNUMBER(Histórico!C528),Histórico!C528&gt;0),Histórico!C528,R527)</f>
        <v>64.73</v>
      </c>
      <c r="S528" s="17">
        <f>IF(AND(ISNUMBER(Histórico!$A528),ISNUMBER(Histórico!D528),Histórico!D528&gt;0),Histórico!D528,S527)</f>
        <v>389.05</v>
      </c>
      <c r="T528" s="18">
        <f>IF(AND(ISNUMBER(Histórico!$A528),ISNUMBER(Histórico!E528),Histórico!E528&gt;0),Histórico!E528,T527)</f>
        <v>5.3744</v>
      </c>
      <c r="U528" s="15">
        <f>IF(ISNUMBER(Histórico!A528),Histórico!A528,U527)</f>
        <v>46324</v>
      </c>
    </row>
    <row r="529" spans="17:21" ht="22.95" customHeight="1">
      <c r="Q529" s="17">
        <f>IF(AND(ISNUMBER(Histórico!$A529),ISNUMBER(Histórico!B529),Histórico!B529&gt;0),Histórico!B529,Q528)</f>
        <v>157.42</v>
      </c>
      <c r="R529" s="17">
        <f>IF(AND(ISNUMBER(Histórico!$A529),ISNUMBER(Histórico!C529),Histórico!C529&gt;0),Histórico!C529,R528)</f>
        <v>64.73</v>
      </c>
      <c r="S529" s="17">
        <f>IF(AND(ISNUMBER(Histórico!$A529),ISNUMBER(Histórico!D529),Histórico!D529&gt;0),Histórico!D529,S528)</f>
        <v>389.05</v>
      </c>
      <c r="T529" s="18">
        <f>IF(AND(ISNUMBER(Histórico!$A529),ISNUMBER(Histórico!E529),Histórico!E529&gt;0),Histórico!E529,T528)</f>
        <v>5.3744</v>
      </c>
      <c r="U529" s="15">
        <f>IF(ISNUMBER(Histórico!A529),Histórico!A529,U528)</f>
        <v>46324</v>
      </c>
    </row>
    <row r="530" spans="17:21" ht="22.95" customHeight="1">
      <c r="Q530" s="17">
        <f>IF(AND(ISNUMBER(Histórico!$A530),ISNUMBER(Histórico!B530),Histórico!B530&gt;0),Histórico!B530,Q529)</f>
        <v>157.42</v>
      </c>
      <c r="R530" s="17">
        <f>IF(AND(ISNUMBER(Histórico!$A530),ISNUMBER(Histórico!C530),Histórico!C530&gt;0),Histórico!C530,R529)</f>
        <v>64.73</v>
      </c>
      <c r="S530" s="17">
        <f>IF(AND(ISNUMBER(Histórico!$A530),ISNUMBER(Histórico!D530),Histórico!D530&gt;0),Histórico!D530,S529)</f>
        <v>389.05</v>
      </c>
      <c r="T530" s="18">
        <f>IF(AND(ISNUMBER(Histórico!$A530),ISNUMBER(Histórico!E530),Histórico!E530&gt;0),Histórico!E530,T529)</f>
        <v>5.3744</v>
      </c>
      <c r="U530" s="15">
        <f>IF(ISNUMBER(Histórico!A530),Histórico!A530,U529)</f>
        <v>46324</v>
      </c>
    </row>
    <row r="531" spans="17:21" ht="22.95" customHeight="1">
      <c r="Q531" s="17">
        <f>IF(AND(ISNUMBER(Histórico!$A531),ISNUMBER(Histórico!B531),Histórico!B531&gt;0),Histórico!B531,Q530)</f>
        <v>157.42</v>
      </c>
      <c r="R531" s="17">
        <f>IF(AND(ISNUMBER(Histórico!$A531),ISNUMBER(Histórico!C531),Histórico!C531&gt;0),Histórico!C531,R530)</f>
        <v>64.73</v>
      </c>
      <c r="S531" s="17">
        <f>IF(AND(ISNUMBER(Histórico!$A531),ISNUMBER(Histórico!D531),Histórico!D531&gt;0),Histórico!D531,S530)</f>
        <v>389.05</v>
      </c>
      <c r="T531" s="18">
        <f>IF(AND(ISNUMBER(Histórico!$A531),ISNUMBER(Histórico!E531),Histórico!E531&gt;0),Histórico!E531,T530)</f>
        <v>5.3744</v>
      </c>
      <c r="U531" s="15">
        <f>IF(ISNUMBER(Histórico!A531),Histórico!A531,U530)</f>
        <v>46324</v>
      </c>
    </row>
    <row r="532" spans="17:21" ht="22.95" customHeight="1">
      <c r="Q532" s="17">
        <f>IF(AND(ISNUMBER(Histórico!$A532),ISNUMBER(Histórico!B532),Histórico!B532&gt;0),Histórico!B532,Q531)</f>
        <v>157.42</v>
      </c>
      <c r="R532" s="17">
        <f>IF(AND(ISNUMBER(Histórico!$A532),ISNUMBER(Histórico!C532),Histórico!C532&gt;0),Histórico!C532,R531)</f>
        <v>64.73</v>
      </c>
      <c r="S532" s="17">
        <f>IF(AND(ISNUMBER(Histórico!$A532),ISNUMBER(Histórico!D532),Histórico!D532&gt;0),Histórico!D532,S531)</f>
        <v>389.05</v>
      </c>
      <c r="T532" s="18">
        <f>IF(AND(ISNUMBER(Histórico!$A532),ISNUMBER(Histórico!E532),Histórico!E532&gt;0),Histórico!E532,T531)</f>
        <v>5.3744</v>
      </c>
      <c r="U532" s="15">
        <f>IF(ISNUMBER(Histórico!A532),Histórico!A532,U531)</f>
        <v>46324</v>
      </c>
    </row>
    <row r="533" spans="17:21" ht="22.95" customHeight="1">
      <c r="Q533" s="17">
        <f>IF(AND(ISNUMBER(Histórico!$A533),ISNUMBER(Histórico!B533),Histórico!B533&gt;0),Histórico!B533,Q532)</f>
        <v>157.42</v>
      </c>
      <c r="R533" s="17">
        <f>IF(AND(ISNUMBER(Histórico!$A533),ISNUMBER(Histórico!C533),Histórico!C533&gt;0),Histórico!C533,R532)</f>
        <v>64.73</v>
      </c>
      <c r="S533" s="17">
        <f>IF(AND(ISNUMBER(Histórico!$A533),ISNUMBER(Histórico!D533),Histórico!D533&gt;0),Histórico!D533,S532)</f>
        <v>389.05</v>
      </c>
      <c r="T533" s="18">
        <f>IF(AND(ISNUMBER(Histórico!$A533),ISNUMBER(Histórico!E533),Histórico!E533&gt;0),Histórico!E533,T532)</f>
        <v>5.3744</v>
      </c>
      <c r="U533" s="15">
        <f>IF(ISNUMBER(Histórico!A533),Histórico!A533,U532)</f>
        <v>46324</v>
      </c>
    </row>
    <row r="534" spans="17:21" ht="22.95" customHeight="1">
      <c r="Q534" s="17">
        <f>IF(AND(ISNUMBER(Histórico!$A534),ISNUMBER(Histórico!B534),Histórico!B534&gt;0),Histórico!B534,Q533)</f>
        <v>157.42</v>
      </c>
      <c r="R534" s="17">
        <f>IF(AND(ISNUMBER(Histórico!$A534),ISNUMBER(Histórico!C534),Histórico!C534&gt;0),Histórico!C534,R533)</f>
        <v>64.73</v>
      </c>
      <c r="S534" s="17">
        <f>IF(AND(ISNUMBER(Histórico!$A534),ISNUMBER(Histórico!D534),Histórico!D534&gt;0),Histórico!D534,S533)</f>
        <v>389.05</v>
      </c>
      <c r="T534" s="18">
        <f>IF(AND(ISNUMBER(Histórico!$A534),ISNUMBER(Histórico!E534),Histórico!E534&gt;0),Histórico!E534,T533)</f>
        <v>5.3744</v>
      </c>
      <c r="U534" s="15">
        <f>IF(ISNUMBER(Histórico!A534),Histórico!A534,U533)</f>
        <v>46324</v>
      </c>
    </row>
    <row r="535" spans="17:21" ht="22.95" customHeight="1">
      <c r="Q535" s="17">
        <f>IF(AND(ISNUMBER(Histórico!$A535),ISNUMBER(Histórico!B535),Histórico!B535&gt;0),Histórico!B535,Q534)</f>
        <v>157.42</v>
      </c>
      <c r="R535" s="17">
        <f>IF(AND(ISNUMBER(Histórico!$A535),ISNUMBER(Histórico!C535),Histórico!C535&gt;0),Histórico!C535,R534)</f>
        <v>64.73</v>
      </c>
      <c r="S535" s="17">
        <f>IF(AND(ISNUMBER(Histórico!$A535),ISNUMBER(Histórico!D535),Histórico!D535&gt;0),Histórico!D535,S534)</f>
        <v>389.05</v>
      </c>
      <c r="T535" s="18">
        <f>IF(AND(ISNUMBER(Histórico!$A535),ISNUMBER(Histórico!E535),Histórico!E535&gt;0),Histórico!E535,T534)</f>
        <v>5.3744</v>
      </c>
      <c r="U535" s="15">
        <f>IF(ISNUMBER(Histórico!A535),Histórico!A535,U534)</f>
        <v>46324</v>
      </c>
    </row>
    <row r="536" spans="17:21" ht="22.95" customHeight="1">
      <c r="Q536" s="17">
        <f>IF(AND(ISNUMBER(Histórico!$A536),ISNUMBER(Histórico!B536),Histórico!B536&gt;0),Histórico!B536,Q535)</f>
        <v>157.42</v>
      </c>
      <c r="R536" s="17">
        <f>IF(AND(ISNUMBER(Histórico!$A536),ISNUMBER(Histórico!C536),Histórico!C536&gt;0),Histórico!C536,R535)</f>
        <v>64.73</v>
      </c>
      <c r="S536" s="17">
        <f>IF(AND(ISNUMBER(Histórico!$A536),ISNUMBER(Histórico!D536),Histórico!D536&gt;0),Histórico!D536,S535)</f>
        <v>389.05</v>
      </c>
      <c r="T536" s="18">
        <f>IF(AND(ISNUMBER(Histórico!$A536),ISNUMBER(Histórico!E536),Histórico!E536&gt;0),Histórico!E536,T535)</f>
        <v>5.3744</v>
      </c>
      <c r="U536" s="15">
        <f>IF(ISNUMBER(Histórico!A536),Histórico!A536,U535)</f>
        <v>46324</v>
      </c>
    </row>
    <row r="537" spans="17:21" ht="22.95" customHeight="1">
      <c r="Q537" s="17">
        <f>IF(AND(ISNUMBER(Histórico!$A537),ISNUMBER(Histórico!B537),Histórico!B537&gt;0),Histórico!B537,Q536)</f>
        <v>157.42</v>
      </c>
      <c r="R537" s="17">
        <f>IF(AND(ISNUMBER(Histórico!$A537),ISNUMBER(Histórico!C537),Histórico!C537&gt;0),Histórico!C537,R536)</f>
        <v>64.73</v>
      </c>
      <c r="S537" s="17">
        <f>IF(AND(ISNUMBER(Histórico!$A537),ISNUMBER(Histórico!D537),Histórico!D537&gt;0),Histórico!D537,S536)</f>
        <v>389.05</v>
      </c>
      <c r="T537" s="18">
        <f>IF(AND(ISNUMBER(Histórico!$A537),ISNUMBER(Histórico!E537),Histórico!E537&gt;0),Histórico!E537,T536)</f>
        <v>5.3744</v>
      </c>
      <c r="U537" s="15">
        <f>IF(ISNUMBER(Histórico!A537),Histórico!A537,U536)</f>
        <v>46324</v>
      </c>
    </row>
    <row r="538" spans="17:21" ht="22.95" customHeight="1">
      <c r="Q538" s="17">
        <f>IF(AND(ISNUMBER(Histórico!$A538),ISNUMBER(Histórico!B538),Histórico!B538&gt;0),Histórico!B538,Q537)</f>
        <v>157.42</v>
      </c>
      <c r="R538" s="17">
        <f>IF(AND(ISNUMBER(Histórico!$A538),ISNUMBER(Histórico!C538),Histórico!C538&gt;0),Histórico!C538,R537)</f>
        <v>64.73</v>
      </c>
      <c r="S538" s="17">
        <f>IF(AND(ISNUMBER(Histórico!$A538),ISNUMBER(Histórico!D538),Histórico!D538&gt;0),Histórico!D538,S537)</f>
        <v>389.05</v>
      </c>
      <c r="T538" s="18">
        <f>IF(AND(ISNUMBER(Histórico!$A538),ISNUMBER(Histórico!E538),Histórico!E538&gt;0),Histórico!E538,T537)</f>
        <v>5.3744</v>
      </c>
      <c r="U538" s="15">
        <f>IF(ISNUMBER(Histórico!A538),Histórico!A538,U537)</f>
        <v>46324</v>
      </c>
    </row>
    <row r="539" spans="17:21" ht="22.95" customHeight="1">
      <c r="Q539" s="17">
        <f>IF(AND(ISNUMBER(Histórico!$A539),ISNUMBER(Histórico!B539),Histórico!B539&gt;0),Histórico!B539,Q538)</f>
        <v>157.42</v>
      </c>
      <c r="R539" s="17">
        <f>IF(AND(ISNUMBER(Histórico!$A539),ISNUMBER(Histórico!C539),Histórico!C539&gt;0),Histórico!C539,R538)</f>
        <v>64.73</v>
      </c>
      <c r="S539" s="17">
        <f>IF(AND(ISNUMBER(Histórico!$A539),ISNUMBER(Histórico!D539),Histórico!D539&gt;0),Histórico!D539,S538)</f>
        <v>389.05</v>
      </c>
      <c r="T539" s="18">
        <f>IF(AND(ISNUMBER(Histórico!$A539),ISNUMBER(Histórico!E539),Histórico!E539&gt;0),Histórico!E539,T538)</f>
        <v>5.3744</v>
      </c>
      <c r="U539" s="15">
        <f>IF(ISNUMBER(Histórico!A539),Histórico!A539,U538)</f>
        <v>46324</v>
      </c>
    </row>
    <row r="540" spans="17:21" ht="22.95" customHeight="1">
      <c r="Q540" s="17">
        <f>IF(AND(ISNUMBER(Histórico!$A540),ISNUMBER(Histórico!B540),Histórico!B540&gt;0),Histórico!B540,Q539)</f>
        <v>157.42</v>
      </c>
      <c r="R540" s="17">
        <f>IF(AND(ISNUMBER(Histórico!$A540),ISNUMBER(Histórico!C540),Histórico!C540&gt;0),Histórico!C540,R539)</f>
        <v>64.73</v>
      </c>
      <c r="S540" s="17">
        <f>IF(AND(ISNUMBER(Histórico!$A540),ISNUMBER(Histórico!D540),Histórico!D540&gt;0),Histórico!D540,S539)</f>
        <v>389.05</v>
      </c>
      <c r="T540" s="18">
        <f>IF(AND(ISNUMBER(Histórico!$A540),ISNUMBER(Histórico!E540),Histórico!E540&gt;0),Histórico!E540,T539)</f>
        <v>5.3744</v>
      </c>
      <c r="U540" s="15">
        <f>IF(ISNUMBER(Histórico!A540),Histórico!A540,U539)</f>
        <v>46324</v>
      </c>
    </row>
    <row r="541" spans="17:21" ht="22.95" customHeight="1">
      <c r="Q541" s="17">
        <f>IF(AND(ISNUMBER(Histórico!$A541),ISNUMBER(Histórico!B541),Histórico!B541&gt;0),Histórico!B541,Q540)</f>
        <v>157.42</v>
      </c>
      <c r="R541" s="17">
        <f>IF(AND(ISNUMBER(Histórico!$A541),ISNUMBER(Histórico!C541),Histórico!C541&gt;0),Histórico!C541,R540)</f>
        <v>64.73</v>
      </c>
      <c r="S541" s="17">
        <f>IF(AND(ISNUMBER(Histórico!$A541),ISNUMBER(Histórico!D541),Histórico!D541&gt;0),Histórico!D541,S540)</f>
        <v>389.05</v>
      </c>
      <c r="T541" s="18">
        <f>IF(AND(ISNUMBER(Histórico!$A541),ISNUMBER(Histórico!E541),Histórico!E541&gt;0),Histórico!E541,T540)</f>
        <v>5.3744</v>
      </c>
      <c r="U541" s="15">
        <f>IF(ISNUMBER(Histórico!A541),Histórico!A541,U540)</f>
        <v>46324</v>
      </c>
    </row>
    <row r="542" spans="17:21" ht="22.95" customHeight="1">
      <c r="Q542" s="17">
        <f>IF(AND(ISNUMBER(Histórico!$A542),ISNUMBER(Histórico!B542),Histórico!B542&gt;0),Histórico!B542,Q541)</f>
        <v>157.42</v>
      </c>
      <c r="R542" s="17">
        <f>IF(AND(ISNUMBER(Histórico!$A542),ISNUMBER(Histórico!C542),Histórico!C542&gt;0),Histórico!C542,R541)</f>
        <v>64.73</v>
      </c>
      <c r="S542" s="17">
        <f>IF(AND(ISNUMBER(Histórico!$A542),ISNUMBER(Histórico!D542),Histórico!D542&gt;0),Histórico!D542,S541)</f>
        <v>389.05</v>
      </c>
      <c r="T542" s="18">
        <f>IF(AND(ISNUMBER(Histórico!$A542),ISNUMBER(Histórico!E542),Histórico!E542&gt;0),Histórico!E542,T541)</f>
        <v>5.3744</v>
      </c>
      <c r="U542" s="15">
        <f>IF(ISNUMBER(Histórico!A542),Histórico!A542,U541)</f>
        <v>46324</v>
      </c>
    </row>
    <row r="543" spans="17:21" ht="22.95" customHeight="1">
      <c r="Q543" s="17">
        <f>IF(AND(ISNUMBER(Histórico!$A543),ISNUMBER(Histórico!B543),Histórico!B543&gt;0),Histórico!B543,Q542)</f>
        <v>157.42</v>
      </c>
      <c r="R543" s="17">
        <f>IF(AND(ISNUMBER(Histórico!$A543),ISNUMBER(Histórico!C543),Histórico!C543&gt;0),Histórico!C543,R542)</f>
        <v>64.73</v>
      </c>
      <c r="S543" s="17">
        <f>IF(AND(ISNUMBER(Histórico!$A543),ISNUMBER(Histórico!D543),Histórico!D543&gt;0),Histórico!D543,S542)</f>
        <v>389.05</v>
      </c>
      <c r="T543" s="18">
        <f>IF(AND(ISNUMBER(Histórico!$A543),ISNUMBER(Histórico!E543),Histórico!E543&gt;0),Histórico!E543,T542)</f>
        <v>5.3744</v>
      </c>
      <c r="U543" s="15">
        <f>IF(ISNUMBER(Histórico!A543),Histórico!A543,U542)</f>
        <v>46324</v>
      </c>
    </row>
    <row r="544" spans="17:21" ht="22.95" customHeight="1">
      <c r="Q544" s="17">
        <f>IF(AND(ISNUMBER(Histórico!$A544),ISNUMBER(Histórico!B544),Histórico!B544&gt;0),Histórico!B544,Q543)</f>
        <v>157.42</v>
      </c>
      <c r="R544" s="17">
        <f>IF(AND(ISNUMBER(Histórico!$A544),ISNUMBER(Histórico!C544),Histórico!C544&gt;0),Histórico!C544,R543)</f>
        <v>64.73</v>
      </c>
      <c r="S544" s="17">
        <f>IF(AND(ISNUMBER(Histórico!$A544),ISNUMBER(Histórico!D544),Histórico!D544&gt;0),Histórico!D544,S543)</f>
        <v>389.05</v>
      </c>
      <c r="T544" s="18">
        <f>IF(AND(ISNUMBER(Histórico!$A544),ISNUMBER(Histórico!E544),Histórico!E544&gt;0),Histórico!E544,T543)</f>
        <v>5.3744</v>
      </c>
      <c r="U544" s="15">
        <f>IF(ISNUMBER(Histórico!A544),Histórico!A544,U543)</f>
        <v>46324</v>
      </c>
    </row>
    <row r="545" spans="17:21" ht="22.95" customHeight="1">
      <c r="Q545" s="17">
        <f>IF(AND(ISNUMBER(Histórico!$A545),ISNUMBER(Histórico!B545),Histórico!B545&gt;0),Histórico!B545,Q544)</f>
        <v>157.42</v>
      </c>
      <c r="R545" s="17">
        <f>IF(AND(ISNUMBER(Histórico!$A545),ISNUMBER(Histórico!C545),Histórico!C545&gt;0),Histórico!C545,R544)</f>
        <v>64.73</v>
      </c>
      <c r="S545" s="17">
        <f>IF(AND(ISNUMBER(Histórico!$A545),ISNUMBER(Histórico!D545),Histórico!D545&gt;0),Histórico!D545,S544)</f>
        <v>389.05</v>
      </c>
      <c r="T545" s="18">
        <f>IF(AND(ISNUMBER(Histórico!$A545),ISNUMBER(Histórico!E545),Histórico!E545&gt;0),Histórico!E545,T544)</f>
        <v>5.3744</v>
      </c>
      <c r="U545" s="15">
        <f>IF(ISNUMBER(Histórico!A545),Histórico!A545,U544)</f>
        <v>46324</v>
      </c>
    </row>
    <row r="546" spans="17:21" ht="22.95" customHeight="1">
      <c r="Q546" s="17">
        <f>IF(AND(ISNUMBER(Histórico!$A546),ISNUMBER(Histórico!B546),Histórico!B546&gt;0),Histórico!B546,Q545)</f>
        <v>157.42</v>
      </c>
      <c r="R546" s="17">
        <f>IF(AND(ISNUMBER(Histórico!$A546),ISNUMBER(Histórico!C546),Histórico!C546&gt;0),Histórico!C546,R545)</f>
        <v>64.73</v>
      </c>
      <c r="S546" s="17">
        <f>IF(AND(ISNUMBER(Histórico!$A546),ISNUMBER(Histórico!D546),Histórico!D546&gt;0),Histórico!D546,S545)</f>
        <v>389.05</v>
      </c>
      <c r="T546" s="18">
        <f>IF(AND(ISNUMBER(Histórico!$A546),ISNUMBER(Histórico!E546),Histórico!E546&gt;0),Histórico!E546,T545)</f>
        <v>5.3744</v>
      </c>
      <c r="U546" s="15">
        <f>IF(ISNUMBER(Histórico!A546),Histórico!A546,U545)</f>
        <v>46324</v>
      </c>
    </row>
    <row r="547" spans="17:21" ht="22.95" customHeight="1">
      <c r="Q547" s="17">
        <f>IF(AND(ISNUMBER(Histórico!$A547),ISNUMBER(Histórico!B547),Histórico!B547&gt;0),Histórico!B547,Q546)</f>
        <v>157.42</v>
      </c>
      <c r="R547" s="17">
        <f>IF(AND(ISNUMBER(Histórico!$A547),ISNUMBER(Histórico!C547),Histórico!C547&gt;0),Histórico!C547,R546)</f>
        <v>64.73</v>
      </c>
      <c r="S547" s="17">
        <f>IF(AND(ISNUMBER(Histórico!$A547),ISNUMBER(Histórico!D547),Histórico!D547&gt;0),Histórico!D547,S546)</f>
        <v>389.05</v>
      </c>
      <c r="T547" s="18">
        <f>IF(AND(ISNUMBER(Histórico!$A547),ISNUMBER(Histórico!E547),Histórico!E547&gt;0),Histórico!E547,T546)</f>
        <v>5.3744</v>
      </c>
      <c r="U547" s="15">
        <f>IF(ISNUMBER(Histórico!A547),Histórico!A547,U546)</f>
        <v>46324</v>
      </c>
    </row>
    <row r="548" spans="17:21" ht="22.95" customHeight="1">
      <c r="Q548" s="17">
        <f>IF(AND(ISNUMBER(Histórico!$A548),ISNUMBER(Histórico!B548),Histórico!B548&gt;0),Histórico!B548,Q547)</f>
        <v>157.42</v>
      </c>
      <c r="R548" s="17">
        <f>IF(AND(ISNUMBER(Histórico!$A548),ISNUMBER(Histórico!C548),Histórico!C548&gt;0),Histórico!C548,R547)</f>
        <v>64.73</v>
      </c>
      <c r="S548" s="17">
        <f>IF(AND(ISNUMBER(Histórico!$A548),ISNUMBER(Histórico!D548),Histórico!D548&gt;0),Histórico!D548,S547)</f>
        <v>389.05</v>
      </c>
      <c r="T548" s="18">
        <f>IF(AND(ISNUMBER(Histórico!$A548),ISNUMBER(Histórico!E548),Histórico!E548&gt;0),Histórico!E548,T547)</f>
        <v>5.3744</v>
      </c>
      <c r="U548" s="15">
        <f>IF(ISNUMBER(Histórico!A548),Histórico!A548,U547)</f>
        <v>46324</v>
      </c>
    </row>
    <row r="549" spans="17:21" ht="22.95" customHeight="1">
      <c r="Q549" s="17">
        <f>IF(AND(ISNUMBER(Histórico!$A549),ISNUMBER(Histórico!B549),Histórico!B549&gt;0),Histórico!B549,Q548)</f>
        <v>157.42</v>
      </c>
      <c r="R549" s="17">
        <f>IF(AND(ISNUMBER(Histórico!$A549),ISNUMBER(Histórico!C549),Histórico!C549&gt;0),Histórico!C549,R548)</f>
        <v>64.73</v>
      </c>
      <c r="S549" s="17">
        <f>IF(AND(ISNUMBER(Histórico!$A549),ISNUMBER(Histórico!D549),Histórico!D549&gt;0),Histórico!D549,S548)</f>
        <v>389.05</v>
      </c>
      <c r="T549" s="18">
        <f>IF(AND(ISNUMBER(Histórico!$A549),ISNUMBER(Histórico!E549),Histórico!E549&gt;0),Histórico!E549,T548)</f>
        <v>5.3744</v>
      </c>
      <c r="U549" s="15">
        <f>IF(ISNUMBER(Histórico!A549),Histórico!A549,U548)</f>
        <v>46324</v>
      </c>
    </row>
    <row r="550" spans="17:21" ht="22.95" customHeight="1">
      <c r="Q550" s="17">
        <f>IF(AND(ISNUMBER(Histórico!$A550),ISNUMBER(Histórico!B550),Histórico!B550&gt;0),Histórico!B550,Q549)</f>
        <v>157.42</v>
      </c>
      <c r="R550" s="17">
        <f>IF(AND(ISNUMBER(Histórico!$A550),ISNUMBER(Histórico!C550),Histórico!C550&gt;0),Histórico!C550,R549)</f>
        <v>64.73</v>
      </c>
      <c r="S550" s="17">
        <f>IF(AND(ISNUMBER(Histórico!$A550),ISNUMBER(Histórico!D550),Histórico!D550&gt;0),Histórico!D550,S549)</f>
        <v>389.05</v>
      </c>
      <c r="T550" s="18">
        <f>IF(AND(ISNUMBER(Histórico!$A550),ISNUMBER(Histórico!E550),Histórico!E550&gt;0),Histórico!E550,T549)</f>
        <v>5.3744</v>
      </c>
      <c r="U550" s="15">
        <f>IF(ISNUMBER(Histórico!A550),Histórico!A550,U549)</f>
        <v>46324</v>
      </c>
    </row>
    <row r="551" spans="17:21" ht="22.95" customHeight="1">
      <c r="Q551" s="17">
        <f>IF(AND(ISNUMBER(Histórico!$A551),ISNUMBER(Histórico!B551),Histórico!B551&gt;0),Histórico!B551,Q550)</f>
        <v>157.42</v>
      </c>
      <c r="R551" s="17">
        <f>IF(AND(ISNUMBER(Histórico!$A551),ISNUMBER(Histórico!C551),Histórico!C551&gt;0),Histórico!C551,R550)</f>
        <v>64.73</v>
      </c>
      <c r="S551" s="17">
        <f>IF(AND(ISNUMBER(Histórico!$A551),ISNUMBER(Histórico!D551),Histórico!D551&gt;0),Histórico!D551,S550)</f>
        <v>389.05</v>
      </c>
      <c r="T551" s="18">
        <f>IF(AND(ISNUMBER(Histórico!$A551),ISNUMBER(Histórico!E551),Histórico!E551&gt;0),Histórico!E551,T550)</f>
        <v>5.3744</v>
      </c>
      <c r="U551" s="15">
        <f>IF(ISNUMBER(Histórico!A551),Histórico!A551,U550)</f>
        <v>46324</v>
      </c>
    </row>
    <row r="552" spans="17:21" ht="22.95" customHeight="1">
      <c r="Q552" s="17">
        <f>IF(AND(ISNUMBER(Histórico!$A552),ISNUMBER(Histórico!B552),Histórico!B552&gt;0),Histórico!B552,Q551)</f>
        <v>157.42</v>
      </c>
      <c r="R552" s="17">
        <f>IF(AND(ISNUMBER(Histórico!$A552),ISNUMBER(Histórico!C552),Histórico!C552&gt;0),Histórico!C552,R551)</f>
        <v>64.73</v>
      </c>
      <c r="S552" s="17">
        <f>IF(AND(ISNUMBER(Histórico!$A552),ISNUMBER(Histórico!D552),Histórico!D552&gt;0),Histórico!D552,S551)</f>
        <v>389.05</v>
      </c>
      <c r="T552" s="18">
        <f>IF(AND(ISNUMBER(Histórico!$A552),ISNUMBER(Histórico!E552),Histórico!E552&gt;0),Histórico!E552,T551)</f>
        <v>5.3744</v>
      </c>
      <c r="U552" s="15">
        <f>IF(ISNUMBER(Histórico!A552),Histórico!A552,U551)</f>
        <v>46324</v>
      </c>
    </row>
    <row r="553" spans="17:21" ht="22.95" customHeight="1">
      <c r="Q553" s="17">
        <f>IF(AND(ISNUMBER(Histórico!$A553),ISNUMBER(Histórico!B553),Histórico!B553&gt;0),Histórico!B553,Q552)</f>
        <v>157.42</v>
      </c>
      <c r="R553" s="17">
        <f>IF(AND(ISNUMBER(Histórico!$A553),ISNUMBER(Histórico!C553),Histórico!C553&gt;0),Histórico!C553,R552)</f>
        <v>64.73</v>
      </c>
      <c r="S553" s="17">
        <f>IF(AND(ISNUMBER(Histórico!$A553),ISNUMBER(Histórico!D553),Histórico!D553&gt;0),Histórico!D553,S552)</f>
        <v>389.05</v>
      </c>
      <c r="T553" s="18">
        <f>IF(AND(ISNUMBER(Histórico!$A553),ISNUMBER(Histórico!E553),Histórico!E553&gt;0),Histórico!E553,T552)</f>
        <v>5.3744</v>
      </c>
      <c r="U553" s="15">
        <f>IF(ISNUMBER(Histórico!A553),Histórico!A553,U552)</f>
        <v>46324</v>
      </c>
    </row>
    <row r="554" spans="17:21" ht="22.95" customHeight="1">
      <c r="Q554" s="17">
        <f>IF(AND(ISNUMBER(Histórico!$A554),ISNUMBER(Histórico!B554),Histórico!B554&gt;0),Histórico!B554,Q553)</f>
        <v>157.42</v>
      </c>
      <c r="R554" s="17">
        <f>IF(AND(ISNUMBER(Histórico!$A554),ISNUMBER(Histórico!C554),Histórico!C554&gt;0),Histórico!C554,R553)</f>
        <v>64.73</v>
      </c>
      <c r="S554" s="17">
        <f>IF(AND(ISNUMBER(Histórico!$A554),ISNUMBER(Histórico!D554),Histórico!D554&gt;0),Histórico!D554,S553)</f>
        <v>389.05</v>
      </c>
      <c r="T554" s="18">
        <f>IF(AND(ISNUMBER(Histórico!$A554),ISNUMBER(Histórico!E554),Histórico!E554&gt;0),Histórico!E554,T553)</f>
        <v>5.3744</v>
      </c>
      <c r="U554" s="15">
        <f>IF(ISNUMBER(Histórico!A554),Histórico!A554,U553)</f>
        <v>46324</v>
      </c>
    </row>
    <row r="555" spans="17:21" ht="22.95" customHeight="1">
      <c r="Q555" s="17">
        <f>IF(AND(ISNUMBER(Histórico!$A555),ISNUMBER(Histórico!B555),Histórico!B555&gt;0),Histórico!B555,Q554)</f>
        <v>157.42</v>
      </c>
      <c r="R555" s="17">
        <f>IF(AND(ISNUMBER(Histórico!$A555),ISNUMBER(Histórico!C555),Histórico!C555&gt;0),Histórico!C555,R554)</f>
        <v>64.73</v>
      </c>
      <c r="S555" s="17">
        <f>IF(AND(ISNUMBER(Histórico!$A555),ISNUMBER(Histórico!D555),Histórico!D555&gt;0),Histórico!D555,S554)</f>
        <v>389.05</v>
      </c>
      <c r="T555" s="18">
        <f>IF(AND(ISNUMBER(Histórico!$A555),ISNUMBER(Histórico!E555),Histórico!E555&gt;0),Histórico!E555,T554)</f>
        <v>5.3744</v>
      </c>
      <c r="U555" s="15">
        <f>IF(ISNUMBER(Histórico!A555),Histórico!A555,U554)</f>
        <v>46324</v>
      </c>
    </row>
    <row r="556" spans="17:21" ht="22.95" customHeight="1">
      <c r="Q556" s="17">
        <f>IF(AND(ISNUMBER(Histórico!$A556),ISNUMBER(Histórico!B556),Histórico!B556&gt;0),Histórico!B556,Q555)</f>
        <v>157.42</v>
      </c>
      <c r="R556" s="17">
        <f>IF(AND(ISNUMBER(Histórico!$A556),ISNUMBER(Histórico!C556),Histórico!C556&gt;0),Histórico!C556,R555)</f>
        <v>64.73</v>
      </c>
      <c r="S556" s="17">
        <f>IF(AND(ISNUMBER(Histórico!$A556),ISNUMBER(Histórico!D556),Histórico!D556&gt;0),Histórico!D556,S555)</f>
        <v>389.05</v>
      </c>
      <c r="T556" s="18">
        <f>IF(AND(ISNUMBER(Histórico!$A556),ISNUMBER(Histórico!E556),Histórico!E556&gt;0),Histórico!E556,T555)</f>
        <v>5.3744</v>
      </c>
      <c r="U556" s="15">
        <f>IF(ISNUMBER(Histórico!A556),Histórico!A556,U555)</f>
        <v>46324</v>
      </c>
    </row>
    <row r="557" spans="17:21" ht="22.95" customHeight="1">
      <c r="Q557" s="17">
        <f>IF(AND(ISNUMBER(Histórico!$A557),ISNUMBER(Histórico!B557),Histórico!B557&gt;0),Histórico!B557,Q556)</f>
        <v>157.42</v>
      </c>
      <c r="R557" s="17">
        <f>IF(AND(ISNUMBER(Histórico!$A557),ISNUMBER(Histórico!C557),Histórico!C557&gt;0),Histórico!C557,R556)</f>
        <v>64.73</v>
      </c>
      <c r="S557" s="17">
        <f>IF(AND(ISNUMBER(Histórico!$A557),ISNUMBER(Histórico!D557),Histórico!D557&gt;0),Histórico!D557,S556)</f>
        <v>389.05</v>
      </c>
      <c r="T557" s="18">
        <f>IF(AND(ISNUMBER(Histórico!$A557),ISNUMBER(Histórico!E557),Histórico!E557&gt;0),Histórico!E557,T556)</f>
        <v>5.3744</v>
      </c>
      <c r="U557" s="15">
        <f>IF(ISNUMBER(Histórico!A557),Histórico!A557,U556)</f>
        <v>46324</v>
      </c>
    </row>
    <row r="558" spans="17:21" ht="22.95" customHeight="1">
      <c r="Q558" s="17">
        <f>IF(AND(ISNUMBER(Histórico!$A558),ISNUMBER(Histórico!B558),Histórico!B558&gt;0),Histórico!B558,Q557)</f>
        <v>157.42</v>
      </c>
      <c r="R558" s="17">
        <f>IF(AND(ISNUMBER(Histórico!$A558),ISNUMBER(Histórico!C558),Histórico!C558&gt;0),Histórico!C558,R557)</f>
        <v>64.73</v>
      </c>
      <c r="S558" s="17">
        <f>IF(AND(ISNUMBER(Histórico!$A558),ISNUMBER(Histórico!D558),Histórico!D558&gt;0),Histórico!D558,S557)</f>
        <v>389.05</v>
      </c>
      <c r="T558" s="18">
        <f>IF(AND(ISNUMBER(Histórico!$A558),ISNUMBER(Histórico!E558),Histórico!E558&gt;0),Histórico!E558,T557)</f>
        <v>5.3744</v>
      </c>
      <c r="U558" s="15">
        <f>IF(ISNUMBER(Histórico!A558),Histórico!A558,U557)</f>
        <v>46324</v>
      </c>
    </row>
    <row r="559" spans="17:21" ht="22.95" customHeight="1">
      <c r="Q559" s="17">
        <f>IF(AND(ISNUMBER(Histórico!$A559),ISNUMBER(Histórico!B559),Histórico!B559&gt;0),Histórico!B559,Q558)</f>
        <v>157.42</v>
      </c>
      <c r="R559" s="17">
        <f>IF(AND(ISNUMBER(Histórico!$A559),ISNUMBER(Histórico!C559),Histórico!C559&gt;0),Histórico!C559,R558)</f>
        <v>64.73</v>
      </c>
      <c r="S559" s="17">
        <f>IF(AND(ISNUMBER(Histórico!$A559),ISNUMBER(Histórico!D559),Histórico!D559&gt;0),Histórico!D559,S558)</f>
        <v>389.05</v>
      </c>
      <c r="T559" s="18">
        <f>IF(AND(ISNUMBER(Histórico!$A559),ISNUMBER(Histórico!E559),Histórico!E559&gt;0),Histórico!E559,T558)</f>
        <v>5.3744</v>
      </c>
      <c r="U559" s="15">
        <f>IF(ISNUMBER(Histórico!A559),Histórico!A559,U558)</f>
        <v>46324</v>
      </c>
    </row>
    <row r="560" spans="17:21" ht="22.95" customHeight="1">
      <c r="Q560" s="17">
        <f>IF(AND(ISNUMBER(Histórico!$A560),ISNUMBER(Histórico!B560),Histórico!B560&gt;0),Histórico!B560,Q559)</f>
        <v>157.42</v>
      </c>
      <c r="R560" s="17">
        <f>IF(AND(ISNUMBER(Histórico!$A560),ISNUMBER(Histórico!C560),Histórico!C560&gt;0),Histórico!C560,R559)</f>
        <v>64.73</v>
      </c>
      <c r="S560" s="17">
        <f>IF(AND(ISNUMBER(Histórico!$A560),ISNUMBER(Histórico!D560),Histórico!D560&gt;0),Histórico!D560,S559)</f>
        <v>389.05</v>
      </c>
      <c r="T560" s="18">
        <f>IF(AND(ISNUMBER(Histórico!$A560),ISNUMBER(Histórico!E560),Histórico!E560&gt;0),Histórico!E560,T559)</f>
        <v>5.3744</v>
      </c>
      <c r="U560" s="15">
        <f>IF(ISNUMBER(Histórico!A560),Histórico!A560,U559)</f>
        <v>46324</v>
      </c>
    </row>
    <row r="561" spans="17:21" ht="22.95" customHeight="1">
      <c r="Q561" s="17">
        <f>IF(AND(ISNUMBER(Histórico!$A561),ISNUMBER(Histórico!B561),Histórico!B561&gt;0),Histórico!B561,Q560)</f>
        <v>157.42</v>
      </c>
      <c r="R561" s="17">
        <f>IF(AND(ISNUMBER(Histórico!$A561),ISNUMBER(Histórico!C561),Histórico!C561&gt;0),Histórico!C561,R560)</f>
        <v>64.73</v>
      </c>
      <c r="S561" s="17">
        <f>IF(AND(ISNUMBER(Histórico!$A561),ISNUMBER(Histórico!D561),Histórico!D561&gt;0),Histórico!D561,S560)</f>
        <v>389.05</v>
      </c>
      <c r="T561" s="18">
        <f>IF(AND(ISNUMBER(Histórico!$A561),ISNUMBER(Histórico!E561),Histórico!E561&gt;0),Histórico!E561,T560)</f>
        <v>5.3744</v>
      </c>
      <c r="U561" s="15">
        <f>IF(ISNUMBER(Histórico!A561),Histórico!A561,U560)</f>
        <v>46324</v>
      </c>
    </row>
    <row r="562" spans="17:21" ht="22.95" customHeight="1">
      <c r="Q562" s="17">
        <f>IF(AND(ISNUMBER(Histórico!$A562),ISNUMBER(Histórico!B562),Histórico!B562&gt;0),Histórico!B562,Q561)</f>
        <v>157.42</v>
      </c>
      <c r="R562" s="17">
        <f>IF(AND(ISNUMBER(Histórico!$A562),ISNUMBER(Histórico!C562),Histórico!C562&gt;0),Histórico!C562,R561)</f>
        <v>64.73</v>
      </c>
      <c r="S562" s="17">
        <f>IF(AND(ISNUMBER(Histórico!$A562),ISNUMBER(Histórico!D562),Histórico!D562&gt;0),Histórico!D562,S561)</f>
        <v>389.05</v>
      </c>
      <c r="T562" s="18">
        <f>IF(AND(ISNUMBER(Histórico!$A562),ISNUMBER(Histórico!E562),Histórico!E562&gt;0),Histórico!E562,T561)</f>
        <v>5.3744</v>
      </c>
      <c r="U562" s="15">
        <f>IF(ISNUMBER(Histórico!A562),Histórico!A562,U561)</f>
        <v>46324</v>
      </c>
    </row>
    <row r="563" spans="17:21" ht="22.95" customHeight="1">
      <c r="Q563" s="17">
        <f>IF(AND(ISNUMBER(Histórico!$A563),ISNUMBER(Histórico!B563),Histórico!B563&gt;0),Histórico!B563,Q562)</f>
        <v>157.42</v>
      </c>
      <c r="R563" s="17">
        <f>IF(AND(ISNUMBER(Histórico!$A563),ISNUMBER(Histórico!C563),Histórico!C563&gt;0),Histórico!C563,R562)</f>
        <v>64.73</v>
      </c>
      <c r="S563" s="17">
        <f>IF(AND(ISNUMBER(Histórico!$A563),ISNUMBER(Histórico!D563),Histórico!D563&gt;0),Histórico!D563,S562)</f>
        <v>389.05</v>
      </c>
      <c r="T563" s="18">
        <f>IF(AND(ISNUMBER(Histórico!$A563),ISNUMBER(Histórico!E563),Histórico!E563&gt;0),Histórico!E563,T562)</f>
        <v>5.3744</v>
      </c>
      <c r="U563" s="15">
        <f>IF(ISNUMBER(Histórico!A563),Histórico!A563,U562)</f>
        <v>46324</v>
      </c>
    </row>
    <row r="564" spans="17:21" ht="22.95" customHeight="1">
      <c r="Q564" s="17">
        <f>IF(AND(ISNUMBER(Histórico!$A564),ISNUMBER(Histórico!B564),Histórico!B564&gt;0),Histórico!B564,Q563)</f>
        <v>157.42</v>
      </c>
      <c r="R564" s="17">
        <f>IF(AND(ISNUMBER(Histórico!$A564),ISNUMBER(Histórico!C564),Histórico!C564&gt;0),Histórico!C564,R563)</f>
        <v>64.73</v>
      </c>
      <c r="S564" s="17">
        <f>IF(AND(ISNUMBER(Histórico!$A564),ISNUMBER(Histórico!D564),Histórico!D564&gt;0),Histórico!D564,S563)</f>
        <v>389.05</v>
      </c>
      <c r="T564" s="18">
        <f>IF(AND(ISNUMBER(Histórico!$A564),ISNUMBER(Histórico!E564),Histórico!E564&gt;0),Histórico!E564,T563)</f>
        <v>5.3744</v>
      </c>
      <c r="U564" s="15">
        <f>IF(ISNUMBER(Histórico!A564),Histórico!A564,U563)</f>
        <v>46324</v>
      </c>
    </row>
    <row r="565" spans="17:21" ht="22.95" customHeight="1">
      <c r="Q565" s="17">
        <f>IF(AND(ISNUMBER(Histórico!$A565),ISNUMBER(Histórico!B565),Histórico!B565&gt;0),Histórico!B565,Q564)</f>
        <v>157.42</v>
      </c>
      <c r="R565" s="17">
        <f>IF(AND(ISNUMBER(Histórico!$A565),ISNUMBER(Histórico!C565),Histórico!C565&gt;0),Histórico!C565,R564)</f>
        <v>64.73</v>
      </c>
      <c r="S565" s="17">
        <f>IF(AND(ISNUMBER(Histórico!$A565),ISNUMBER(Histórico!D565),Histórico!D565&gt;0),Histórico!D565,S564)</f>
        <v>389.05</v>
      </c>
      <c r="T565" s="18">
        <f>IF(AND(ISNUMBER(Histórico!$A565),ISNUMBER(Histórico!E565),Histórico!E565&gt;0),Histórico!E565,T564)</f>
        <v>5.3744</v>
      </c>
      <c r="U565" s="15">
        <f>IF(ISNUMBER(Histórico!A565),Histórico!A565,U564)</f>
        <v>46324</v>
      </c>
    </row>
    <row r="566" spans="17:21" ht="22.95" customHeight="1">
      <c r="Q566" s="17">
        <f>IF(AND(ISNUMBER(Histórico!$A566),ISNUMBER(Histórico!B566),Histórico!B566&gt;0),Histórico!B566,Q565)</f>
        <v>157.42</v>
      </c>
      <c r="R566" s="17">
        <f>IF(AND(ISNUMBER(Histórico!$A566),ISNUMBER(Histórico!C566),Histórico!C566&gt;0),Histórico!C566,R565)</f>
        <v>64.73</v>
      </c>
      <c r="S566" s="17">
        <f>IF(AND(ISNUMBER(Histórico!$A566),ISNUMBER(Histórico!D566),Histórico!D566&gt;0),Histórico!D566,S565)</f>
        <v>389.05</v>
      </c>
      <c r="T566" s="18">
        <f>IF(AND(ISNUMBER(Histórico!$A566),ISNUMBER(Histórico!E566),Histórico!E566&gt;0),Histórico!E566,T565)</f>
        <v>5.3744</v>
      </c>
      <c r="U566" s="15">
        <f>IF(ISNUMBER(Histórico!A566),Histórico!A566,U565)</f>
        <v>46324</v>
      </c>
    </row>
    <row r="567" spans="17:21" ht="22.95" customHeight="1">
      <c r="Q567" s="17">
        <f>IF(AND(ISNUMBER(Histórico!$A567),ISNUMBER(Histórico!B567),Histórico!B567&gt;0),Histórico!B567,Q566)</f>
        <v>157.42</v>
      </c>
      <c r="R567" s="17">
        <f>IF(AND(ISNUMBER(Histórico!$A567),ISNUMBER(Histórico!C567),Histórico!C567&gt;0),Histórico!C567,R566)</f>
        <v>64.73</v>
      </c>
      <c r="S567" s="17">
        <f>IF(AND(ISNUMBER(Histórico!$A567),ISNUMBER(Histórico!D567),Histórico!D567&gt;0),Histórico!D567,S566)</f>
        <v>389.05</v>
      </c>
      <c r="T567" s="18">
        <f>IF(AND(ISNUMBER(Histórico!$A567),ISNUMBER(Histórico!E567),Histórico!E567&gt;0),Histórico!E567,T566)</f>
        <v>5.3744</v>
      </c>
      <c r="U567" s="15">
        <f>IF(ISNUMBER(Histórico!A567),Histórico!A567,U566)</f>
        <v>46324</v>
      </c>
    </row>
    <row r="568" spans="17:21" ht="22.95" customHeight="1">
      <c r="Q568" s="17">
        <f>IF(AND(ISNUMBER(Histórico!$A568),ISNUMBER(Histórico!B568),Histórico!B568&gt;0),Histórico!B568,Q567)</f>
        <v>157.42</v>
      </c>
      <c r="R568" s="17">
        <f>IF(AND(ISNUMBER(Histórico!$A568),ISNUMBER(Histórico!C568),Histórico!C568&gt;0),Histórico!C568,R567)</f>
        <v>64.73</v>
      </c>
      <c r="S568" s="17">
        <f>IF(AND(ISNUMBER(Histórico!$A568),ISNUMBER(Histórico!D568),Histórico!D568&gt;0),Histórico!D568,S567)</f>
        <v>389.05</v>
      </c>
      <c r="T568" s="18">
        <f>IF(AND(ISNUMBER(Histórico!$A568),ISNUMBER(Histórico!E568),Histórico!E568&gt;0),Histórico!E568,T567)</f>
        <v>5.3744</v>
      </c>
      <c r="U568" s="15">
        <f>IF(ISNUMBER(Histórico!A568),Histórico!A568,U567)</f>
        <v>46324</v>
      </c>
    </row>
    <row r="569" spans="17:21" ht="22.95" customHeight="1">
      <c r="Q569" s="17">
        <f>IF(AND(ISNUMBER(Histórico!$A569),ISNUMBER(Histórico!B569),Histórico!B569&gt;0),Histórico!B569,Q568)</f>
        <v>157.42</v>
      </c>
      <c r="R569" s="17">
        <f>IF(AND(ISNUMBER(Histórico!$A569),ISNUMBER(Histórico!C569),Histórico!C569&gt;0),Histórico!C569,R568)</f>
        <v>64.73</v>
      </c>
      <c r="S569" s="17">
        <f>IF(AND(ISNUMBER(Histórico!$A569),ISNUMBER(Histórico!D569),Histórico!D569&gt;0),Histórico!D569,S568)</f>
        <v>389.05</v>
      </c>
      <c r="T569" s="18">
        <f>IF(AND(ISNUMBER(Histórico!$A569),ISNUMBER(Histórico!E569),Histórico!E569&gt;0),Histórico!E569,T568)</f>
        <v>5.3744</v>
      </c>
      <c r="U569" s="15">
        <f>IF(ISNUMBER(Histórico!A569),Histórico!A569,U568)</f>
        <v>46324</v>
      </c>
    </row>
    <row r="570" spans="17:21" ht="22.95" customHeight="1">
      <c r="Q570" s="17">
        <f>IF(AND(ISNUMBER(Histórico!$A570),ISNUMBER(Histórico!B570),Histórico!B570&gt;0),Histórico!B570,Q569)</f>
        <v>157.42</v>
      </c>
      <c r="R570" s="17">
        <f>IF(AND(ISNUMBER(Histórico!$A570),ISNUMBER(Histórico!C570),Histórico!C570&gt;0),Histórico!C570,R569)</f>
        <v>64.73</v>
      </c>
      <c r="S570" s="17">
        <f>IF(AND(ISNUMBER(Histórico!$A570),ISNUMBER(Histórico!D570),Histórico!D570&gt;0),Histórico!D570,S569)</f>
        <v>389.05</v>
      </c>
      <c r="T570" s="18">
        <f>IF(AND(ISNUMBER(Histórico!$A570),ISNUMBER(Histórico!E570),Histórico!E570&gt;0),Histórico!E570,T569)</f>
        <v>5.3744</v>
      </c>
      <c r="U570" s="15">
        <f>IF(ISNUMBER(Histórico!A570),Histórico!A570,U569)</f>
        <v>46324</v>
      </c>
    </row>
    <row r="571" spans="17:21" ht="22.95" customHeight="1">
      <c r="Q571" s="17">
        <f>IF(AND(ISNUMBER(Histórico!$A571),ISNUMBER(Histórico!B571),Histórico!B571&gt;0),Histórico!B571,Q570)</f>
        <v>157.42</v>
      </c>
      <c r="R571" s="17">
        <f>IF(AND(ISNUMBER(Histórico!$A571),ISNUMBER(Histórico!C571),Histórico!C571&gt;0),Histórico!C571,R570)</f>
        <v>64.73</v>
      </c>
      <c r="S571" s="17">
        <f>IF(AND(ISNUMBER(Histórico!$A571),ISNUMBER(Histórico!D571),Histórico!D571&gt;0),Histórico!D571,S570)</f>
        <v>389.05</v>
      </c>
      <c r="T571" s="18">
        <f>IF(AND(ISNUMBER(Histórico!$A571),ISNUMBER(Histórico!E571),Histórico!E571&gt;0),Histórico!E571,T570)</f>
        <v>5.3744</v>
      </c>
      <c r="U571" s="15">
        <f>IF(ISNUMBER(Histórico!A571),Histórico!A571,U570)</f>
        <v>46324</v>
      </c>
    </row>
    <row r="572" spans="17:21" ht="22.95" customHeight="1">
      <c r="Q572" s="17">
        <f>IF(AND(ISNUMBER(Histórico!$A572),ISNUMBER(Histórico!B572),Histórico!B572&gt;0),Histórico!B572,Q571)</f>
        <v>157.42</v>
      </c>
      <c r="R572" s="17">
        <f>IF(AND(ISNUMBER(Histórico!$A572),ISNUMBER(Histórico!C572),Histórico!C572&gt;0),Histórico!C572,R571)</f>
        <v>64.73</v>
      </c>
      <c r="S572" s="17">
        <f>IF(AND(ISNUMBER(Histórico!$A572),ISNUMBER(Histórico!D572),Histórico!D572&gt;0),Histórico!D572,S571)</f>
        <v>389.05</v>
      </c>
      <c r="T572" s="18">
        <f>IF(AND(ISNUMBER(Histórico!$A572),ISNUMBER(Histórico!E572),Histórico!E572&gt;0),Histórico!E572,T571)</f>
        <v>5.3744</v>
      </c>
      <c r="U572" s="15">
        <f>IF(ISNUMBER(Histórico!A572),Histórico!A572,U571)</f>
        <v>46324</v>
      </c>
    </row>
    <row r="573" spans="17:21" ht="22.95" customHeight="1">
      <c r="Q573" s="17">
        <f>IF(AND(ISNUMBER(Histórico!$A573),ISNUMBER(Histórico!B573),Histórico!B573&gt;0),Histórico!B573,Q572)</f>
        <v>157.42</v>
      </c>
      <c r="R573" s="17">
        <f>IF(AND(ISNUMBER(Histórico!$A573),ISNUMBER(Histórico!C573),Histórico!C573&gt;0),Histórico!C573,R572)</f>
        <v>64.73</v>
      </c>
      <c r="S573" s="17">
        <f>IF(AND(ISNUMBER(Histórico!$A573),ISNUMBER(Histórico!D573),Histórico!D573&gt;0),Histórico!D573,S572)</f>
        <v>389.05</v>
      </c>
      <c r="T573" s="18">
        <f>IF(AND(ISNUMBER(Histórico!$A573),ISNUMBER(Histórico!E573),Histórico!E573&gt;0),Histórico!E573,T572)</f>
        <v>5.3744</v>
      </c>
      <c r="U573" s="15">
        <f>IF(ISNUMBER(Histórico!A573),Histórico!A573,U572)</f>
        <v>46324</v>
      </c>
    </row>
    <row r="574" spans="17:21" ht="22.95" customHeight="1">
      <c r="Q574" s="17">
        <f>IF(AND(ISNUMBER(Histórico!$A574),ISNUMBER(Histórico!B574),Histórico!B574&gt;0),Histórico!B574,Q573)</f>
        <v>157.42</v>
      </c>
      <c r="R574" s="17">
        <f>IF(AND(ISNUMBER(Histórico!$A574),ISNUMBER(Histórico!C574),Histórico!C574&gt;0),Histórico!C574,R573)</f>
        <v>64.73</v>
      </c>
      <c r="S574" s="17">
        <f>IF(AND(ISNUMBER(Histórico!$A574),ISNUMBER(Histórico!D574),Histórico!D574&gt;0),Histórico!D574,S573)</f>
        <v>389.05</v>
      </c>
      <c r="T574" s="18">
        <f>IF(AND(ISNUMBER(Histórico!$A574),ISNUMBER(Histórico!E574),Histórico!E574&gt;0),Histórico!E574,T573)</f>
        <v>5.3744</v>
      </c>
      <c r="U574" s="15">
        <f>IF(ISNUMBER(Histórico!A574),Histórico!A574,U573)</f>
        <v>46324</v>
      </c>
    </row>
    <row r="575" spans="17:21" ht="22.95" customHeight="1">
      <c r="Q575" s="17">
        <f>IF(AND(ISNUMBER(Histórico!$A575),ISNUMBER(Histórico!B575),Histórico!B575&gt;0),Histórico!B575,Q574)</f>
        <v>157.42</v>
      </c>
      <c r="R575" s="17">
        <f>IF(AND(ISNUMBER(Histórico!$A575),ISNUMBER(Histórico!C575),Histórico!C575&gt;0),Histórico!C575,R574)</f>
        <v>64.73</v>
      </c>
      <c r="S575" s="17">
        <f>IF(AND(ISNUMBER(Histórico!$A575),ISNUMBER(Histórico!D575),Histórico!D575&gt;0),Histórico!D575,S574)</f>
        <v>389.05</v>
      </c>
      <c r="T575" s="18">
        <f>IF(AND(ISNUMBER(Histórico!$A575),ISNUMBER(Histórico!E575),Histórico!E575&gt;0),Histórico!E575,T574)</f>
        <v>5.3744</v>
      </c>
      <c r="U575" s="15">
        <f>IF(ISNUMBER(Histórico!A575),Histórico!A575,U574)</f>
        <v>46324</v>
      </c>
    </row>
    <row r="576" spans="17:21" ht="22.95" customHeight="1">
      <c r="Q576" s="17">
        <f>IF(AND(ISNUMBER(Histórico!$A576),ISNUMBER(Histórico!B576),Histórico!B576&gt;0),Histórico!B576,Q575)</f>
        <v>157.42</v>
      </c>
      <c r="R576" s="17">
        <f>IF(AND(ISNUMBER(Histórico!$A576),ISNUMBER(Histórico!C576),Histórico!C576&gt;0),Histórico!C576,R575)</f>
        <v>64.73</v>
      </c>
      <c r="S576" s="17">
        <f>IF(AND(ISNUMBER(Histórico!$A576),ISNUMBER(Histórico!D576),Histórico!D576&gt;0),Histórico!D576,S575)</f>
        <v>389.05</v>
      </c>
      <c r="T576" s="18">
        <f>IF(AND(ISNUMBER(Histórico!$A576),ISNUMBER(Histórico!E576),Histórico!E576&gt;0),Histórico!E576,T575)</f>
        <v>5.3744</v>
      </c>
      <c r="U576" s="15">
        <f>IF(ISNUMBER(Histórico!A576),Histórico!A576,U575)</f>
        <v>46324</v>
      </c>
    </row>
    <row r="577" spans="17:21" ht="22.95" customHeight="1">
      <c r="Q577" s="17">
        <f>IF(AND(ISNUMBER(Histórico!$A577),ISNUMBER(Histórico!B577),Histórico!B577&gt;0),Histórico!B577,Q576)</f>
        <v>157.42</v>
      </c>
      <c r="R577" s="17">
        <f>IF(AND(ISNUMBER(Histórico!$A577),ISNUMBER(Histórico!C577),Histórico!C577&gt;0),Histórico!C577,R576)</f>
        <v>64.73</v>
      </c>
      <c r="S577" s="17">
        <f>IF(AND(ISNUMBER(Histórico!$A577),ISNUMBER(Histórico!D577),Histórico!D577&gt;0),Histórico!D577,S576)</f>
        <v>389.05</v>
      </c>
      <c r="T577" s="18">
        <f>IF(AND(ISNUMBER(Histórico!$A577),ISNUMBER(Histórico!E577),Histórico!E577&gt;0),Histórico!E577,T576)</f>
        <v>5.3744</v>
      </c>
      <c r="U577" s="15">
        <f>IF(ISNUMBER(Histórico!A577),Histórico!A577,U576)</f>
        <v>46324</v>
      </c>
    </row>
    <row r="578" spans="17:21" ht="22.95" customHeight="1">
      <c r="Q578" s="17">
        <f>IF(AND(ISNUMBER(Histórico!$A578),ISNUMBER(Histórico!B578),Histórico!B578&gt;0),Histórico!B578,Q577)</f>
        <v>157.42</v>
      </c>
      <c r="R578" s="17">
        <f>IF(AND(ISNUMBER(Histórico!$A578),ISNUMBER(Histórico!C578),Histórico!C578&gt;0),Histórico!C578,R577)</f>
        <v>64.73</v>
      </c>
      <c r="S578" s="17">
        <f>IF(AND(ISNUMBER(Histórico!$A578),ISNUMBER(Histórico!D578),Histórico!D578&gt;0),Histórico!D578,S577)</f>
        <v>389.05</v>
      </c>
      <c r="T578" s="18">
        <f>IF(AND(ISNUMBER(Histórico!$A578),ISNUMBER(Histórico!E578),Histórico!E578&gt;0),Histórico!E578,T577)</f>
        <v>5.3744</v>
      </c>
      <c r="U578" s="15">
        <f>IF(ISNUMBER(Histórico!A578),Histórico!A578,U577)</f>
        <v>46324</v>
      </c>
    </row>
    <row r="579" spans="17:21" ht="22.95" customHeight="1">
      <c r="Q579" s="17">
        <f>IF(AND(ISNUMBER(Histórico!$A579),ISNUMBER(Histórico!B579),Histórico!B579&gt;0),Histórico!B579,Q578)</f>
        <v>157.42</v>
      </c>
      <c r="R579" s="17">
        <f>IF(AND(ISNUMBER(Histórico!$A579),ISNUMBER(Histórico!C579),Histórico!C579&gt;0),Histórico!C579,R578)</f>
        <v>64.73</v>
      </c>
      <c r="S579" s="17">
        <f>IF(AND(ISNUMBER(Histórico!$A579),ISNUMBER(Histórico!D579),Histórico!D579&gt;0),Histórico!D579,S578)</f>
        <v>389.05</v>
      </c>
      <c r="T579" s="18">
        <f>IF(AND(ISNUMBER(Histórico!$A579),ISNUMBER(Histórico!E579),Histórico!E579&gt;0),Histórico!E579,T578)</f>
        <v>5.3744</v>
      </c>
      <c r="U579" s="15">
        <f>IF(ISNUMBER(Histórico!A579),Histórico!A579,U578)</f>
        <v>46324</v>
      </c>
    </row>
    <row r="580" spans="17:21" ht="22.95" customHeight="1">
      <c r="Q580" s="17">
        <f>IF(AND(ISNUMBER(Histórico!$A580),ISNUMBER(Histórico!B580),Histórico!B580&gt;0),Histórico!B580,Q579)</f>
        <v>157.42</v>
      </c>
      <c r="R580" s="17">
        <f>IF(AND(ISNUMBER(Histórico!$A580),ISNUMBER(Histórico!C580),Histórico!C580&gt;0),Histórico!C580,R579)</f>
        <v>64.73</v>
      </c>
      <c r="S580" s="17">
        <f>IF(AND(ISNUMBER(Histórico!$A580),ISNUMBER(Histórico!D580),Histórico!D580&gt;0),Histórico!D580,S579)</f>
        <v>389.05</v>
      </c>
      <c r="T580" s="18">
        <f>IF(AND(ISNUMBER(Histórico!$A580),ISNUMBER(Histórico!E580),Histórico!E580&gt;0),Histórico!E580,T579)</f>
        <v>5.3744</v>
      </c>
      <c r="U580" s="15">
        <f>IF(ISNUMBER(Histórico!A580),Histórico!A580,U579)</f>
        <v>46324</v>
      </c>
    </row>
    <row r="581" spans="17:21" ht="22.95" customHeight="1">
      <c r="Q581" s="17">
        <f>IF(AND(ISNUMBER(Histórico!$A581),ISNUMBER(Histórico!B581),Histórico!B581&gt;0),Histórico!B581,Q580)</f>
        <v>157.42</v>
      </c>
      <c r="R581" s="17">
        <f>IF(AND(ISNUMBER(Histórico!$A581),ISNUMBER(Histórico!C581),Histórico!C581&gt;0),Histórico!C581,R580)</f>
        <v>64.73</v>
      </c>
      <c r="S581" s="17">
        <f>IF(AND(ISNUMBER(Histórico!$A581),ISNUMBER(Histórico!D581),Histórico!D581&gt;0),Histórico!D581,S580)</f>
        <v>389.05</v>
      </c>
      <c r="T581" s="18">
        <f>IF(AND(ISNUMBER(Histórico!$A581),ISNUMBER(Histórico!E581),Histórico!E581&gt;0),Histórico!E581,T580)</f>
        <v>5.3744</v>
      </c>
      <c r="U581" s="15">
        <f>IF(ISNUMBER(Histórico!A581),Histórico!A581,U580)</f>
        <v>46324</v>
      </c>
    </row>
    <row r="582" spans="17:21" ht="22.95" customHeight="1">
      <c r="Q582" s="17">
        <f>IF(AND(ISNUMBER(Histórico!$A582),ISNUMBER(Histórico!B582),Histórico!B582&gt;0),Histórico!B582,Q581)</f>
        <v>157.42</v>
      </c>
      <c r="R582" s="17">
        <f>IF(AND(ISNUMBER(Histórico!$A582),ISNUMBER(Histórico!C582),Histórico!C582&gt;0),Histórico!C582,R581)</f>
        <v>64.73</v>
      </c>
      <c r="S582" s="17">
        <f>IF(AND(ISNUMBER(Histórico!$A582),ISNUMBER(Histórico!D582),Histórico!D582&gt;0),Histórico!D582,S581)</f>
        <v>389.05</v>
      </c>
      <c r="T582" s="18">
        <f>IF(AND(ISNUMBER(Histórico!$A582),ISNUMBER(Histórico!E582),Histórico!E582&gt;0),Histórico!E582,T581)</f>
        <v>5.3744</v>
      </c>
      <c r="U582" s="15">
        <f>IF(ISNUMBER(Histórico!A582),Histórico!A582,U581)</f>
        <v>46324</v>
      </c>
    </row>
    <row r="583" spans="17:21" ht="22.95" customHeight="1">
      <c r="Q583" s="17">
        <f>IF(AND(ISNUMBER(Histórico!$A583),ISNUMBER(Histórico!B583),Histórico!B583&gt;0),Histórico!B583,Q582)</f>
        <v>157.42</v>
      </c>
      <c r="R583" s="17">
        <f>IF(AND(ISNUMBER(Histórico!$A583),ISNUMBER(Histórico!C583),Histórico!C583&gt;0),Histórico!C583,R582)</f>
        <v>64.73</v>
      </c>
      <c r="S583" s="17">
        <f>IF(AND(ISNUMBER(Histórico!$A583),ISNUMBER(Histórico!D583),Histórico!D583&gt;0),Histórico!D583,S582)</f>
        <v>389.05</v>
      </c>
      <c r="T583" s="18">
        <f>IF(AND(ISNUMBER(Histórico!$A583),ISNUMBER(Histórico!E583),Histórico!E583&gt;0),Histórico!E583,T582)</f>
        <v>5.3744</v>
      </c>
      <c r="U583" s="15">
        <f>IF(ISNUMBER(Histórico!A583),Histórico!A583,U582)</f>
        <v>46324</v>
      </c>
    </row>
    <row r="584" spans="17:21" ht="22.95" customHeight="1">
      <c r="Q584" s="17">
        <f>IF(AND(ISNUMBER(Histórico!$A584),ISNUMBER(Histórico!B584),Histórico!B584&gt;0),Histórico!B584,Q583)</f>
        <v>157.42</v>
      </c>
      <c r="R584" s="17">
        <f>IF(AND(ISNUMBER(Histórico!$A584),ISNUMBER(Histórico!C584),Histórico!C584&gt;0),Histórico!C584,R583)</f>
        <v>64.73</v>
      </c>
      <c r="S584" s="17">
        <f>IF(AND(ISNUMBER(Histórico!$A584),ISNUMBER(Histórico!D584),Histórico!D584&gt;0),Histórico!D584,S583)</f>
        <v>389.05</v>
      </c>
      <c r="T584" s="18">
        <f>IF(AND(ISNUMBER(Histórico!$A584),ISNUMBER(Histórico!E584),Histórico!E584&gt;0),Histórico!E584,T583)</f>
        <v>5.3744</v>
      </c>
      <c r="U584" s="15">
        <f>IF(ISNUMBER(Histórico!A584),Histórico!A584,U583)</f>
        <v>46324</v>
      </c>
    </row>
    <row r="585" spans="17:21" ht="22.95" customHeight="1">
      <c r="Q585" s="17">
        <f>IF(AND(ISNUMBER(Histórico!$A585),ISNUMBER(Histórico!B585),Histórico!B585&gt;0),Histórico!B585,Q584)</f>
        <v>157.42</v>
      </c>
      <c r="R585" s="17">
        <f>IF(AND(ISNUMBER(Histórico!$A585),ISNUMBER(Histórico!C585),Histórico!C585&gt;0),Histórico!C585,R584)</f>
        <v>64.73</v>
      </c>
      <c r="S585" s="17">
        <f>IF(AND(ISNUMBER(Histórico!$A585),ISNUMBER(Histórico!D585),Histórico!D585&gt;0),Histórico!D585,S584)</f>
        <v>389.05</v>
      </c>
      <c r="T585" s="18">
        <f>IF(AND(ISNUMBER(Histórico!$A585),ISNUMBER(Histórico!E585),Histórico!E585&gt;0),Histórico!E585,T584)</f>
        <v>5.3744</v>
      </c>
      <c r="U585" s="15">
        <f>IF(ISNUMBER(Histórico!A585),Histórico!A585,U584)</f>
        <v>46324</v>
      </c>
    </row>
    <row r="586" spans="17:21" ht="22.95" customHeight="1">
      <c r="Q586" s="17">
        <f>IF(AND(ISNUMBER(Histórico!$A586),ISNUMBER(Histórico!B586),Histórico!B586&gt;0),Histórico!B586,Q585)</f>
        <v>157.42</v>
      </c>
      <c r="R586" s="17">
        <f>IF(AND(ISNUMBER(Histórico!$A586),ISNUMBER(Histórico!C586),Histórico!C586&gt;0),Histórico!C586,R585)</f>
        <v>64.73</v>
      </c>
      <c r="S586" s="17">
        <f>IF(AND(ISNUMBER(Histórico!$A586),ISNUMBER(Histórico!D586),Histórico!D586&gt;0),Histórico!D586,S585)</f>
        <v>389.05</v>
      </c>
      <c r="T586" s="18">
        <f>IF(AND(ISNUMBER(Histórico!$A586),ISNUMBER(Histórico!E586),Histórico!E586&gt;0),Histórico!E586,T585)</f>
        <v>5.3744</v>
      </c>
      <c r="U586" s="15">
        <f>IF(ISNUMBER(Histórico!A586),Histórico!A586,U585)</f>
        <v>46324</v>
      </c>
    </row>
    <row r="587" spans="17:21" ht="22.95" customHeight="1">
      <c r="Q587" s="17">
        <f>IF(AND(ISNUMBER(Histórico!$A587),ISNUMBER(Histórico!B587),Histórico!B587&gt;0),Histórico!B587,Q586)</f>
        <v>157.42</v>
      </c>
      <c r="R587" s="17">
        <f>IF(AND(ISNUMBER(Histórico!$A587),ISNUMBER(Histórico!C587),Histórico!C587&gt;0),Histórico!C587,R586)</f>
        <v>64.73</v>
      </c>
      <c r="S587" s="17">
        <f>IF(AND(ISNUMBER(Histórico!$A587),ISNUMBER(Histórico!D587),Histórico!D587&gt;0),Histórico!D587,S586)</f>
        <v>389.05</v>
      </c>
      <c r="T587" s="18">
        <f>IF(AND(ISNUMBER(Histórico!$A587),ISNUMBER(Histórico!E587),Histórico!E587&gt;0),Histórico!E587,T586)</f>
        <v>5.3744</v>
      </c>
      <c r="U587" s="15">
        <f>IF(ISNUMBER(Histórico!A587),Histórico!A587,U586)</f>
        <v>46324</v>
      </c>
    </row>
    <row r="588" spans="17:21" ht="22.95" customHeight="1">
      <c r="Q588" s="17">
        <f>IF(AND(ISNUMBER(Histórico!$A588),ISNUMBER(Histórico!B588),Histórico!B588&gt;0),Histórico!B588,Q587)</f>
        <v>157.42</v>
      </c>
      <c r="R588" s="17">
        <f>IF(AND(ISNUMBER(Histórico!$A588),ISNUMBER(Histórico!C588),Histórico!C588&gt;0),Histórico!C588,R587)</f>
        <v>64.73</v>
      </c>
      <c r="S588" s="17">
        <f>IF(AND(ISNUMBER(Histórico!$A588),ISNUMBER(Histórico!D588),Histórico!D588&gt;0),Histórico!D588,S587)</f>
        <v>389.05</v>
      </c>
      <c r="T588" s="18">
        <f>IF(AND(ISNUMBER(Histórico!$A588),ISNUMBER(Histórico!E588),Histórico!E588&gt;0),Histórico!E588,T587)</f>
        <v>5.3744</v>
      </c>
      <c r="U588" s="15">
        <f>IF(ISNUMBER(Histórico!A588),Histórico!A588,U587)</f>
        <v>46324</v>
      </c>
    </row>
    <row r="589" spans="17:21" ht="22.95" customHeight="1">
      <c r="Q589" s="17">
        <f>IF(AND(ISNUMBER(Histórico!$A589),ISNUMBER(Histórico!B589),Histórico!B589&gt;0),Histórico!B589,Q588)</f>
        <v>157.42</v>
      </c>
      <c r="R589" s="17">
        <f>IF(AND(ISNUMBER(Histórico!$A589),ISNUMBER(Histórico!C589),Histórico!C589&gt;0),Histórico!C589,R588)</f>
        <v>64.73</v>
      </c>
      <c r="S589" s="17">
        <f>IF(AND(ISNUMBER(Histórico!$A589),ISNUMBER(Histórico!D589),Histórico!D589&gt;0),Histórico!D589,S588)</f>
        <v>389.05</v>
      </c>
      <c r="T589" s="18">
        <f>IF(AND(ISNUMBER(Histórico!$A589),ISNUMBER(Histórico!E589),Histórico!E589&gt;0),Histórico!E589,T588)</f>
        <v>5.3744</v>
      </c>
      <c r="U589" s="15">
        <f>IF(ISNUMBER(Histórico!A589),Histórico!A589,U588)</f>
        <v>46324</v>
      </c>
    </row>
    <row r="590" spans="17:21" ht="22.95" customHeight="1">
      <c r="Q590" s="17">
        <f>IF(AND(ISNUMBER(Histórico!$A590),ISNUMBER(Histórico!B590),Histórico!B590&gt;0),Histórico!B590,Q589)</f>
        <v>157.42</v>
      </c>
      <c r="R590" s="17">
        <f>IF(AND(ISNUMBER(Histórico!$A590),ISNUMBER(Histórico!C590),Histórico!C590&gt;0),Histórico!C590,R589)</f>
        <v>64.73</v>
      </c>
      <c r="S590" s="17">
        <f>IF(AND(ISNUMBER(Histórico!$A590),ISNUMBER(Histórico!D590),Histórico!D590&gt;0),Histórico!D590,S589)</f>
        <v>389.05</v>
      </c>
      <c r="T590" s="18">
        <f>IF(AND(ISNUMBER(Histórico!$A590),ISNUMBER(Histórico!E590),Histórico!E590&gt;0),Histórico!E590,T589)</f>
        <v>5.3744</v>
      </c>
      <c r="U590" s="15">
        <f>IF(ISNUMBER(Histórico!A590),Histórico!A590,U589)</f>
        <v>46324</v>
      </c>
    </row>
    <row r="591" spans="17:21" ht="22.95" customHeight="1">
      <c r="Q591" s="17">
        <f>IF(AND(ISNUMBER(Histórico!$A591),ISNUMBER(Histórico!B591),Histórico!B591&gt;0),Histórico!B591,Q590)</f>
        <v>157.42</v>
      </c>
      <c r="R591" s="17">
        <f>IF(AND(ISNUMBER(Histórico!$A591),ISNUMBER(Histórico!C591),Histórico!C591&gt;0),Histórico!C591,R590)</f>
        <v>64.73</v>
      </c>
      <c r="S591" s="17">
        <f>IF(AND(ISNUMBER(Histórico!$A591),ISNUMBER(Histórico!D591),Histórico!D591&gt;0),Histórico!D591,S590)</f>
        <v>389.05</v>
      </c>
      <c r="T591" s="18">
        <f>IF(AND(ISNUMBER(Histórico!$A591),ISNUMBER(Histórico!E591),Histórico!E591&gt;0),Histórico!E591,T590)</f>
        <v>5.3744</v>
      </c>
      <c r="U591" s="15">
        <f>IF(ISNUMBER(Histórico!A591),Histórico!A591,U590)</f>
        <v>46324</v>
      </c>
    </row>
    <row r="592" spans="17:21" ht="22.95" customHeight="1">
      <c r="Q592" s="17">
        <f>IF(AND(ISNUMBER(Histórico!$A592),ISNUMBER(Histórico!B592),Histórico!B592&gt;0),Histórico!B592,Q591)</f>
        <v>157.42</v>
      </c>
      <c r="R592" s="17">
        <f>IF(AND(ISNUMBER(Histórico!$A592),ISNUMBER(Histórico!C592),Histórico!C592&gt;0),Histórico!C592,R591)</f>
        <v>64.73</v>
      </c>
      <c r="S592" s="17">
        <f>IF(AND(ISNUMBER(Histórico!$A592),ISNUMBER(Histórico!D592),Histórico!D592&gt;0),Histórico!D592,S591)</f>
        <v>389.05</v>
      </c>
      <c r="T592" s="18">
        <f>IF(AND(ISNUMBER(Histórico!$A592),ISNUMBER(Histórico!E592),Histórico!E592&gt;0),Histórico!E592,T591)</f>
        <v>5.3744</v>
      </c>
      <c r="U592" s="15">
        <f>IF(ISNUMBER(Histórico!A592),Histórico!A592,U591)</f>
        <v>46324</v>
      </c>
    </row>
    <row r="593" spans="17:21" ht="22.95" customHeight="1">
      <c r="Q593" s="17">
        <f>IF(AND(ISNUMBER(Histórico!$A593),ISNUMBER(Histórico!B593),Histórico!B593&gt;0),Histórico!B593,Q592)</f>
        <v>157.42</v>
      </c>
      <c r="R593" s="17">
        <f>IF(AND(ISNUMBER(Histórico!$A593),ISNUMBER(Histórico!C593),Histórico!C593&gt;0),Histórico!C593,R592)</f>
        <v>64.73</v>
      </c>
      <c r="S593" s="17">
        <f>IF(AND(ISNUMBER(Histórico!$A593),ISNUMBER(Histórico!D593),Histórico!D593&gt;0),Histórico!D593,S592)</f>
        <v>389.05</v>
      </c>
      <c r="T593" s="18">
        <f>IF(AND(ISNUMBER(Histórico!$A593),ISNUMBER(Histórico!E593),Histórico!E593&gt;0),Histórico!E593,T592)</f>
        <v>5.3744</v>
      </c>
      <c r="U593" s="15">
        <f>IF(ISNUMBER(Histórico!A593),Histórico!A593,U592)</f>
        <v>46324</v>
      </c>
    </row>
    <row r="594" spans="17:21" ht="22.95" customHeight="1">
      <c r="Q594" s="17">
        <f>IF(AND(ISNUMBER(Histórico!$A594),ISNUMBER(Histórico!B594),Histórico!B594&gt;0),Histórico!B594,Q593)</f>
        <v>157.42</v>
      </c>
      <c r="R594" s="17">
        <f>IF(AND(ISNUMBER(Histórico!$A594),ISNUMBER(Histórico!C594),Histórico!C594&gt;0),Histórico!C594,R593)</f>
        <v>64.73</v>
      </c>
      <c r="S594" s="17">
        <f>IF(AND(ISNUMBER(Histórico!$A594),ISNUMBER(Histórico!D594),Histórico!D594&gt;0),Histórico!D594,S593)</f>
        <v>389.05</v>
      </c>
      <c r="T594" s="18">
        <f>IF(AND(ISNUMBER(Histórico!$A594),ISNUMBER(Histórico!E594),Histórico!E594&gt;0),Histórico!E594,T593)</f>
        <v>5.3744</v>
      </c>
      <c r="U594" s="15">
        <f>IF(ISNUMBER(Histórico!A594),Histórico!A594,U593)</f>
        <v>46324</v>
      </c>
    </row>
    <row r="595" spans="17:21" ht="22.95" customHeight="1">
      <c r="Q595" s="17">
        <f>IF(AND(ISNUMBER(Histórico!$A595),ISNUMBER(Histórico!B595),Histórico!B595&gt;0),Histórico!B595,Q594)</f>
        <v>157.42</v>
      </c>
      <c r="R595" s="17">
        <f>IF(AND(ISNUMBER(Histórico!$A595),ISNUMBER(Histórico!C595),Histórico!C595&gt;0),Histórico!C595,R594)</f>
        <v>64.73</v>
      </c>
      <c r="S595" s="17">
        <f>IF(AND(ISNUMBER(Histórico!$A595),ISNUMBER(Histórico!D595),Histórico!D595&gt;0),Histórico!D595,S594)</f>
        <v>389.05</v>
      </c>
      <c r="T595" s="18">
        <f>IF(AND(ISNUMBER(Histórico!$A595),ISNUMBER(Histórico!E595),Histórico!E595&gt;0),Histórico!E595,T594)</f>
        <v>5.3744</v>
      </c>
      <c r="U595" s="15">
        <f>IF(ISNUMBER(Histórico!A595),Histórico!A595,U594)</f>
        <v>46324</v>
      </c>
    </row>
    <row r="596" spans="17:21" ht="22.95" customHeight="1">
      <c r="Q596" s="17">
        <f>IF(AND(ISNUMBER(Histórico!$A596),ISNUMBER(Histórico!B596),Histórico!B596&gt;0),Histórico!B596,Q595)</f>
        <v>157.42</v>
      </c>
      <c r="R596" s="17">
        <f>IF(AND(ISNUMBER(Histórico!$A596),ISNUMBER(Histórico!C596),Histórico!C596&gt;0),Histórico!C596,R595)</f>
        <v>64.73</v>
      </c>
      <c r="S596" s="17">
        <f>IF(AND(ISNUMBER(Histórico!$A596),ISNUMBER(Histórico!D596),Histórico!D596&gt;0),Histórico!D596,S595)</f>
        <v>389.05</v>
      </c>
      <c r="T596" s="18">
        <f>IF(AND(ISNUMBER(Histórico!$A596),ISNUMBER(Histórico!E596),Histórico!E596&gt;0),Histórico!E596,T595)</f>
        <v>5.3744</v>
      </c>
      <c r="U596" s="15">
        <f>IF(ISNUMBER(Histórico!A596),Histórico!A596,U595)</f>
        <v>46324</v>
      </c>
    </row>
    <row r="597" spans="17:21" ht="22.95" customHeight="1">
      <c r="Q597" s="17">
        <f>IF(AND(ISNUMBER(Histórico!$A597),ISNUMBER(Histórico!B597),Histórico!B597&gt;0),Histórico!B597,Q596)</f>
        <v>157.42</v>
      </c>
      <c r="R597" s="17">
        <f>IF(AND(ISNUMBER(Histórico!$A597),ISNUMBER(Histórico!C597),Histórico!C597&gt;0),Histórico!C597,R596)</f>
        <v>64.73</v>
      </c>
      <c r="S597" s="17">
        <f>IF(AND(ISNUMBER(Histórico!$A597),ISNUMBER(Histórico!D597),Histórico!D597&gt;0),Histórico!D597,S596)</f>
        <v>389.05</v>
      </c>
      <c r="T597" s="18">
        <f>IF(AND(ISNUMBER(Histórico!$A597),ISNUMBER(Histórico!E597),Histórico!E597&gt;0),Histórico!E597,T596)</f>
        <v>5.3744</v>
      </c>
      <c r="U597" s="15">
        <f>IF(ISNUMBER(Histórico!A597),Histórico!A597,U596)</f>
        <v>46324</v>
      </c>
    </row>
    <row r="598" spans="17:21" ht="22.95" customHeight="1">
      <c r="Q598" s="17">
        <f>IF(AND(ISNUMBER(Histórico!$A598),ISNUMBER(Histórico!B598),Histórico!B598&gt;0),Histórico!B598,Q597)</f>
        <v>157.42</v>
      </c>
      <c r="R598" s="17">
        <f>IF(AND(ISNUMBER(Histórico!$A598),ISNUMBER(Histórico!C598),Histórico!C598&gt;0),Histórico!C598,R597)</f>
        <v>64.73</v>
      </c>
      <c r="S598" s="17">
        <f>IF(AND(ISNUMBER(Histórico!$A598),ISNUMBER(Histórico!D598),Histórico!D598&gt;0),Histórico!D598,S597)</f>
        <v>389.05</v>
      </c>
      <c r="T598" s="18">
        <f>IF(AND(ISNUMBER(Histórico!$A598),ISNUMBER(Histórico!E598),Histórico!E598&gt;0),Histórico!E598,T597)</f>
        <v>5.3744</v>
      </c>
      <c r="U598" s="15">
        <f>IF(ISNUMBER(Histórico!A598),Histórico!A598,U597)</f>
        <v>46324</v>
      </c>
    </row>
    <row r="599" spans="17:21" ht="22.95" customHeight="1">
      <c r="Q599" s="17">
        <f>IF(AND(ISNUMBER(Histórico!$A599),ISNUMBER(Histórico!B599),Histórico!B599&gt;0),Histórico!B599,Q598)</f>
        <v>157.42</v>
      </c>
      <c r="R599" s="17">
        <f>IF(AND(ISNUMBER(Histórico!$A599),ISNUMBER(Histórico!C599),Histórico!C599&gt;0),Histórico!C599,R598)</f>
        <v>64.73</v>
      </c>
      <c r="S599" s="17">
        <f>IF(AND(ISNUMBER(Histórico!$A599),ISNUMBER(Histórico!D599),Histórico!D599&gt;0),Histórico!D599,S598)</f>
        <v>389.05</v>
      </c>
      <c r="T599" s="18">
        <f>IF(AND(ISNUMBER(Histórico!$A599),ISNUMBER(Histórico!E599),Histórico!E599&gt;0),Histórico!E599,T598)</f>
        <v>5.3744</v>
      </c>
      <c r="U599" s="15">
        <f>IF(ISNUMBER(Histórico!A599),Histórico!A599,U598)</f>
        <v>46324</v>
      </c>
    </row>
    <row r="600" spans="17:21" ht="22.95" customHeight="1">
      <c r="Q600" s="17">
        <f>IF(AND(ISNUMBER(Histórico!$A600),ISNUMBER(Histórico!B600),Histórico!B600&gt;0),Histórico!B600,Q599)</f>
        <v>157.42</v>
      </c>
      <c r="R600" s="17">
        <f>IF(AND(ISNUMBER(Histórico!$A600),ISNUMBER(Histórico!C600),Histórico!C600&gt;0),Histórico!C600,R599)</f>
        <v>64.73</v>
      </c>
      <c r="S600" s="17">
        <f>IF(AND(ISNUMBER(Histórico!$A600),ISNUMBER(Histórico!D600),Histórico!D600&gt;0),Histórico!D600,S599)</f>
        <v>389.05</v>
      </c>
      <c r="T600" s="18">
        <f>IF(AND(ISNUMBER(Histórico!$A600),ISNUMBER(Histórico!E600),Histórico!E600&gt;0),Histórico!E600,T599)</f>
        <v>5.3744</v>
      </c>
      <c r="U600" s="15">
        <f>IF(ISNUMBER(Histórico!A600),Histórico!A600,U599)</f>
        <v>46324</v>
      </c>
    </row>
    <row r="601" spans="17:21" ht="22.95" customHeight="1">
      <c r="Q601" s="17">
        <f>IF(AND(ISNUMBER(Histórico!$A601),ISNUMBER(Histórico!B601),Histórico!B601&gt;0),Histórico!B601,Q600)</f>
        <v>157.42</v>
      </c>
      <c r="R601" s="17">
        <f>IF(AND(ISNUMBER(Histórico!$A601),ISNUMBER(Histórico!C601),Histórico!C601&gt;0),Histórico!C601,R600)</f>
        <v>64.73</v>
      </c>
      <c r="S601" s="17">
        <f>IF(AND(ISNUMBER(Histórico!$A601),ISNUMBER(Histórico!D601),Histórico!D601&gt;0),Histórico!D601,S600)</f>
        <v>389.05</v>
      </c>
      <c r="T601" s="18">
        <f>IF(AND(ISNUMBER(Histórico!$A601),ISNUMBER(Histórico!E601),Histórico!E601&gt;0),Histórico!E601,T600)</f>
        <v>5.3744</v>
      </c>
      <c r="U601" s="15">
        <f>IF(ISNUMBER(Histórico!A601),Histórico!A601,U600)</f>
        <v>46324</v>
      </c>
    </row>
    <row r="602" spans="17:21" ht="22.95" customHeight="1">
      <c r="Q602" s="17">
        <f>IF(AND(ISNUMBER(Histórico!$A602),ISNUMBER(Histórico!B602),Histórico!B602&gt;0),Histórico!B602,Q601)</f>
        <v>157.42</v>
      </c>
      <c r="R602" s="17">
        <f>IF(AND(ISNUMBER(Histórico!$A602),ISNUMBER(Histórico!C602),Histórico!C602&gt;0),Histórico!C602,R601)</f>
        <v>64.73</v>
      </c>
      <c r="S602" s="17">
        <f>IF(AND(ISNUMBER(Histórico!$A602),ISNUMBER(Histórico!D602),Histórico!D602&gt;0),Histórico!D602,S601)</f>
        <v>389.05</v>
      </c>
      <c r="T602" s="18">
        <f>IF(AND(ISNUMBER(Histórico!$A602),ISNUMBER(Histórico!E602),Histórico!E602&gt;0),Histórico!E602,T601)</f>
        <v>5.3744</v>
      </c>
      <c r="U602" s="15">
        <f>IF(ISNUMBER(Histórico!A602),Histórico!A602,U601)</f>
        <v>46324</v>
      </c>
    </row>
    <row r="603" spans="17:21" ht="22.95" customHeight="1">
      <c r="Q603" s="17">
        <f>IF(AND(ISNUMBER(Histórico!$A603),ISNUMBER(Histórico!B603),Histórico!B603&gt;0),Histórico!B603,Q602)</f>
        <v>157.42</v>
      </c>
      <c r="R603" s="17">
        <f>IF(AND(ISNUMBER(Histórico!$A603),ISNUMBER(Histórico!C603),Histórico!C603&gt;0),Histórico!C603,R602)</f>
        <v>64.73</v>
      </c>
      <c r="S603" s="17">
        <f>IF(AND(ISNUMBER(Histórico!$A603),ISNUMBER(Histórico!D603),Histórico!D603&gt;0),Histórico!D603,S602)</f>
        <v>389.05</v>
      </c>
      <c r="T603" s="18">
        <f>IF(AND(ISNUMBER(Histórico!$A603),ISNUMBER(Histórico!E603),Histórico!E603&gt;0),Histórico!E603,T602)</f>
        <v>5.3744</v>
      </c>
      <c r="U603" s="15">
        <f>IF(ISNUMBER(Histórico!A603),Histórico!A603,U602)</f>
        <v>46324</v>
      </c>
    </row>
    <row r="604" spans="17:21" ht="22.95" customHeight="1">
      <c r="Q604" s="17">
        <f>IF(AND(ISNUMBER(Histórico!$A604),ISNUMBER(Histórico!B604),Histórico!B604&gt;0),Histórico!B604,Q603)</f>
        <v>157.42</v>
      </c>
      <c r="R604" s="17">
        <f>IF(AND(ISNUMBER(Histórico!$A604),ISNUMBER(Histórico!C604),Histórico!C604&gt;0),Histórico!C604,R603)</f>
        <v>64.73</v>
      </c>
      <c r="S604" s="17">
        <f>IF(AND(ISNUMBER(Histórico!$A604),ISNUMBER(Histórico!D604),Histórico!D604&gt;0),Histórico!D604,S603)</f>
        <v>389.05</v>
      </c>
      <c r="T604" s="18">
        <f>IF(AND(ISNUMBER(Histórico!$A604),ISNUMBER(Histórico!E604),Histórico!E604&gt;0),Histórico!E604,T603)</f>
        <v>5.3744</v>
      </c>
      <c r="U604" s="15">
        <f>IF(ISNUMBER(Histórico!A604),Histórico!A604,U603)</f>
        <v>46324</v>
      </c>
    </row>
    <row r="605" spans="17:21" ht="22.95" customHeight="1">
      <c r="Q605" s="17">
        <f>IF(AND(ISNUMBER(Histórico!$A605),ISNUMBER(Histórico!B605),Histórico!B605&gt;0),Histórico!B605,Q604)</f>
        <v>157.42</v>
      </c>
      <c r="R605" s="17">
        <f>IF(AND(ISNUMBER(Histórico!$A605),ISNUMBER(Histórico!C605),Histórico!C605&gt;0),Histórico!C605,R604)</f>
        <v>64.73</v>
      </c>
      <c r="S605" s="17">
        <f>IF(AND(ISNUMBER(Histórico!$A605),ISNUMBER(Histórico!D605),Histórico!D605&gt;0),Histórico!D605,S604)</f>
        <v>389.05</v>
      </c>
      <c r="T605" s="18">
        <f>IF(AND(ISNUMBER(Histórico!$A605),ISNUMBER(Histórico!E605),Histórico!E605&gt;0),Histórico!E605,T604)</f>
        <v>5.3744</v>
      </c>
      <c r="U605" s="15">
        <f>IF(ISNUMBER(Histórico!A605),Histórico!A605,U604)</f>
        <v>46324</v>
      </c>
    </row>
    <row r="606" spans="17:21" ht="22.95" customHeight="1">
      <c r="Q606" s="17">
        <f>IF(AND(ISNUMBER(Histórico!$A606),ISNUMBER(Histórico!B606),Histórico!B606&gt;0),Histórico!B606,Q605)</f>
        <v>157.42</v>
      </c>
      <c r="R606" s="17">
        <f>IF(AND(ISNUMBER(Histórico!$A606),ISNUMBER(Histórico!C606),Histórico!C606&gt;0),Histórico!C606,R605)</f>
        <v>64.73</v>
      </c>
      <c r="S606" s="17">
        <f>IF(AND(ISNUMBER(Histórico!$A606),ISNUMBER(Histórico!D606),Histórico!D606&gt;0),Histórico!D606,S605)</f>
        <v>389.05</v>
      </c>
      <c r="T606" s="18">
        <f>IF(AND(ISNUMBER(Histórico!$A606),ISNUMBER(Histórico!E606),Histórico!E606&gt;0),Histórico!E606,T605)</f>
        <v>5.3744</v>
      </c>
      <c r="U606" s="15">
        <f>IF(ISNUMBER(Histórico!A606),Histórico!A606,U605)</f>
        <v>46324</v>
      </c>
    </row>
    <row r="607" spans="17:21" ht="22.95" customHeight="1">
      <c r="Q607" s="17">
        <f>IF(AND(ISNUMBER(Histórico!$A607),ISNUMBER(Histórico!B607),Histórico!B607&gt;0),Histórico!B607,Q606)</f>
        <v>157.42</v>
      </c>
      <c r="R607" s="17">
        <f>IF(AND(ISNUMBER(Histórico!$A607),ISNUMBER(Histórico!C607),Histórico!C607&gt;0),Histórico!C607,R606)</f>
        <v>64.73</v>
      </c>
      <c r="S607" s="17">
        <f>IF(AND(ISNUMBER(Histórico!$A607),ISNUMBER(Histórico!D607),Histórico!D607&gt;0),Histórico!D607,S606)</f>
        <v>389.05</v>
      </c>
      <c r="T607" s="18">
        <f>IF(AND(ISNUMBER(Histórico!$A607),ISNUMBER(Histórico!E607),Histórico!E607&gt;0),Histórico!E607,T606)</f>
        <v>5.3744</v>
      </c>
      <c r="U607" s="15">
        <f>IF(ISNUMBER(Histórico!A607),Histórico!A607,U606)</f>
        <v>46324</v>
      </c>
    </row>
    <row r="608" spans="17:21" ht="22.95" customHeight="1">
      <c r="Q608" s="17">
        <f>IF(AND(ISNUMBER(Histórico!$A608),ISNUMBER(Histórico!B608),Histórico!B608&gt;0),Histórico!B608,Q607)</f>
        <v>157.42</v>
      </c>
      <c r="R608" s="17">
        <f>IF(AND(ISNUMBER(Histórico!$A608),ISNUMBER(Histórico!C608),Histórico!C608&gt;0),Histórico!C608,R607)</f>
        <v>64.73</v>
      </c>
      <c r="S608" s="17">
        <f>IF(AND(ISNUMBER(Histórico!$A608),ISNUMBER(Histórico!D608),Histórico!D608&gt;0),Histórico!D608,S607)</f>
        <v>389.05</v>
      </c>
      <c r="T608" s="18">
        <f>IF(AND(ISNUMBER(Histórico!$A608),ISNUMBER(Histórico!E608),Histórico!E608&gt;0),Histórico!E608,T607)</f>
        <v>5.3744</v>
      </c>
      <c r="U608" s="15">
        <f>IF(ISNUMBER(Histórico!A608),Histórico!A608,U607)</f>
        <v>46324</v>
      </c>
    </row>
    <row r="609" spans="17:21" ht="22.95" customHeight="1">
      <c r="Q609" s="17">
        <f>IF(AND(ISNUMBER(Histórico!$A609),ISNUMBER(Histórico!B609),Histórico!B609&gt;0),Histórico!B609,Q608)</f>
        <v>157.42</v>
      </c>
      <c r="R609" s="17">
        <f>IF(AND(ISNUMBER(Histórico!$A609),ISNUMBER(Histórico!C609),Histórico!C609&gt;0),Histórico!C609,R608)</f>
        <v>64.73</v>
      </c>
      <c r="S609" s="17">
        <f>IF(AND(ISNUMBER(Histórico!$A609),ISNUMBER(Histórico!D609),Histórico!D609&gt;0),Histórico!D609,S608)</f>
        <v>389.05</v>
      </c>
      <c r="T609" s="18">
        <f>IF(AND(ISNUMBER(Histórico!$A609),ISNUMBER(Histórico!E609),Histórico!E609&gt;0),Histórico!E609,T608)</f>
        <v>5.3744</v>
      </c>
      <c r="U609" s="15">
        <f>IF(ISNUMBER(Histórico!A609),Histórico!A609,U608)</f>
        <v>46324</v>
      </c>
    </row>
    <row r="610" spans="17:21" ht="22.95" customHeight="1">
      <c r="Q610" s="17">
        <f>IF(AND(ISNUMBER(Histórico!$A610),ISNUMBER(Histórico!B610),Histórico!B610&gt;0),Histórico!B610,Q609)</f>
        <v>157.42</v>
      </c>
      <c r="R610" s="17">
        <f>IF(AND(ISNUMBER(Histórico!$A610),ISNUMBER(Histórico!C610),Histórico!C610&gt;0),Histórico!C610,R609)</f>
        <v>64.73</v>
      </c>
      <c r="S610" s="17">
        <f>IF(AND(ISNUMBER(Histórico!$A610),ISNUMBER(Histórico!D610),Histórico!D610&gt;0),Histórico!D610,S609)</f>
        <v>389.05</v>
      </c>
      <c r="T610" s="18">
        <f>IF(AND(ISNUMBER(Histórico!$A610),ISNUMBER(Histórico!E610),Histórico!E610&gt;0),Histórico!E610,T609)</f>
        <v>5.3744</v>
      </c>
      <c r="U610" s="15">
        <f>IF(ISNUMBER(Histórico!A610),Histórico!A610,U609)</f>
        <v>46324</v>
      </c>
    </row>
    <row r="611" spans="17:21" ht="22.95" customHeight="1">
      <c r="Q611" s="17">
        <f>IF(AND(ISNUMBER(Histórico!$A611),ISNUMBER(Histórico!B611),Histórico!B611&gt;0),Histórico!B611,Q610)</f>
        <v>157.42</v>
      </c>
      <c r="R611" s="17">
        <f>IF(AND(ISNUMBER(Histórico!$A611),ISNUMBER(Histórico!C611),Histórico!C611&gt;0),Histórico!C611,R610)</f>
        <v>64.73</v>
      </c>
      <c r="S611" s="17">
        <f>IF(AND(ISNUMBER(Histórico!$A611),ISNUMBER(Histórico!D611),Histórico!D611&gt;0),Histórico!D611,S610)</f>
        <v>389.05</v>
      </c>
      <c r="T611" s="18">
        <f>IF(AND(ISNUMBER(Histórico!$A611),ISNUMBER(Histórico!E611),Histórico!E611&gt;0),Histórico!E611,T610)</f>
        <v>5.3744</v>
      </c>
      <c r="U611" s="15">
        <f>IF(ISNUMBER(Histórico!A611),Histórico!A611,U610)</f>
        <v>46324</v>
      </c>
    </row>
    <row r="612" spans="17:21" ht="22.95" customHeight="1">
      <c r="Q612" s="17">
        <f>IF(AND(ISNUMBER(Histórico!$A612),ISNUMBER(Histórico!B612),Histórico!B612&gt;0),Histórico!B612,Q611)</f>
        <v>157.42</v>
      </c>
      <c r="R612" s="17">
        <f>IF(AND(ISNUMBER(Histórico!$A612),ISNUMBER(Histórico!C612),Histórico!C612&gt;0),Histórico!C612,R611)</f>
        <v>64.73</v>
      </c>
      <c r="S612" s="17">
        <f>IF(AND(ISNUMBER(Histórico!$A612),ISNUMBER(Histórico!D612),Histórico!D612&gt;0),Histórico!D612,S611)</f>
        <v>389.05</v>
      </c>
      <c r="T612" s="18">
        <f>IF(AND(ISNUMBER(Histórico!$A612),ISNUMBER(Histórico!E612),Histórico!E612&gt;0),Histórico!E612,T611)</f>
        <v>5.3744</v>
      </c>
      <c r="U612" s="15">
        <f>IF(ISNUMBER(Histórico!A612),Histórico!A612,U611)</f>
        <v>46324</v>
      </c>
    </row>
    <row r="613" spans="17:21" ht="22.95" customHeight="1">
      <c r="Q613" s="17">
        <f>IF(AND(ISNUMBER(Histórico!$A613),ISNUMBER(Histórico!B613),Histórico!B613&gt;0),Histórico!B613,Q612)</f>
        <v>157.42</v>
      </c>
      <c r="R613" s="17">
        <f>IF(AND(ISNUMBER(Histórico!$A613),ISNUMBER(Histórico!C613),Histórico!C613&gt;0),Histórico!C613,R612)</f>
        <v>64.73</v>
      </c>
      <c r="S613" s="17">
        <f>IF(AND(ISNUMBER(Histórico!$A613),ISNUMBER(Histórico!D613),Histórico!D613&gt;0),Histórico!D613,S612)</f>
        <v>389.05</v>
      </c>
      <c r="T613" s="18">
        <f>IF(AND(ISNUMBER(Histórico!$A613),ISNUMBER(Histórico!E613),Histórico!E613&gt;0),Histórico!E613,T612)</f>
        <v>5.3744</v>
      </c>
      <c r="U613" s="15">
        <f>IF(ISNUMBER(Histórico!A613),Histórico!A613,U612)</f>
        <v>46324</v>
      </c>
    </row>
    <row r="614" spans="17:21" ht="22.95" customHeight="1">
      <c r="Q614" s="17">
        <f>IF(AND(ISNUMBER(Histórico!$A614),ISNUMBER(Histórico!B614),Histórico!B614&gt;0),Histórico!B614,Q613)</f>
        <v>157.42</v>
      </c>
      <c r="R614" s="17">
        <f>IF(AND(ISNUMBER(Histórico!$A614),ISNUMBER(Histórico!C614),Histórico!C614&gt;0),Histórico!C614,R613)</f>
        <v>64.73</v>
      </c>
      <c r="S614" s="17">
        <f>IF(AND(ISNUMBER(Histórico!$A614),ISNUMBER(Histórico!D614),Histórico!D614&gt;0),Histórico!D614,S613)</f>
        <v>389.05</v>
      </c>
      <c r="T614" s="18">
        <f>IF(AND(ISNUMBER(Histórico!$A614),ISNUMBER(Histórico!E614),Histórico!E614&gt;0),Histórico!E614,T613)</f>
        <v>5.3744</v>
      </c>
      <c r="U614" s="15">
        <f>IF(ISNUMBER(Histórico!A614),Histórico!A614,U613)</f>
        <v>46324</v>
      </c>
    </row>
    <row r="615" spans="17:21" ht="22.95" customHeight="1">
      <c r="Q615" s="17">
        <f>IF(AND(ISNUMBER(Histórico!$A615),ISNUMBER(Histórico!B615),Histórico!B615&gt;0),Histórico!B615,Q614)</f>
        <v>157.42</v>
      </c>
      <c r="R615" s="17">
        <f>IF(AND(ISNUMBER(Histórico!$A615),ISNUMBER(Histórico!C615),Histórico!C615&gt;0),Histórico!C615,R614)</f>
        <v>64.73</v>
      </c>
      <c r="S615" s="17">
        <f>IF(AND(ISNUMBER(Histórico!$A615),ISNUMBER(Histórico!D615),Histórico!D615&gt;0),Histórico!D615,S614)</f>
        <v>389.05</v>
      </c>
      <c r="T615" s="18">
        <f>IF(AND(ISNUMBER(Histórico!$A615),ISNUMBER(Histórico!E615),Histórico!E615&gt;0),Histórico!E615,T614)</f>
        <v>5.3744</v>
      </c>
      <c r="U615" s="15">
        <f>IF(ISNUMBER(Histórico!A615),Histórico!A615,U614)</f>
        <v>46324</v>
      </c>
    </row>
    <row r="616" spans="17:21" ht="22.95" customHeight="1">
      <c r="Q616" s="17">
        <f>IF(AND(ISNUMBER(Histórico!$A616),ISNUMBER(Histórico!B616),Histórico!B616&gt;0),Histórico!B616,Q615)</f>
        <v>157.42</v>
      </c>
      <c r="R616" s="17">
        <f>IF(AND(ISNUMBER(Histórico!$A616),ISNUMBER(Histórico!C616),Histórico!C616&gt;0),Histórico!C616,R615)</f>
        <v>64.73</v>
      </c>
      <c r="S616" s="17">
        <f>IF(AND(ISNUMBER(Histórico!$A616),ISNUMBER(Histórico!D616),Histórico!D616&gt;0),Histórico!D616,S615)</f>
        <v>389.05</v>
      </c>
      <c r="T616" s="18">
        <f>IF(AND(ISNUMBER(Histórico!$A616),ISNUMBER(Histórico!E616),Histórico!E616&gt;0),Histórico!E616,T615)</f>
        <v>5.3744</v>
      </c>
      <c r="U616" s="15">
        <f>IF(ISNUMBER(Histórico!A616),Histórico!A616,U615)</f>
        <v>46324</v>
      </c>
    </row>
    <row r="617" spans="17:21" ht="22.95" customHeight="1">
      <c r="Q617" s="17">
        <f>IF(AND(ISNUMBER(Histórico!$A617),ISNUMBER(Histórico!B617),Histórico!B617&gt;0),Histórico!B617,Q616)</f>
        <v>157.42</v>
      </c>
      <c r="R617" s="17">
        <f>IF(AND(ISNUMBER(Histórico!$A617),ISNUMBER(Histórico!C617),Histórico!C617&gt;0),Histórico!C617,R616)</f>
        <v>64.73</v>
      </c>
      <c r="S617" s="17">
        <f>IF(AND(ISNUMBER(Histórico!$A617),ISNUMBER(Histórico!D617),Histórico!D617&gt;0),Histórico!D617,S616)</f>
        <v>389.05</v>
      </c>
      <c r="T617" s="18">
        <f>IF(AND(ISNUMBER(Histórico!$A617),ISNUMBER(Histórico!E617),Histórico!E617&gt;0),Histórico!E617,T616)</f>
        <v>5.3744</v>
      </c>
      <c r="U617" s="15">
        <f>IF(ISNUMBER(Histórico!A617),Histórico!A617,U616)</f>
        <v>46324</v>
      </c>
    </row>
    <row r="618" spans="17:21" ht="22.95" customHeight="1">
      <c r="Q618" s="17">
        <f>IF(AND(ISNUMBER(Histórico!$A618),ISNUMBER(Histórico!B618),Histórico!B618&gt;0),Histórico!B618,Q617)</f>
        <v>157.42</v>
      </c>
      <c r="R618" s="17">
        <f>IF(AND(ISNUMBER(Histórico!$A618),ISNUMBER(Histórico!C618),Histórico!C618&gt;0),Histórico!C618,R617)</f>
        <v>64.73</v>
      </c>
      <c r="S618" s="17">
        <f>IF(AND(ISNUMBER(Histórico!$A618),ISNUMBER(Histórico!D618),Histórico!D618&gt;0),Histórico!D618,S617)</f>
        <v>389.05</v>
      </c>
      <c r="T618" s="18">
        <f>IF(AND(ISNUMBER(Histórico!$A618),ISNUMBER(Histórico!E618),Histórico!E618&gt;0),Histórico!E618,T617)</f>
        <v>5.3744</v>
      </c>
      <c r="U618" s="15">
        <f>IF(ISNUMBER(Histórico!A618),Histórico!A618,U617)</f>
        <v>46324</v>
      </c>
    </row>
    <row r="619" spans="17:21" ht="22.95" customHeight="1">
      <c r="Q619" s="17">
        <f>IF(AND(ISNUMBER(Histórico!$A619),ISNUMBER(Histórico!B619),Histórico!B619&gt;0),Histórico!B619,Q618)</f>
        <v>157.42</v>
      </c>
      <c r="R619" s="17">
        <f>IF(AND(ISNUMBER(Histórico!$A619),ISNUMBER(Histórico!C619),Histórico!C619&gt;0),Histórico!C619,R618)</f>
        <v>64.73</v>
      </c>
      <c r="S619" s="17">
        <f>IF(AND(ISNUMBER(Histórico!$A619),ISNUMBER(Histórico!D619),Histórico!D619&gt;0),Histórico!D619,S618)</f>
        <v>389.05</v>
      </c>
      <c r="T619" s="18">
        <f>IF(AND(ISNUMBER(Histórico!$A619),ISNUMBER(Histórico!E619),Histórico!E619&gt;0),Histórico!E619,T618)</f>
        <v>5.3744</v>
      </c>
      <c r="U619" s="15">
        <f>IF(ISNUMBER(Histórico!A619),Histórico!A619,U618)</f>
        <v>46324</v>
      </c>
    </row>
    <row r="620" spans="17:21" ht="22.95" customHeight="1">
      <c r="Q620" s="17">
        <f>IF(AND(ISNUMBER(Histórico!$A620),ISNUMBER(Histórico!B620),Histórico!B620&gt;0),Histórico!B620,Q619)</f>
        <v>157.42</v>
      </c>
      <c r="R620" s="17">
        <f>IF(AND(ISNUMBER(Histórico!$A620),ISNUMBER(Histórico!C620),Histórico!C620&gt;0),Histórico!C620,R619)</f>
        <v>64.73</v>
      </c>
      <c r="S620" s="17">
        <f>IF(AND(ISNUMBER(Histórico!$A620),ISNUMBER(Histórico!D620),Histórico!D620&gt;0),Histórico!D620,S619)</f>
        <v>389.05</v>
      </c>
      <c r="T620" s="18">
        <f>IF(AND(ISNUMBER(Histórico!$A620),ISNUMBER(Histórico!E620),Histórico!E620&gt;0),Histórico!E620,T619)</f>
        <v>5.3744</v>
      </c>
      <c r="U620" s="15">
        <f>IF(ISNUMBER(Histórico!A620),Histórico!A620,U619)</f>
        <v>46324</v>
      </c>
    </row>
    <row r="621" spans="17:21" ht="22.95" customHeight="1">
      <c r="Q621" s="17">
        <f>IF(AND(ISNUMBER(Histórico!$A621),ISNUMBER(Histórico!B621),Histórico!B621&gt;0),Histórico!B621,Q620)</f>
        <v>157.42</v>
      </c>
      <c r="R621" s="17">
        <f>IF(AND(ISNUMBER(Histórico!$A621),ISNUMBER(Histórico!C621),Histórico!C621&gt;0),Histórico!C621,R620)</f>
        <v>64.73</v>
      </c>
      <c r="S621" s="17">
        <f>IF(AND(ISNUMBER(Histórico!$A621),ISNUMBER(Histórico!D621),Histórico!D621&gt;0),Histórico!D621,S620)</f>
        <v>389.05</v>
      </c>
      <c r="T621" s="18">
        <f>IF(AND(ISNUMBER(Histórico!$A621),ISNUMBER(Histórico!E621),Histórico!E621&gt;0),Histórico!E621,T620)</f>
        <v>5.3744</v>
      </c>
      <c r="U621" s="15">
        <f>IF(ISNUMBER(Histórico!A621),Histórico!A621,U620)</f>
        <v>46324</v>
      </c>
    </row>
    <row r="622" spans="17:21" ht="22.95" customHeight="1">
      <c r="Q622" s="17">
        <f>IF(AND(ISNUMBER(Histórico!$A622),ISNUMBER(Histórico!B622),Histórico!B622&gt;0),Histórico!B622,Q621)</f>
        <v>157.42</v>
      </c>
      <c r="R622" s="17">
        <f>IF(AND(ISNUMBER(Histórico!$A622),ISNUMBER(Histórico!C622),Histórico!C622&gt;0),Histórico!C622,R621)</f>
        <v>64.73</v>
      </c>
      <c r="S622" s="17">
        <f>IF(AND(ISNUMBER(Histórico!$A622),ISNUMBER(Histórico!D622),Histórico!D622&gt;0),Histórico!D622,S621)</f>
        <v>389.05</v>
      </c>
      <c r="T622" s="18">
        <f>IF(AND(ISNUMBER(Histórico!$A622),ISNUMBER(Histórico!E622),Histórico!E622&gt;0),Histórico!E622,T621)</f>
        <v>5.3744</v>
      </c>
      <c r="U622" s="15">
        <f>IF(ISNUMBER(Histórico!A622),Histórico!A622,U621)</f>
        <v>46324</v>
      </c>
    </row>
    <row r="623" spans="17:21" ht="22.95" customHeight="1">
      <c r="Q623" s="17">
        <f>IF(AND(ISNUMBER(Histórico!$A623),ISNUMBER(Histórico!B623),Histórico!B623&gt;0),Histórico!B623,Q622)</f>
        <v>157.42</v>
      </c>
      <c r="R623" s="17">
        <f>IF(AND(ISNUMBER(Histórico!$A623),ISNUMBER(Histórico!C623),Histórico!C623&gt;0),Histórico!C623,R622)</f>
        <v>64.73</v>
      </c>
      <c r="S623" s="17">
        <f>IF(AND(ISNUMBER(Histórico!$A623),ISNUMBER(Histórico!D623),Histórico!D623&gt;0),Histórico!D623,S622)</f>
        <v>389.05</v>
      </c>
      <c r="T623" s="18">
        <f>IF(AND(ISNUMBER(Histórico!$A623),ISNUMBER(Histórico!E623),Histórico!E623&gt;0),Histórico!E623,T622)</f>
        <v>5.3744</v>
      </c>
      <c r="U623" s="15">
        <f>IF(ISNUMBER(Histórico!A623),Histórico!A623,U622)</f>
        <v>46324</v>
      </c>
    </row>
    <row r="624" spans="17:21" ht="22.95" customHeight="1">
      <c r="Q624" s="17">
        <f>IF(AND(ISNUMBER(Histórico!$A624),ISNUMBER(Histórico!B624),Histórico!B624&gt;0),Histórico!B624,Q623)</f>
        <v>157.42</v>
      </c>
      <c r="R624" s="17">
        <f>IF(AND(ISNUMBER(Histórico!$A624),ISNUMBER(Histórico!C624),Histórico!C624&gt;0),Histórico!C624,R623)</f>
        <v>64.73</v>
      </c>
      <c r="S624" s="17">
        <f>IF(AND(ISNUMBER(Histórico!$A624),ISNUMBER(Histórico!D624),Histórico!D624&gt;0),Histórico!D624,S623)</f>
        <v>389.05</v>
      </c>
      <c r="T624" s="18">
        <f>IF(AND(ISNUMBER(Histórico!$A624),ISNUMBER(Histórico!E624),Histórico!E624&gt;0),Histórico!E624,T623)</f>
        <v>5.3744</v>
      </c>
      <c r="U624" s="15">
        <f>IF(ISNUMBER(Histórico!A624),Histórico!A624,U623)</f>
        <v>46324</v>
      </c>
    </row>
    <row r="625" spans="17:21" ht="22.95" customHeight="1">
      <c r="Q625" s="17">
        <f>IF(AND(ISNUMBER(Histórico!$A625),ISNUMBER(Histórico!B625),Histórico!B625&gt;0),Histórico!B625,Q624)</f>
        <v>157.42</v>
      </c>
      <c r="R625" s="17">
        <f>IF(AND(ISNUMBER(Histórico!$A625),ISNUMBER(Histórico!C625),Histórico!C625&gt;0),Histórico!C625,R624)</f>
        <v>64.73</v>
      </c>
      <c r="S625" s="17">
        <f>IF(AND(ISNUMBER(Histórico!$A625),ISNUMBER(Histórico!D625),Histórico!D625&gt;0),Histórico!D625,S624)</f>
        <v>389.05</v>
      </c>
      <c r="T625" s="18">
        <f>IF(AND(ISNUMBER(Histórico!$A625),ISNUMBER(Histórico!E625),Histórico!E625&gt;0),Histórico!E625,T624)</f>
        <v>5.3744</v>
      </c>
      <c r="U625" s="15">
        <f>IF(ISNUMBER(Histórico!A625),Histórico!A625,U624)</f>
        <v>46324</v>
      </c>
    </row>
    <row r="626" spans="17:21" ht="22.95" customHeight="1">
      <c r="Q626" s="17">
        <f>IF(AND(ISNUMBER(Histórico!$A626),ISNUMBER(Histórico!B626),Histórico!B626&gt;0),Histórico!B626,Q625)</f>
        <v>157.42</v>
      </c>
      <c r="R626" s="17">
        <f>IF(AND(ISNUMBER(Histórico!$A626),ISNUMBER(Histórico!C626),Histórico!C626&gt;0),Histórico!C626,R625)</f>
        <v>64.73</v>
      </c>
      <c r="S626" s="17">
        <f>IF(AND(ISNUMBER(Histórico!$A626),ISNUMBER(Histórico!D626),Histórico!D626&gt;0),Histórico!D626,S625)</f>
        <v>389.05</v>
      </c>
      <c r="T626" s="18">
        <f>IF(AND(ISNUMBER(Histórico!$A626),ISNUMBER(Histórico!E626),Histórico!E626&gt;0),Histórico!E626,T625)</f>
        <v>5.3744</v>
      </c>
      <c r="U626" s="15">
        <f>IF(ISNUMBER(Histórico!A626),Histórico!A626,U625)</f>
        <v>46324</v>
      </c>
    </row>
    <row r="627" spans="17:21" ht="22.95" customHeight="1">
      <c r="Q627" s="17">
        <f>IF(AND(ISNUMBER(Histórico!$A627),ISNUMBER(Histórico!B627),Histórico!B627&gt;0),Histórico!B627,Q626)</f>
        <v>157.42</v>
      </c>
      <c r="R627" s="17">
        <f>IF(AND(ISNUMBER(Histórico!$A627),ISNUMBER(Histórico!C627),Histórico!C627&gt;0),Histórico!C627,R626)</f>
        <v>64.73</v>
      </c>
      <c r="S627" s="17">
        <f>IF(AND(ISNUMBER(Histórico!$A627),ISNUMBER(Histórico!D627),Histórico!D627&gt;0),Histórico!D627,S626)</f>
        <v>389.05</v>
      </c>
      <c r="T627" s="18">
        <f>IF(AND(ISNUMBER(Histórico!$A627),ISNUMBER(Histórico!E627),Histórico!E627&gt;0),Histórico!E627,T626)</f>
        <v>5.3744</v>
      </c>
      <c r="U627" s="15">
        <f>IF(ISNUMBER(Histórico!A627),Histórico!A627,U626)</f>
        <v>46324</v>
      </c>
    </row>
    <row r="628" spans="17:21" ht="22.95" customHeight="1">
      <c r="Q628" s="17">
        <f>IF(AND(ISNUMBER(Histórico!$A628),ISNUMBER(Histórico!B628),Histórico!B628&gt;0),Histórico!B628,Q627)</f>
        <v>157.42</v>
      </c>
      <c r="R628" s="17">
        <f>IF(AND(ISNUMBER(Histórico!$A628),ISNUMBER(Histórico!C628),Histórico!C628&gt;0),Histórico!C628,R627)</f>
        <v>64.73</v>
      </c>
      <c r="S628" s="17">
        <f>IF(AND(ISNUMBER(Histórico!$A628),ISNUMBER(Histórico!D628),Histórico!D628&gt;0),Histórico!D628,S627)</f>
        <v>389.05</v>
      </c>
      <c r="T628" s="18">
        <f>IF(AND(ISNUMBER(Histórico!$A628),ISNUMBER(Histórico!E628),Histórico!E628&gt;0),Histórico!E628,T627)</f>
        <v>5.3744</v>
      </c>
      <c r="U628" s="15">
        <f>IF(ISNUMBER(Histórico!A628),Histórico!A628,U627)</f>
        <v>46324</v>
      </c>
    </row>
    <row r="629" spans="17:21" ht="22.95" customHeight="1">
      <c r="Q629" s="17">
        <f>IF(AND(ISNUMBER(Histórico!$A629),ISNUMBER(Histórico!B629),Histórico!B629&gt;0),Histórico!B629,Q628)</f>
        <v>157.42</v>
      </c>
      <c r="R629" s="17">
        <f>IF(AND(ISNUMBER(Histórico!$A629),ISNUMBER(Histórico!C629),Histórico!C629&gt;0),Histórico!C629,R628)</f>
        <v>64.73</v>
      </c>
      <c r="S629" s="17">
        <f>IF(AND(ISNUMBER(Histórico!$A629),ISNUMBER(Histórico!D629),Histórico!D629&gt;0),Histórico!D629,S628)</f>
        <v>389.05</v>
      </c>
      <c r="T629" s="18">
        <f>IF(AND(ISNUMBER(Histórico!$A629),ISNUMBER(Histórico!E629),Histórico!E629&gt;0),Histórico!E629,T628)</f>
        <v>5.3744</v>
      </c>
      <c r="U629" s="15">
        <f>IF(ISNUMBER(Histórico!A629),Histórico!A629,U628)</f>
        <v>46324</v>
      </c>
    </row>
    <row r="630" spans="17:21" ht="22.95" customHeight="1">
      <c r="Q630" s="17">
        <f>IF(AND(ISNUMBER(Histórico!$A630),ISNUMBER(Histórico!B630),Histórico!B630&gt;0),Histórico!B630,Q629)</f>
        <v>157.42</v>
      </c>
      <c r="R630" s="17">
        <f>IF(AND(ISNUMBER(Histórico!$A630),ISNUMBER(Histórico!C630),Histórico!C630&gt;0),Histórico!C630,R629)</f>
        <v>64.73</v>
      </c>
      <c r="S630" s="17">
        <f>IF(AND(ISNUMBER(Histórico!$A630),ISNUMBER(Histórico!D630),Histórico!D630&gt;0),Histórico!D630,S629)</f>
        <v>389.05</v>
      </c>
      <c r="T630" s="18">
        <f>IF(AND(ISNUMBER(Histórico!$A630),ISNUMBER(Histórico!E630),Histórico!E630&gt;0),Histórico!E630,T629)</f>
        <v>5.3744</v>
      </c>
      <c r="U630" s="15">
        <f>IF(ISNUMBER(Histórico!A630),Histórico!A630,U629)</f>
        <v>46324</v>
      </c>
    </row>
    <row r="631" spans="17:21" ht="22.95" customHeight="1">
      <c r="Q631" s="17">
        <f>IF(AND(ISNUMBER(Histórico!$A631),ISNUMBER(Histórico!B631),Histórico!B631&gt;0),Histórico!B631,Q630)</f>
        <v>157.42</v>
      </c>
      <c r="R631" s="17">
        <f>IF(AND(ISNUMBER(Histórico!$A631),ISNUMBER(Histórico!C631),Histórico!C631&gt;0),Histórico!C631,R630)</f>
        <v>64.73</v>
      </c>
      <c r="S631" s="17">
        <f>IF(AND(ISNUMBER(Histórico!$A631),ISNUMBER(Histórico!D631),Histórico!D631&gt;0),Histórico!D631,S630)</f>
        <v>389.05</v>
      </c>
      <c r="T631" s="18">
        <f>IF(AND(ISNUMBER(Histórico!$A631),ISNUMBER(Histórico!E631),Histórico!E631&gt;0),Histórico!E631,T630)</f>
        <v>5.3744</v>
      </c>
      <c r="U631" s="15">
        <f>IF(ISNUMBER(Histórico!A631),Histórico!A631,U630)</f>
        <v>46324</v>
      </c>
    </row>
    <row r="632" spans="17:21" ht="22.95" customHeight="1">
      <c r="Q632" s="17">
        <f>IF(AND(ISNUMBER(Histórico!$A632),ISNUMBER(Histórico!B632),Histórico!B632&gt;0),Histórico!B632,Q631)</f>
        <v>157.42</v>
      </c>
      <c r="R632" s="17">
        <f>IF(AND(ISNUMBER(Histórico!$A632),ISNUMBER(Histórico!C632),Histórico!C632&gt;0),Histórico!C632,R631)</f>
        <v>64.73</v>
      </c>
      <c r="S632" s="17">
        <f>IF(AND(ISNUMBER(Histórico!$A632),ISNUMBER(Histórico!D632),Histórico!D632&gt;0),Histórico!D632,S631)</f>
        <v>389.05</v>
      </c>
      <c r="T632" s="18">
        <f>IF(AND(ISNUMBER(Histórico!$A632),ISNUMBER(Histórico!E632),Histórico!E632&gt;0),Histórico!E632,T631)</f>
        <v>5.3744</v>
      </c>
      <c r="U632" s="15">
        <f>IF(ISNUMBER(Histórico!A632),Histórico!A632,U631)</f>
        <v>46324</v>
      </c>
    </row>
    <row r="633" spans="17:21" ht="22.95" customHeight="1">
      <c r="Q633" s="17">
        <f>IF(AND(ISNUMBER(Histórico!$A633),ISNUMBER(Histórico!B633),Histórico!B633&gt;0),Histórico!B633,Q632)</f>
        <v>157.42</v>
      </c>
      <c r="R633" s="17">
        <f>IF(AND(ISNUMBER(Histórico!$A633),ISNUMBER(Histórico!C633),Histórico!C633&gt;0),Histórico!C633,R632)</f>
        <v>64.73</v>
      </c>
      <c r="S633" s="17">
        <f>IF(AND(ISNUMBER(Histórico!$A633),ISNUMBER(Histórico!D633),Histórico!D633&gt;0),Histórico!D633,S632)</f>
        <v>389.05</v>
      </c>
      <c r="T633" s="18">
        <f>IF(AND(ISNUMBER(Histórico!$A633),ISNUMBER(Histórico!E633),Histórico!E633&gt;0),Histórico!E633,T632)</f>
        <v>5.3744</v>
      </c>
      <c r="U633" s="15">
        <f>IF(ISNUMBER(Histórico!A633),Histórico!A633,U632)</f>
        <v>46324</v>
      </c>
    </row>
    <row r="634" spans="17:21" ht="22.95" customHeight="1">
      <c r="Q634" s="17">
        <f>IF(AND(ISNUMBER(Histórico!$A634),ISNUMBER(Histórico!B634),Histórico!B634&gt;0),Histórico!B634,Q633)</f>
        <v>157.42</v>
      </c>
      <c r="R634" s="17">
        <f>IF(AND(ISNUMBER(Histórico!$A634),ISNUMBER(Histórico!C634),Histórico!C634&gt;0),Histórico!C634,R633)</f>
        <v>64.73</v>
      </c>
      <c r="S634" s="17">
        <f>IF(AND(ISNUMBER(Histórico!$A634),ISNUMBER(Histórico!D634),Histórico!D634&gt;0),Histórico!D634,S633)</f>
        <v>389.05</v>
      </c>
      <c r="T634" s="18">
        <f>IF(AND(ISNUMBER(Histórico!$A634),ISNUMBER(Histórico!E634),Histórico!E634&gt;0),Histórico!E634,T633)</f>
        <v>5.3744</v>
      </c>
      <c r="U634" s="15">
        <f>IF(ISNUMBER(Histórico!A634),Histórico!A634,U633)</f>
        <v>46324</v>
      </c>
    </row>
    <row r="635" spans="17:21" ht="22.95" customHeight="1">
      <c r="Q635" s="17">
        <f>IF(AND(ISNUMBER(Histórico!$A635),ISNUMBER(Histórico!B635),Histórico!B635&gt;0),Histórico!B635,Q634)</f>
        <v>157.42</v>
      </c>
      <c r="R635" s="17">
        <f>IF(AND(ISNUMBER(Histórico!$A635),ISNUMBER(Histórico!C635),Histórico!C635&gt;0),Histórico!C635,R634)</f>
        <v>64.73</v>
      </c>
      <c r="S635" s="17">
        <f>IF(AND(ISNUMBER(Histórico!$A635),ISNUMBER(Histórico!D635),Histórico!D635&gt;0),Histórico!D635,S634)</f>
        <v>389.05</v>
      </c>
      <c r="T635" s="18">
        <f>IF(AND(ISNUMBER(Histórico!$A635),ISNUMBER(Histórico!E635),Histórico!E635&gt;0),Histórico!E635,T634)</f>
        <v>5.3744</v>
      </c>
      <c r="U635" s="15">
        <f>IF(ISNUMBER(Histórico!A635),Histórico!A635,U634)</f>
        <v>46324</v>
      </c>
    </row>
    <row r="636" spans="17:21" ht="22.95" customHeight="1">
      <c r="Q636" s="17">
        <f>IF(AND(ISNUMBER(Histórico!$A636),ISNUMBER(Histórico!B636),Histórico!B636&gt;0),Histórico!B636,Q635)</f>
        <v>157.42</v>
      </c>
      <c r="R636" s="17">
        <f>IF(AND(ISNUMBER(Histórico!$A636),ISNUMBER(Histórico!C636),Histórico!C636&gt;0),Histórico!C636,R635)</f>
        <v>64.73</v>
      </c>
      <c r="S636" s="17">
        <f>IF(AND(ISNUMBER(Histórico!$A636),ISNUMBER(Histórico!D636),Histórico!D636&gt;0),Histórico!D636,S635)</f>
        <v>389.05</v>
      </c>
      <c r="T636" s="18">
        <f>IF(AND(ISNUMBER(Histórico!$A636),ISNUMBER(Histórico!E636),Histórico!E636&gt;0),Histórico!E636,T635)</f>
        <v>5.3744</v>
      </c>
      <c r="U636" s="15">
        <f>IF(ISNUMBER(Histórico!A636),Histórico!A636,U635)</f>
        <v>46324</v>
      </c>
    </row>
    <row r="637" spans="17:21" ht="22.95" customHeight="1">
      <c r="Q637" s="17">
        <f>IF(AND(ISNUMBER(Histórico!$A637),ISNUMBER(Histórico!B637),Histórico!B637&gt;0),Histórico!B637,Q636)</f>
        <v>157.42</v>
      </c>
      <c r="R637" s="17">
        <f>IF(AND(ISNUMBER(Histórico!$A637),ISNUMBER(Histórico!C637),Histórico!C637&gt;0),Histórico!C637,R636)</f>
        <v>64.73</v>
      </c>
      <c r="S637" s="17">
        <f>IF(AND(ISNUMBER(Histórico!$A637),ISNUMBER(Histórico!D637),Histórico!D637&gt;0),Histórico!D637,S636)</f>
        <v>389.05</v>
      </c>
      <c r="T637" s="18">
        <f>IF(AND(ISNUMBER(Histórico!$A637),ISNUMBER(Histórico!E637),Histórico!E637&gt;0),Histórico!E637,T636)</f>
        <v>5.3744</v>
      </c>
      <c r="U637" s="15">
        <f>IF(ISNUMBER(Histórico!A637),Histórico!A637,U636)</f>
        <v>46324</v>
      </c>
    </row>
    <row r="638" spans="17:21" ht="22.95" customHeight="1">
      <c r="Q638" s="17">
        <f>IF(AND(ISNUMBER(Histórico!$A638),ISNUMBER(Histórico!B638),Histórico!B638&gt;0),Histórico!B638,Q637)</f>
        <v>157.42</v>
      </c>
      <c r="R638" s="17">
        <f>IF(AND(ISNUMBER(Histórico!$A638),ISNUMBER(Histórico!C638),Histórico!C638&gt;0),Histórico!C638,R637)</f>
        <v>64.73</v>
      </c>
      <c r="S638" s="17">
        <f>IF(AND(ISNUMBER(Histórico!$A638),ISNUMBER(Histórico!D638),Histórico!D638&gt;0),Histórico!D638,S637)</f>
        <v>389.05</v>
      </c>
      <c r="T638" s="18">
        <f>IF(AND(ISNUMBER(Histórico!$A638),ISNUMBER(Histórico!E638),Histórico!E638&gt;0),Histórico!E638,T637)</f>
        <v>5.3744</v>
      </c>
      <c r="U638" s="15">
        <f>IF(ISNUMBER(Histórico!A638),Histórico!A638,U637)</f>
        <v>46324</v>
      </c>
    </row>
    <row r="639" spans="17:21" ht="22.95" customHeight="1">
      <c r="Q639" s="17">
        <f>IF(AND(ISNUMBER(Histórico!$A639),ISNUMBER(Histórico!B639),Histórico!B639&gt;0),Histórico!B639,Q638)</f>
        <v>157.42</v>
      </c>
      <c r="R639" s="17">
        <f>IF(AND(ISNUMBER(Histórico!$A639),ISNUMBER(Histórico!C639),Histórico!C639&gt;0),Histórico!C639,R638)</f>
        <v>64.73</v>
      </c>
      <c r="S639" s="17">
        <f>IF(AND(ISNUMBER(Histórico!$A639),ISNUMBER(Histórico!D639),Histórico!D639&gt;0),Histórico!D639,S638)</f>
        <v>389.05</v>
      </c>
      <c r="T639" s="18">
        <f>IF(AND(ISNUMBER(Histórico!$A639),ISNUMBER(Histórico!E639),Histórico!E639&gt;0),Histórico!E639,T638)</f>
        <v>5.3744</v>
      </c>
      <c r="U639" s="15">
        <f>IF(ISNUMBER(Histórico!A639),Histórico!A639,U638)</f>
        <v>46324</v>
      </c>
    </row>
    <row r="640" spans="17:21" ht="22.95" customHeight="1">
      <c r="Q640" s="17">
        <f>IF(AND(ISNUMBER(Histórico!$A640),ISNUMBER(Histórico!B640),Histórico!B640&gt;0),Histórico!B640,Q639)</f>
        <v>157.42</v>
      </c>
      <c r="R640" s="17">
        <f>IF(AND(ISNUMBER(Histórico!$A640),ISNUMBER(Histórico!C640),Histórico!C640&gt;0),Histórico!C640,R639)</f>
        <v>64.73</v>
      </c>
      <c r="S640" s="17">
        <f>IF(AND(ISNUMBER(Histórico!$A640),ISNUMBER(Histórico!D640),Histórico!D640&gt;0),Histórico!D640,S639)</f>
        <v>389.05</v>
      </c>
      <c r="T640" s="18">
        <f>IF(AND(ISNUMBER(Histórico!$A640),ISNUMBER(Histórico!E640),Histórico!E640&gt;0),Histórico!E640,T639)</f>
        <v>5.3744</v>
      </c>
      <c r="U640" s="15">
        <f>IF(ISNUMBER(Histórico!A640),Histórico!A640,U639)</f>
        <v>46324</v>
      </c>
    </row>
    <row r="641" spans="17:21" ht="22.95" customHeight="1">
      <c r="Q641" s="17">
        <f>IF(AND(ISNUMBER(Histórico!$A641),ISNUMBER(Histórico!B641),Histórico!B641&gt;0),Histórico!B641,Q640)</f>
        <v>157.42</v>
      </c>
      <c r="R641" s="17">
        <f>IF(AND(ISNUMBER(Histórico!$A641),ISNUMBER(Histórico!C641),Histórico!C641&gt;0),Histórico!C641,R640)</f>
        <v>64.73</v>
      </c>
      <c r="S641" s="17">
        <f>IF(AND(ISNUMBER(Histórico!$A641),ISNUMBER(Histórico!D641),Histórico!D641&gt;0),Histórico!D641,S640)</f>
        <v>389.05</v>
      </c>
      <c r="T641" s="18">
        <f>IF(AND(ISNUMBER(Histórico!$A641),ISNUMBER(Histórico!E641),Histórico!E641&gt;0),Histórico!E641,T640)</f>
        <v>5.3744</v>
      </c>
      <c r="U641" s="15">
        <f>IF(ISNUMBER(Histórico!A641),Histórico!A641,U640)</f>
        <v>46324</v>
      </c>
    </row>
    <row r="642" spans="17:21" ht="22.95" customHeight="1">
      <c r="Q642" s="17">
        <f>IF(AND(ISNUMBER(Histórico!$A642),ISNUMBER(Histórico!B642),Histórico!B642&gt;0),Histórico!B642,Q641)</f>
        <v>157.42</v>
      </c>
      <c r="R642" s="17">
        <f>IF(AND(ISNUMBER(Histórico!$A642),ISNUMBER(Histórico!C642),Histórico!C642&gt;0),Histórico!C642,R641)</f>
        <v>64.73</v>
      </c>
      <c r="S642" s="17">
        <f>IF(AND(ISNUMBER(Histórico!$A642),ISNUMBER(Histórico!D642),Histórico!D642&gt;0),Histórico!D642,S641)</f>
        <v>389.05</v>
      </c>
      <c r="T642" s="18">
        <f>IF(AND(ISNUMBER(Histórico!$A642),ISNUMBER(Histórico!E642),Histórico!E642&gt;0),Histórico!E642,T641)</f>
        <v>5.3744</v>
      </c>
      <c r="U642" s="15">
        <f>IF(ISNUMBER(Histórico!A642),Histórico!A642,U641)</f>
        <v>46324</v>
      </c>
    </row>
    <row r="643" spans="17:21" ht="22.95" customHeight="1">
      <c r="Q643" s="17">
        <f>IF(AND(ISNUMBER(Histórico!$A643),ISNUMBER(Histórico!B643),Histórico!B643&gt;0),Histórico!B643,Q642)</f>
        <v>157.42</v>
      </c>
      <c r="R643" s="17">
        <f>IF(AND(ISNUMBER(Histórico!$A643),ISNUMBER(Histórico!C643),Histórico!C643&gt;0),Histórico!C643,R642)</f>
        <v>64.73</v>
      </c>
      <c r="S643" s="17">
        <f>IF(AND(ISNUMBER(Histórico!$A643),ISNUMBER(Histórico!D643),Histórico!D643&gt;0),Histórico!D643,S642)</f>
        <v>389.05</v>
      </c>
      <c r="T643" s="18">
        <f>IF(AND(ISNUMBER(Histórico!$A643),ISNUMBER(Histórico!E643),Histórico!E643&gt;0),Histórico!E643,T642)</f>
        <v>5.3744</v>
      </c>
      <c r="U643" s="15">
        <f>IF(ISNUMBER(Histórico!A643),Histórico!A643,U642)</f>
        <v>46324</v>
      </c>
    </row>
    <row r="644" spans="17:21" ht="22.95" customHeight="1">
      <c r="Q644" s="17">
        <f>IF(AND(ISNUMBER(Histórico!$A644),ISNUMBER(Histórico!B644),Histórico!B644&gt;0),Histórico!B644,Q643)</f>
        <v>157.42</v>
      </c>
      <c r="R644" s="17">
        <f>IF(AND(ISNUMBER(Histórico!$A644),ISNUMBER(Histórico!C644),Histórico!C644&gt;0),Histórico!C644,R643)</f>
        <v>64.73</v>
      </c>
      <c r="S644" s="17">
        <f>IF(AND(ISNUMBER(Histórico!$A644),ISNUMBER(Histórico!D644),Histórico!D644&gt;0),Histórico!D644,S643)</f>
        <v>389.05</v>
      </c>
      <c r="T644" s="18">
        <f>IF(AND(ISNUMBER(Histórico!$A644),ISNUMBER(Histórico!E644),Histórico!E644&gt;0),Histórico!E644,T643)</f>
        <v>5.3744</v>
      </c>
      <c r="U644" s="15">
        <f>IF(ISNUMBER(Histórico!A644),Histórico!A644,U643)</f>
        <v>46324</v>
      </c>
    </row>
    <row r="645" spans="17:21" ht="22.95" customHeight="1">
      <c r="Q645" s="17">
        <f>IF(AND(ISNUMBER(Histórico!$A645),ISNUMBER(Histórico!B645),Histórico!B645&gt;0),Histórico!B645,Q644)</f>
        <v>157.42</v>
      </c>
      <c r="R645" s="17">
        <f>IF(AND(ISNUMBER(Histórico!$A645),ISNUMBER(Histórico!C645),Histórico!C645&gt;0),Histórico!C645,R644)</f>
        <v>64.73</v>
      </c>
      <c r="S645" s="17">
        <f>IF(AND(ISNUMBER(Histórico!$A645),ISNUMBER(Histórico!D645),Histórico!D645&gt;0),Histórico!D645,S644)</f>
        <v>389.05</v>
      </c>
      <c r="T645" s="18">
        <f>IF(AND(ISNUMBER(Histórico!$A645),ISNUMBER(Histórico!E645),Histórico!E645&gt;0),Histórico!E645,T644)</f>
        <v>5.3744</v>
      </c>
      <c r="U645" s="15">
        <f>IF(ISNUMBER(Histórico!A645),Histórico!A645,U644)</f>
        <v>46324</v>
      </c>
    </row>
    <row r="646" spans="17:21" ht="22.95" customHeight="1">
      <c r="Q646" s="17">
        <f>IF(AND(ISNUMBER(Histórico!$A646),ISNUMBER(Histórico!B646),Histórico!B646&gt;0),Histórico!B646,Q645)</f>
        <v>157.42</v>
      </c>
      <c r="R646" s="17">
        <f>IF(AND(ISNUMBER(Histórico!$A646),ISNUMBER(Histórico!C646),Histórico!C646&gt;0),Histórico!C646,R645)</f>
        <v>64.73</v>
      </c>
      <c r="S646" s="17">
        <f>IF(AND(ISNUMBER(Histórico!$A646),ISNUMBER(Histórico!D646),Histórico!D646&gt;0),Histórico!D646,S645)</f>
        <v>389.05</v>
      </c>
      <c r="T646" s="18">
        <f>IF(AND(ISNUMBER(Histórico!$A646),ISNUMBER(Histórico!E646),Histórico!E646&gt;0),Histórico!E646,T645)</f>
        <v>5.3744</v>
      </c>
      <c r="U646" s="15">
        <f>IF(ISNUMBER(Histórico!A646),Histórico!A646,U645)</f>
        <v>46324</v>
      </c>
    </row>
    <row r="647" spans="17:21" ht="22.95" customHeight="1">
      <c r="Q647" s="17">
        <f>IF(AND(ISNUMBER(Histórico!$A647),ISNUMBER(Histórico!B647),Histórico!B647&gt;0),Histórico!B647,Q646)</f>
        <v>157.42</v>
      </c>
      <c r="R647" s="17">
        <f>IF(AND(ISNUMBER(Histórico!$A647),ISNUMBER(Histórico!C647),Histórico!C647&gt;0),Histórico!C647,R646)</f>
        <v>64.73</v>
      </c>
      <c r="S647" s="17">
        <f>IF(AND(ISNUMBER(Histórico!$A647),ISNUMBER(Histórico!D647),Histórico!D647&gt;0),Histórico!D647,S646)</f>
        <v>389.05</v>
      </c>
      <c r="T647" s="18">
        <f>IF(AND(ISNUMBER(Histórico!$A647),ISNUMBER(Histórico!E647),Histórico!E647&gt;0),Histórico!E647,T646)</f>
        <v>5.3744</v>
      </c>
      <c r="U647" s="15">
        <f>IF(ISNUMBER(Histórico!A647),Histórico!A647,U646)</f>
        <v>46324</v>
      </c>
    </row>
    <row r="648" spans="17:21" ht="22.95" customHeight="1">
      <c r="Q648" s="17">
        <f>IF(AND(ISNUMBER(Histórico!$A648),ISNUMBER(Histórico!B648),Histórico!B648&gt;0),Histórico!B648,Q647)</f>
        <v>157.42</v>
      </c>
      <c r="R648" s="17">
        <f>IF(AND(ISNUMBER(Histórico!$A648),ISNUMBER(Histórico!C648),Histórico!C648&gt;0),Histórico!C648,R647)</f>
        <v>64.73</v>
      </c>
      <c r="S648" s="17">
        <f>IF(AND(ISNUMBER(Histórico!$A648),ISNUMBER(Histórico!D648),Histórico!D648&gt;0),Histórico!D648,S647)</f>
        <v>389.05</v>
      </c>
      <c r="T648" s="18">
        <f>IF(AND(ISNUMBER(Histórico!$A648),ISNUMBER(Histórico!E648),Histórico!E648&gt;0),Histórico!E648,T647)</f>
        <v>5.3744</v>
      </c>
      <c r="U648" s="15">
        <f>IF(ISNUMBER(Histórico!A648),Histórico!A648,U647)</f>
        <v>46324</v>
      </c>
    </row>
    <row r="649" spans="17:21" ht="22.95" customHeight="1">
      <c r="Q649" s="17">
        <f>IF(AND(ISNUMBER(Histórico!$A649),ISNUMBER(Histórico!B649),Histórico!B649&gt;0),Histórico!B649,Q648)</f>
        <v>157.42</v>
      </c>
      <c r="R649" s="17">
        <f>IF(AND(ISNUMBER(Histórico!$A649),ISNUMBER(Histórico!C649),Histórico!C649&gt;0),Histórico!C649,R648)</f>
        <v>64.73</v>
      </c>
      <c r="S649" s="17">
        <f>IF(AND(ISNUMBER(Histórico!$A649),ISNUMBER(Histórico!D649),Histórico!D649&gt;0),Histórico!D649,S648)</f>
        <v>389.05</v>
      </c>
      <c r="T649" s="18">
        <f>IF(AND(ISNUMBER(Histórico!$A649),ISNUMBER(Histórico!E649),Histórico!E649&gt;0),Histórico!E649,T648)</f>
        <v>5.3744</v>
      </c>
      <c r="U649" s="15">
        <f>IF(ISNUMBER(Histórico!A649),Histórico!A649,U648)</f>
        <v>46324</v>
      </c>
    </row>
    <row r="650" spans="17:21" ht="22.95" customHeight="1">
      <c r="Q650" s="17">
        <f>IF(AND(ISNUMBER(Histórico!$A650),ISNUMBER(Histórico!B650),Histórico!B650&gt;0),Histórico!B650,Q649)</f>
        <v>157.42</v>
      </c>
      <c r="R650" s="17">
        <f>IF(AND(ISNUMBER(Histórico!$A650),ISNUMBER(Histórico!C650),Histórico!C650&gt;0),Histórico!C650,R649)</f>
        <v>64.73</v>
      </c>
      <c r="S650" s="17">
        <f>IF(AND(ISNUMBER(Histórico!$A650),ISNUMBER(Histórico!D650),Histórico!D650&gt;0),Histórico!D650,S649)</f>
        <v>389.05</v>
      </c>
      <c r="T650" s="18">
        <f>IF(AND(ISNUMBER(Histórico!$A650),ISNUMBER(Histórico!E650),Histórico!E650&gt;0),Histórico!E650,T649)</f>
        <v>5.3744</v>
      </c>
      <c r="U650" s="15">
        <f>IF(ISNUMBER(Histórico!A650),Histórico!A650,U649)</f>
        <v>46324</v>
      </c>
    </row>
    <row r="651" spans="17:21" ht="22.95" customHeight="1">
      <c r="Q651" s="17">
        <f>IF(AND(ISNUMBER(Histórico!$A651),ISNUMBER(Histórico!B651),Histórico!B651&gt;0),Histórico!B651,Q650)</f>
        <v>157.42</v>
      </c>
      <c r="R651" s="17">
        <f>IF(AND(ISNUMBER(Histórico!$A651),ISNUMBER(Histórico!C651),Histórico!C651&gt;0),Histórico!C651,R650)</f>
        <v>64.73</v>
      </c>
      <c r="S651" s="17">
        <f>IF(AND(ISNUMBER(Histórico!$A651),ISNUMBER(Histórico!D651),Histórico!D651&gt;0),Histórico!D651,S650)</f>
        <v>389.05</v>
      </c>
      <c r="T651" s="18">
        <f>IF(AND(ISNUMBER(Histórico!$A651),ISNUMBER(Histórico!E651),Histórico!E651&gt;0),Histórico!E651,T650)</f>
        <v>5.3744</v>
      </c>
      <c r="U651" s="15">
        <f>IF(ISNUMBER(Histórico!A651),Histórico!A651,U650)</f>
        <v>46324</v>
      </c>
    </row>
    <row r="652" spans="17:21" ht="22.95" customHeight="1">
      <c r="Q652" s="17">
        <f>IF(AND(ISNUMBER(Histórico!$A652),ISNUMBER(Histórico!B652),Histórico!B652&gt;0),Histórico!B652,Q651)</f>
        <v>157.42</v>
      </c>
      <c r="R652" s="17">
        <f>IF(AND(ISNUMBER(Histórico!$A652),ISNUMBER(Histórico!C652),Histórico!C652&gt;0),Histórico!C652,R651)</f>
        <v>64.73</v>
      </c>
      <c r="S652" s="17">
        <f>IF(AND(ISNUMBER(Histórico!$A652),ISNUMBER(Histórico!D652),Histórico!D652&gt;0),Histórico!D652,S651)</f>
        <v>389.05</v>
      </c>
      <c r="T652" s="18">
        <f>IF(AND(ISNUMBER(Histórico!$A652),ISNUMBER(Histórico!E652),Histórico!E652&gt;0),Histórico!E652,T651)</f>
        <v>5.3744</v>
      </c>
      <c r="U652" s="15">
        <f>IF(ISNUMBER(Histórico!A652),Histórico!A652,U651)</f>
        <v>46324</v>
      </c>
    </row>
    <row r="653" spans="17:21" ht="22.95" customHeight="1">
      <c r="Q653" s="17">
        <f>IF(AND(ISNUMBER(Histórico!$A653),ISNUMBER(Histórico!B653),Histórico!B653&gt;0),Histórico!B653,Q652)</f>
        <v>157.42</v>
      </c>
      <c r="R653" s="17">
        <f>IF(AND(ISNUMBER(Histórico!$A653),ISNUMBER(Histórico!C653),Histórico!C653&gt;0),Histórico!C653,R652)</f>
        <v>64.73</v>
      </c>
      <c r="S653" s="17">
        <f>IF(AND(ISNUMBER(Histórico!$A653),ISNUMBER(Histórico!D653),Histórico!D653&gt;0),Histórico!D653,S652)</f>
        <v>389.05</v>
      </c>
      <c r="T653" s="18">
        <f>IF(AND(ISNUMBER(Histórico!$A653),ISNUMBER(Histórico!E653),Histórico!E653&gt;0),Histórico!E653,T652)</f>
        <v>5.3744</v>
      </c>
      <c r="U653" s="15">
        <f>IF(ISNUMBER(Histórico!A653),Histórico!A653,U652)</f>
        <v>46324</v>
      </c>
    </row>
    <row r="654" spans="17:21" ht="22.95" customHeight="1">
      <c r="Q654" s="17">
        <f>IF(AND(ISNUMBER(Histórico!$A654),ISNUMBER(Histórico!B654),Histórico!B654&gt;0),Histórico!B654,Q653)</f>
        <v>157.42</v>
      </c>
      <c r="R654" s="17">
        <f>IF(AND(ISNUMBER(Histórico!$A654),ISNUMBER(Histórico!C654),Histórico!C654&gt;0),Histórico!C654,R653)</f>
        <v>64.73</v>
      </c>
      <c r="S654" s="17">
        <f>IF(AND(ISNUMBER(Histórico!$A654),ISNUMBER(Histórico!D654),Histórico!D654&gt;0),Histórico!D654,S653)</f>
        <v>389.05</v>
      </c>
      <c r="T654" s="18">
        <f>IF(AND(ISNUMBER(Histórico!$A654),ISNUMBER(Histórico!E654),Histórico!E654&gt;0),Histórico!E654,T653)</f>
        <v>5.3744</v>
      </c>
      <c r="U654" s="15">
        <f>IF(ISNUMBER(Histórico!A654),Histórico!A654,U653)</f>
        <v>46324</v>
      </c>
    </row>
    <row r="655" spans="17:21" ht="22.95" customHeight="1">
      <c r="Q655" s="17">
        <f>IF(AND(ISNUMBER(Histórico!$A655),ISNUMBER(Histórico!B655),Histórico!B655&gt;0),Histórico!B655,Q654)</f>
        <v>157.42</v>
      </c>
      <c r="R655" s="17">
        <f>IF(AND(ISNUMBER(Histórico!$A655),ISNUMBER(Histórico!C655),Histórico!C655&gt;0),Histórico!C655,R654)</f>
        <v>64.73</v>
      </c>
      <c r="S655" s="17">
        <f>IF(AND(ISNUMBER(Histórico!$A655),ISNUMBER(Histórico!D655),Histórico!D655&gt;0),Histórico!D655,S654)</f>
        <v>389.05</v>
      </c>
      <c r="T655" s="18">
        <f>IF(AND(ISNUMBER(Histórico!$A655),ISNUMBER(Histórico!E655),Histórico!E655&gt;0),Histórico!E655,T654)</f>
        <v>5.3744</v>
      </c>
      <c r="U655" s="15">
        <f>IF(ISNUMBER(Histórico!A655),Histórico!A655,U654)</f>
        <v>46324</v>
      </c>
    </row>
    <row r="656" spans="17:21" ht="22.95" customHeight="1">
      <c r="Q656" s="17">
        <f>IF(AND(ISNUMBER(Histórico!$A656),ISNUMBER(Histórico!B656),Histórico!B656&gt;0),Histórico!B656,Q655)</f>
        <v>157.42</v>
      </c>
      <c r="R656" s="17">
        <f>IF(AND(ISNUMBER(Histórico!$A656),ISNUMBER(Histórico!C656),Histórico!C656&gt;0),Histórico!C656,R655)</f>
        <v>64.73</v>
      </c>
      <c r="S656" s="17">
        <f>IF(AND(ISNUMBER(Histórico!$A656),ISNUMBER(Histórico!D656),Histórico!D656&gt;0),Histórico!D656,S655)</f>
        <v>389.05</v>
      </c>
      <c r="T656" s="18">
        <f>IF(AND(ISNUMBER(Histórico!$A656),ISNUMBER(Histórico!E656),Histórico!E656&gt;0),Histórico!E656,T655)</f>
        <v>5.3744</v>
      </c>
      <c r="U656" s="15">
        <f>IF(ISNUMBER(Histórico!A656),Histórico!A656,U655)</f>
        <v>46324</v>
      </c>
    </row>
    <row r="657" spans="17:21" ht="22.95" customHeight="1">
      <c r="Q657" s="17">
        <f>IF(AND(ISNUMBER(Histórico!$A657),ISNUMBER(Histórico!B657),Histórico!B657&gt;0),Histórico!B657,Q656)</f>
        <v>157.42</v>
      </c>
      <c r="R657" s="17">
        <f>IF(AND(ISNUMBER(Histórico!$A657),ISNUMBER(Histórico!C657),Histórico!C657&gt;0),Histórico!C657,R656)</f>
        <v>64.73</v>
      </c>
      <c r="S657" s="17">
        <f>IF(AND(ISNUMBER(Histórico!$A657),ISNUMBER(Histórico!D657),Histórico!D657&gt;0),Histórico!D657,S656)</f>
        <v>389.05</v>
      </c>
      <c r="T657" s="18">
        <f>IF(AND(ISNUMBER(Histórico!$A657),ISNUMBER(Histórico!E657),Histórico!E657&gt;0),Histórico!E657,T656)</f>
        <v>5.3744</v>
      </c>
      <c r="U657" s="15">
        <f>IF(ISNUMBER(Histórico!A657),Histórico!A657,U656)</f>
        <v>46324</v>
      </c>
    </row>
    <row r="658" spans="17:21" ht="22.95" customHeight="1">
      <c r="Q658" s="17">
        <f>IF(AND(ISNUMBER(Histórico!$A658),ISNUMBER(Histórico!B658),Histórico!B658&gt;0),Histórico!B658,Q657)</f>
        <v>157.42</v>
      </c>
      <c r="R658" s="17">
        <f>IF(AND(ISNUMBER(Histórico!$A658),ISNUMBER(Histórico!C658),Histórico!C658&gt;0),Histórico!C658,R657)</f>
        <v>64.73</v>
      </c>
      <c r="S658" s="17">
        <f>IF(AND(ISNUMBER(Histórico!$A658),ISNUMBER(Histórico!D658),Histórico!D658&gt;0),Histórico!D658,S657)</f>
        <v>389.05</v>
      </c>
      <c r="T658" s="18">
        <f>IF(AND(ISNUMBER(Histórico!$A658),ISNUMBER(Histórico!E658),Histórico!E658&gt;0),Histórico!E658,T657)</f>
        <v>5.3744</v>
      </c>
      <c r="U658" s="15">
        <f>IF(ISNUMBER(Histórico!A658),Histórico!A658,U657)</f>
        <v>46324</v>
      </c>
    </row>
    <row r="659" spans="17:21" ht="22.95" customHeight="1">
      <c r="Q659" s="17">
        <f>IF(AND(ISNUMBER(Histórico!$A659),ISNUMBER(Histórico!B659),Histórico!B659&gt;0),Histórico!B659,Q658)</f>
        <v>157.42</v>
      </c>
      <c r="R659" s="17">
        <f>IF(AND(ISNUMBER(Histórico!$A659),ISNUMBER(Histórico!C659),Histórico!C659&gt;0),Histórico!C659,R658)</f>
        <v>64.73</v>
      </c>
      <c r="S659" s="17">
        <f>IF(AND(ISNUMBER(Histórico!$A659),ISNUMBER(Histórico!D659),Histórico!D659&gt;0),Histórico!D659,S658)</f>
        <v>389.05</v>
      </c>
      <c r="T659" s="18">
        <f>IF(AND(ISNUMBER(Histórico!$A659),ISNUMBER(Histórico!E659),Histórico!E659&gt;0),Histórico!E659,T658)</f>
        <v>5.3744</v>
      </c>
      <c r="U659" s="15">
        <f>IF(ISNUMBER(Histórico!A659),Histórico!A659,U658)</f>
        <v>46324</v>
      </c>
    </row>
    <row r="660" spans="17:21" ht="22.95" customHeight="1">
      <c r="Q660" s="17">
        <f>IF(AND(ISNUMBER(Histórico!$A660),ISNUMBER(Histórico!B660),Histórico!B660&gt;0),Histórico!B660,Q659)</f>
        <v>157.42</v>
      </c>
      <c r="R660" s="17">
        <f>IF(AND(ISNUMBER(Histórico!$A660),ISNUMBER(Histórico!C660),Histórico!C660&gt;0),Histórico!C660,R659)</f>
        <v>64.73</v>
      </c>
      <c r="S660" s="17">
        <f>IF(AND(ISNUMBER(Histórico!$A660),ISNUMBER(Histórico!D660),Histórico!D660&gt;0),Histórico!D660,S659)</f>
        <v>389.05</v>
      </c>
      <c r="T660" s="18">
        <f>IF(AND(ISNUMBER(Histórico!$A660),ISNUMBER(Histórico!E660),Histórico!E660&gt;0),Histórico!E660,T659)</f>
        <v>5.3744</v>
      </c>
      <c r="U660" s="15">
        <f>IF(ISNUMBER(Histórico!A660),Histórico!A660,U659)</f>
        <v>46324</v>
      </c>
    </row>
    <row r="661" spans="17:21" ht="22.95" customHeight="1">
      <c r="Q661" s="17">
        <f>IF(AND(ISNUMBER(Histórico!$A661),ISNUMBER(Histórico!B661),Histórico!B661&gt;0),Histórico!B661,Q660)</f>
        <v>157.42</v>
      </c>
      <c r="R661" s="17">
        <f>IF(AND(ISNUMBER(Histórico!$A661),ISNUMBER(Histórico!C661),Histórico!C661&gt;0),Histórico!C661,R660)</f>
        <v>64.73</v>
      </c>
      <c r="S661" s="17">
        <f>IF(AND(ISNUMBER(Histórico!$A661),ISNUMBER(Histórico!D661),Histórico!D661&gt;0),Histórico!D661,S660)</f>
        <v>389.05</v>
      </c>
      <c r="T661" s="18">
        <f>IF(AND(ISNUMBER(Histórico!$A661),ISNUMBER(Histórico!E661),Histórico!E661&gt;0),Histórico!E661,T660)</f>
        <v>5.3744</v>
      </c>
      <c r="U661" s="15">
        <f>IF(ISNUMBER(Histórico!A661),Histórico!A661,U660)</f>
        <v>46324</v>
      </c>
    </row>
    <row r="662" spans="17:21" ht="22.95" customHeight="1">
      <c r="Q662" s="17">
        <f>IF(AND(ISNUMBER(Histórico!$A662),ISNUMBER(Histórico!B662),Histórico!B662&gt;0),Histórico!B662,Q661)</f>
        <v>157.42</v>
      </c>
      <c r="R662" s="17">
        <f>IF(AND(ISNUMBER(Histórico!$A662),ISNUMBER(Histórico!C662),Histórico!C662&gt;0),Histórico!C662,R661)</f>
        <v>64.73</v>
      </c>
      <c r="S662" s="17">
        <f>IF(AND(ISNUMBER(Histórico!$A662),ISNUMBER(Histórico!D662),Histórico!D662&gt;0),Histórico!D662,S661)</f>
        <v>389.05</v>
      </c>
      <c r="T662" s="18">
        <f>IF(AND(ISNUMBER(Histórico!$A662),ISNUMBER(Histórico!E662),Histórico!E662&gt;0),Histórico!E662,T661)</f>
        <v>5.3744</v>
      </c>
      <c r="U662" s="15">
        <f>IF(ISNUMBER(Histórico!A662),Histórico!A662,U661)</f>
        <v>46324</v>
      </c>
    </row>
    <row r="663" spans="17:21" ht="22.95" customHeight="1">
      <c r="Q663" s="17">
        <f>IF(AND(ISNUMBER(Histórico!$A663),ISNUMBER(Histórico!B663),Histórico!B663&gt;0),Histórico!B663,Q662)</f>
        <v>157.42</v>
      </c>
      <c r="R663" s="17">
        <f>IF(AND(ISNUMBER(Histórico!$A663),ISNUMBER(Histórico!C663),Histórico!C663&gt;0),Histórico!C663,R662)</f>
        <v>64.73</v>
      </c>
      <c r="S663" s="17">
        <f>IF(AND(ISNUMBER(Histórico!$A663),ISNUMBER(Histórico!D663),Histórico!D663&gt;0),Histórico!D663,S662)</f>
        <v>389.05</v>
      </c>
      <c r="T663" s="18">
        <f>IF(AND(ISNUMBER(Histórico!$A663),ISNUMBER(Histórico!E663),Histórico!E663&gt;0),Histórico!E663,T662)</f>
        <v>5.3744</v>
      </c>
      <c r="U663" s="15">
        <f>IF(ISNUMBER(Histórico!A663),Histórico!A663,U662)</f>
        <v>46324</v>
      </c>
    </row>
    <row r="664" spans="17:21" ht="22.95" customHeight="1">
      <c r="Q664" s="17">
        <f>IF(AND(ISNUMBER(Histórico!$A664),ISNUMBER(Histórico!B664),Histórico!B664&gt;0),Histórico!B664,Q663)</f>
        <v>157.42</v>
      </c>
      <c r="R664" s="17">
        <f>IF(AND(ISNUMBER(Histórico!$A664),ISNUMBER(Histórico!C664),Histórico!C664&gt;0),Histórico!C664,R663)</f>
        <v>64.73</v>
      </c>
      <c r="S664" s="17">
        <f>IF(AND(ISNUMBER(Histórico!$A664),ISNUMBER(Histórico!D664),Histórico!D664&gt;0),Histórico!D664,S663)</f>
        <v>389.05</v>
      </c>
      <c r="T664" s="18">
        <f>IF(AND(ISNUMBER(Histórico!$A664),ISNUMBER(Histórico!E664),Histórico!E664&gt;0),Histórico!E664,T663)</f>
        <v>5.3744</v>
      </c>
      <c r="U664" s="15">
        <f>IF(ISNUMBER(Histórico!A664),Histórico!A664,U663)</f>
        <v>46324</v>
      </c>
    </row>
    <row r="665" spans="17:21" ht="22.95" customHeight="1">
      <c r="Q665" s="17">
        <f>IF(AND(ISNUMBER(Histórico!$A665),ISNUMBER(Histórico!B665),Histórico!B665&gt;0),Histórico!B665,Q664)</f>
        <v>157.42</v>
      </c>
      <c r="R665" s="17">
        <f>IF(AND(ISNUMBER(Histórico!$A665),ISNUMBER(Histórico!C665),Histórico!C665&gt;0),Histórico!C665,R664)</f>
        <v>64.73</v>
      </c>
      <c r="S665" s="17">
        <f>IF(AND(ISNUMBER(Histórico!$A665),ISNUMBER(Histórico!D665),Histórico!D665&gt;0),Histórico!D665,S664)</f>
        <v>389.05</v>
      </c>
      <c r="T665" s="18">
        <f>IF(AND(ISNUMBER(Histórico!$A665),ISNUMBER(Histórico!E665),Histórico!E665&gt;0),Histórico!E665,T664)</f>
        <v>5.3744</v>
      </c>
      <c r="U665" s="15">
        <f>IF(ISNUMBER(Histórico!A665),Histórico!A665,U664)</f>
        <v>46324</v>
      </c>
    </row>
    <row r="666" spans="17:21" ht="22.95" customHeight="1">
      <c r="Q666" s="17">
        <f>IF(AND(ISNUMBER(Histórico!$A666),ISNUMBER(Histórico!B666),Histórico!B666&gt;0),Histórico!B666,Q665)</f>
        <v>157.42</v>
      </c>
      <c r="R666" s="17">
        <f>IF(AND(ISNUMBER(Histórico!$A666),ISNUMBER(Histórico!C666),Histórico!C666&gt;0),Histórico!C666,R665)</f>
        <v>64.73</v>
      </c>
      <c r="S666" s="17">
        <f>IF(AND(ISNUMBER(Histórico!$A666),ISNUMBER(Histórico!D666),Histórico!D666&gt;0),Histórico!D666,S665)</f>
        <v>389.05</v>
      </c>
      <c r="T666" s="18">
        <f>IF(AND(ISNUMBER(Histórico!$A666),ISNUMBER(Histórico!E666),Histórico!E666&gt;0),Histórico!E666,T665)</f>
        <v>5.3744</v>
      </c>
      <c r="U666" s="15">
        <f>IF(ISNUMBER(Histórico!A666),Histórico!A666,U665)</f>
        <v>46324</v>
      </c>
    </row>
    <row r="667" spans="17:21" ht="22.95" customHeight="1">
      <c r="Q667" s="17">
        <f>IF(AND(ISNUMBER(Histórico!$A667),ISNUMBER(Histórico!B667),Histórico!B667&gt;0),Histórico!B667,Q666)</f>
        <v>157.42</v>
      </c>
      <c r="R667" s="17">
        <f>IF(AND(ISNUMBER(Histórico!$A667),ISNUMBER(Histórico!C667),Histórico!C667&gt;0),Histórico!C667,R666)</f>
        <v>64.73</v>
      </c>
      <c r="S667" s="17">
        <f>IF(AND(ISNUMBER(Histórico!$A667),ISNUMBER(Histórico!D667),Histórico!D667&gt;0),Histórico!D667,S666)</f>
        <v>389.05</v>
      </c>
      <c r="T667" s="18">
        <f>IF(AND(ISNUMBER(Histórico!$A667),ISNUMBER(Histórico!E667),Histórico!E667&gt;0),Histórico!E667,T666)</f>
        <v>5.3744</v>
      </c>
      <c r="U667" s="15">
        <f>IF(ISNUMBER(Histórico!A667),Histórico!A667,U666)</f>
        <v>46324</v>
      </c>
    </row>
    <row r="668" spans="17:21" ht="22.95" customHeight="1">
      <c r="Q668" s="17">
        <f>IF(AND(ISNUMBER(Histórico!$A668),ISNUMBER(Histórico!B668),Histórico!B668&gt;0),Histórico!B668,Q667)</f>
        <v>157.42</v>
      </c>
      <c r="R668" s="17">
        <f>IF(AND(ISNUMBER(Histórico!$A668),ISNUMBER(Histórico!C668),Histórico!C668&gt;0),Histórico!C668,R667)</f>
        <v>64.73</v>
      </c>
      <c r="S668" s="17">
        <f>IF(AND(ISNUMBER(Histórico!$A668),ISNUMBER(Histórico!D668),Histórico!D668&gt;0),Histórico!D668,S667)</f>
        <v>389.05</v>
      </c>
      <c r="T668" s="18">
        <f>IF(AND(ISNUMBER(Histórico!$A668),ISNUMBER(Histórico!E668),Histórico!E668&gt;0),Histórico!E668,T667)</f>
        <v>5.3744</v>
      </c>
      <c r="U668" s="15">
        <f>IF(ISNUMBER(Histórico!A668),Histórico!A668,U667)</f>
        <v>46324</v>
      </c>
    </row>
    <row r="669" spans="17:21" ht="22.95" customHeight="1">
      <c r="Q669" s="17">
        <f>IF(AND(ISNUMBER(Histórico!$A669),ISNUMBER(Histórico!B669),Histórico!B669&gt;0),Histórico!B669,Q668)</f>
        <v>157.42</v>
      </c>
      <c r="R669" s="17">
        <f>IF(AND(ISNUMBER(Histórico!$A669),ISNUMBER(Histórico!C669),Histórico!C669&gt;0),Histórico!C669,R668)</f>
        <v>64.73</v>
      </c>
      <c r="S669" s="17">
        <f>IF(AND(ISNUMBER(Histórico!$A669),ISNUMBER(Histórico!D669),Histórico!D669&gt;0),Histórico!D669,S668)</f>
        <v>389.05</v>
      </c>
      <c r="T669" s="18">
        <f>IF(AND(ISNUMBER(Histórico!$A669),ISNUMBER(Histórico!E669),Histórico!E669&gt;0),Histórico!E669,T668)</f>
        <v>5.3744</v>
      </c>
      <c r="U669" s="15">
        <f>IF(ISNUMBER(Histórico!A669),Histórico!A669,U668)</f>
        <v>46324</v>
      </c>
    </row>
    <row r="670" spans="17:21" ht="22.95" customHeight="1">
      <c r="Q670" s="17">
        <f>IF(AND(ISNUMBER(Histórico!$A670),ISNUMBER(Histórico!B670),Histórico!B670&gt;0),Histórico!B670,Q669)</f>
        <v>157.42</v>
      </c>
      <c r="R670" s="17">
        <f>IF(AND(ISNUMBER(Histórico!$A670),ISNUMBER(Histórico!C670),Histórico!C670&gt;0),Histórico!C670,R669)</f>
        <v>64.73</v>
      </c>
      <c r="S670" s="17">
        <f>IF(AND(ISNUMBER(Histórico!$A670),ISNUMBER(Histórico!D670),Histórico!D670&gt;0),Histórico!D670,S669)</f>
        <v>389.05</v>
      </c>
      <c r="T670" s="18">
        <f>IF(AND(ISNUMBER(Histórico!$A670),ISNUMBER(Histórico!E670),Histórico!E670&gt;0),Histórico!E670,T669)</f>
        <v>5.3744</v>
      </c>
      <c r="U670" s="15">
        <f>IF(ISNUMBER(Histórico!A670),Histórico!A670,U669)</f>
        <v>46324</v>
      </c>
    </row>
    <row r="671" spans="17:21" ht="22.95" customHeight="1">
      <c r="Q671" s="17">
        <f>IF(AND(ISNUMBER(Histórico!$A671),ISNUMBER(Histórico!B671),Histórico!B671&gt;0),Histórico!B671,Q670)</f>
        <v>157.42</v>
      </c>
      <c r="R671" s="17">
        <f>IF(AND(ISNUMBER(Histórico!$A671),ISNUMBER(Histórico!C671),Histórico!C671&gt;0),Histórico!C671,R670)</f>
        <v>64.73</v>
      </c>
      <c r="S671" s="17">
        <f>IF(AND(ISNUMBER(Histórico!$A671),ISNUMBER(Histórico!D671),Histórico!D671&gt;0),Histórico!D671,S670)</f>
        <v>389.05</v>
      </c>
      <c r="T671" s="18">
        <f>IF(AND(ISNUMBER(Histórico!$A671),ISNUMBER(Histórico!E671),Histórico!E671&gt;0),Histórico!E671,T670)</f>
        <v>5.3744</v>
      </c>
      <c r="U671" s="15">
        <f>IF(ISNUMBER(Histórico!A671),Histórico!A671,U670)</f>
        <v>46324</v>
      </c>
    </row>
    <row r="672" spans="17:21" ht="22.95" customHeight="1">
      <c r="Q672" s="17">
        <f>IF(AND(ISNUMBER(Histórico!$A672),ISNUMBER(Histórico!B672),Histórico!B672&gt;0),Histórico!B672,Q671)</f>
        <v>157.42</v>
      </c>
      <c r="R672" s="17">
        <f>IF(AND(ISNUMBER(Histórico!$A672),ISNUMBER(Histórico!C672),Histórico!C672&gt;0),Histórico!C672,R671)</f>
        <v>64.73</v>
      </c>
      <c r="S672" s="17">
        <f>IF(AND(ISNUMBER(Histórico!$A672),ISNUMBER(Histórico!D672),Histórico!D672&gt;0),Histórico!D672,S671)</f>
        <v>389.05</v>
      </c>
      <c r="T672" s="18">
        <f>IF(AND(ISNUMBER(Histórico!$A672),ISNUMBER(Histórico!E672),Histórico!E672&gt;0),Histórico!E672,T671)</f>
        <v>5.3744</v>
      </c>
      <c r="U672" s="15">
        <f>IF(ISNUMBER(Histórico!A672),Histórico!A672,U671)</f>
        <v>46324</v>
      </c>
    </row>
    <row r="673" spans="17:21" ht="22.95" customHeight="1">
      <c r="Q673" s="17">
        <f>IF(AND(ISNUMBER(Histórico!$A673),ISNUMBER(Histórico!B673),Histórico!B673&gt;0),Histórico!B673,Q672)</f>
        <v>157.42</v>
      </c>
      <c r="R673" s="17">
        <f>IF(AND(ISNUMBER(Histórico!$A673),ISNUMBER(Histórico!C673),Histórico!C673&gt;0),Histórico!C673,R672)</f>
        <v>64.73</v>
      </c>
      <c r="S673" s="17">
        <f>IF(AND(ISNUMBER(Histórico!$A673),ISNUMBER(Histórico!D673),Histórico!D673&gt;0),Histórico!D673,S672)</f>
        <v>389.05</v>
      </c>
      <c r="T673" s="18">
        <f>IF(AND(ISNUMBER(Histórico!$A673),ISNUMBER(Histórico!E673),Histórico!E673&gt;0),Histórico!E673,T672)</f>
        <v>5.3744</v>
      </c>
      <c r="U673" s="15">
        <f>IF(ISNUMBER(Histórico!A673),Histórico!A673,U672)</f>
        <v>46324</v>
      </c>
    </row>
    <row r="674" spans="17:21" ht="22.95" customHeight="1">
      <c r="Q674" s="17">
        <f>IF(AND(ISNUMBER(Histórico!$A674),ISNUMBER(Histórico!B674),Histórico!B674&gt;0),Histórico!B674,Q673)</f>
        <v>157.42</v>
      </c>
      <c r="R674" s="17">
        <f>IF(AND(ISNUMBER(Histórico!$A674),ISNUMBER(Histórico!C674),Histórico!C674&gt;0),Histórico!C674,R673)</f>
        <v>64.73</v>
      </c>
      <c r="S674" s="17">
        <f>IF(AND(ISNUMBER(Histórico!$A674),ISNUMBER(Histórico!D674),Histórico!D674&gt;0),Histórico!D674,S673)</f>
        <v>389.05</v>
      </c>
      <c r="T674" s="18">
        <f>IF(AND(ISNUMBER(Histórico!$A674),ISNUMBER(Histórico!E674),Histórico!E674&gt;0),Histórico!E674,T673)</f>
        <v>5.3744</v>
      </c>
      <c r="U674" s="15">
        <f>IF(ISNUMBER(Histórico!A674),Histórico!A674,U673)</f>
        <v>46324</v>
      </c>
    </row>
    <row r="675" spans="17:21" ht="22.95" customHeight="1">
      <c r="Q675" s="17">
        <f>IF(AND(ISNUMBER(Histórico!$A675),ISNUMBER(Histórico!B675),Histórico!B675&gt;0),Histórico!B675,Q674)</f>
        <v>157.42</v>
      </c>
      <c r="R675" s="17">
        <f>IF(AND(ISNUMBER(Histórico!$A675),ISNUMBER(Histórico!C675),Histórico!C675&gt;0),Histórico!C675,R674)</f>
        <v>64.73</v>
      </c>
      <c r="S675" s="17">
        <f>IF(AND(ISNUMBER(Histórico!$A675),ISNUMBER(Histórico!D675),Histórico!D675&gt;0),Histórico!D675,S674)</f>
        <v>389.05</v>
      </c>
      <c r="T675" s="18">
        <f>IF(AND(ISNUMBER(Histórico!$A675),ISNUMBER(Histórico!E675),Histórico!E675&gt;0),Histórico!E675,T674)</f>
        <v>5.3744</v>
      </c>
      <c r="U675" s="15">
        <f>IF(ISNUMBER(Histórico!A675),Histórico!A675,U674)</f>
        <v>46324</v>
      </c>
    </row>
    <row r="676" spans="17:21" ht="22.95" customHeight="1">
      <c r="Q676" s="17">
        <f>IF(AND(ISNUMBER(Histórico!$A676),ISNUMBER(Histórico!B676),Histórico!B676&gt;0),Histórico!B676,Q675)</f>
        <v>157.42</v>
      </c>
      <c r="R676" s="17">
        <f>IF(AND(ISNUMBER(Histórico!$A676),ISNUMBER(Histórico!C676),Histórico!C676&gt;0),Histórico!C676,R675)</f>
        <v>64.73</v>
      </c>
      <c r="S676" s="17">
        <f>IF(AND(ISNUMBER(Histórico!$A676),ISNUMBER(Histórico!D676),Histórico!D676&gt;0),Histórico!D676,S675)</f>
        <v>389.05</v>
      </c>
      <c r="T676" s="18">
        <f>IF(AND(ISNUMBER(Histórico!$A676),ISNUMBER(Histórico!E676),Histórico!E676&gt;0),Histórico!E676,T675)</f>
        <v>5.3744</v>
      </c>
      <c r="U676" s="15">
        <f>IF(ISNUMBER(Histórico!A676),Histórico!A676,U675)</f>
        <v>46324</v>
      </c>
    </row>
    <row r="677" spans="17:21" ht="22.95" customHeight="1">
      <c r="Q677" s="17">
        <f>IF(AND(ISNUMBER(Histórico!$A677),ISNUMBER(Histórico!B677),Histórico!B677&gt;0),Histórico!B677,Q676)</f>
        <v>157.42</v>
      </c>
      <c r="R677" s="17">
        <f>IF(AND(ISNUMBER(Histórico!$A677),ISNUMBER(Histórico!C677),Histórico!C677&gt;0),Histórico!C677,R676)</f>
        <v>64.73</v>
      </c>
      <c r="S677" s="17">
        <f>IF(AND(ISNUMBER(Histórico!$A677),ISNUMBER(Histórico!D677),Histórico!D677&gt;0),Histórico!D677,S676)</f>
        <v>389.05</v>
      </c>
      <c r="T677" s="18">
        <f>IF(AND(ISNUMBER(Histórico!$A677),ISNUMBER(Histórico!E677),Histórico!E677&gt;0),Histórico!E677,T676)</f>
        <v>5.3744</v>
      </c>
      <c r="U677" s="15">
        <f>IF(ISNUMBER(Histórico!A677),Histórico!A677,U676)</f>
        <v>46324</v>
      </c>
    </row>
    <row r="678" spans="17:21" ht="22.95" customHeight="1">
      <c r="Q678" s="17">
        <f>IF(AND(ISNUMBER(Histórico!$A678),ISNUMBER(Histórico!B678),Histórico!B678&gt;0),Histórico!B678,Q677)</f>
        <v>157.42</v>
      </c>
      <c r="R678" s="17">
        <f>IF(AND(ISNUMBER(Histórico!$A678),ISNUMBER(Histórico!C678),Histórico!C678&gt;0),Histórico!C678,R677)</f>
        <v>64.73</v>
      </c>
      <c r="S678" s="17">
        <f>IF(AND(ISNUMBER(Histórico!$A678),ISNUMBER(Histórico!D678),Histórico!D678&gt;0),Histórico!D678,S677)</f>
        <v>389.05</v>
      </c>
      <c r="T678" s="18">
        <f>IF(AND(ISNUMBER(Histórico!$A678),ISNUMBER(Histórico!E678),Histórico!E678&gt;0),Histórico!E678,T677)</f>
        <v>5.3744</v>
      </c>
      <c r="U678" s="15">
        <f>IF(ISNUMBER(Histórico!A678),Histórico!A678,U677)</f>
        <v>46324</v>
      </c>
    </row>
    <row r="679" spans="17:21" ht="22.95" customHeight="1">
      <c r="Q679" s="17">
        <f>IF(AND(ISNUMBER(Histórico!$A679),ISNUMBER(Histórico!B679),Histórico!B679&gt;0),Histórico!B679,Q678)</f>
        <v>157.42</v>
      </c>
      <c r="R679" s="17">
        <f>IF(AND(ISNUMBER(Histórico!$A679),ISNUMBER(Histórico!C679),Histórico!C679&gt;0),Histórico!C679,R678)</f>
        <v>64.73</v>
      </c>
      <c r="S679" s="17">
        <f>IF(AND(ISNUMBER(Histórico!$A679),ISNUMBER(Histórico!D679),Histórico!D679&gt;0),Histórico!D679,S678)</f>
        <v>389.05</v>
      </c>
      <c r="T679" s="18">
        <f>IF(AND(ISNUMBER(Histórico!$A679),ISNUMBER(Histórico!E679),Histórico!E679&gt;0),Histórico!E679,T678)</f>
        <v>5.3744</v>
      </c>
      <c r="U679" s="15">
        <f>IF(ISNUMBER(Histórico!A679),Histórico!A679,U678)</f>
        <v>46324</v>
      </c>
    </row>
    <row r="680" spans="17:21" ht="22.95" customHeight="1">
      <c r="Q680" s="17">
        <f>IF(AND(ISNUMBER(Histórico!$A680),ISNUMBER(Histórico!B680),Histórico!B680&gt;0),Histórico!B680,Q679)</f>
        <v>157.42</v>
      </c>
      <c r="R680" s="17">
        <f>IF(AND(ISNUMBER(Histórico!$A680),ISNUMBER(Histórico!C680),Histórico!C680&gt;0),Histórico!C680,R679)</f>
        <v>64.73</v>
      </c>
      <c r="S680" s="17">
        <f>IF(AND(ISNUMBER(Histórico!$A680),ISNUMBER(Histórico!D680),Histórico!D680&gt;0),Histórico!D680,S679)</f>
        <v>389.05</v>
      </c>
      <c r="T680" s="18">
        <f>IF(AND(ISNUMBER(Histórico!$A680),ISNUMBER(Histórico!E680),Histórico!E680&gt;0),Histórico!E680,T679)</f>
        <v>5.3744</v>
      </c>
      <c r="U680" s="15">
        <f>IF(ISNUMBER(Histórico!A680),Histórico!A680,U679)</f>
        <v>46324</v>
      </c>
    </row>
    <row r="681" spans="17:21" ht="22.95" customHeight="1">
      <c r="Q681" s="17">
        <f>IF(AND(ISNUMBER(Histórico!$A681),ISNUMBER(Histórico!B681),Histórico!B681&gt;0),Histórico!B681,Q680)</f>
        <v>157.42</v>
      </c>
      <c r="R681" s="17">
        <f>IF(AND(ISNUMBER(Histórico!$A681),ISNUMBER(Histórico!C681),Histórico!C681&gt;0),Histórico!C681,R680)</f>
        <v>64.73</v>
      </c>
      <c r="S681" s="17">
        <f>IF(AND(ISNUMBER(Histórico!$A681),ISNUMBER(Histórico!D681),Histórico!D681&gt;0),Histórico!D681,S680)</f>
        <v>389.05</v>
      </c>
      <c r="T681" s="18">
        <f>IF(AND(ISNUMBER(Histórico!$A681),ISNUMBER(Histórico!E681),Histórico!E681&gt;0),Histórico!E681,T680)</f>
        <v>5.3744</v>
      </c>
      <c r="U681" s="15">
        <f>IF(ISNUMBER(Histórico!A681),Histórico!A681,U680)</f>
        <v>46324</v>
      </c>
    </row>
    <row r="682" spans="17:21" ht="22.95" customHeight="1">
      <c r="Q682" s="17">
        <f>IF(AND(ISNUMBER(Histórico!$A682),ISNUMBER(Histórico!B682),Histórico!B682&gt;0),Histórico!B682,Q681)</f>
        <v>157.42</v>
      </c>
      <c r="R682" s="17">
        <f>IF(AND(ISNUMBER(Histórico!$A682),ISNUMBER(Histórico!C682),Histórico!C682&gt;0),Histórico!C682,R681)</f>
        <v>64.73</v>
      </c>
      <c r="S682" s="17">
        <f>IF(AND(ISNUMBER(Histórico!$A682),ISNUMBER(Histórico!D682),Histórico!D682&gt;0),Histórico!D682,S681)</f>
        <v>389.05</v>
      </c>
      <c r="T682" s="18">
        <f>IF(AND(ISNUMBER(Histórico!$A682),ISNUMBER(Histórico!E682),Histórico!E682&gt;0),Histórico!E682,T681)</f>
        <v>5.3744</v>
      </c>
      <c r="U682" s="15">
        <f>IF(ISNUMBER(Histórico!A682),Histórico!A682,U681)</f>
        <v>46324</v>
      </c>
    </row>
    <row r="683" spans="17:21" ht="22.95" customHeight="1">
      <c r="Q683" s="17">
        <f>IF(AND(ISNUMBER(Histórico!$A683),ISNUMBER(Histórico!B683),Histórico!B683&gt;0),Histórico!B683,Q682)</f>
        <v>157.42</v>
      </c>
      <c r="R683" s="17">
        <f>IF(AND(ISNUMBER(Histórico!$A683),ISNUMBER(Histórico!C683),Histórico!C683&gt;0),Histórico!C683,R682)</f>
        <v>64.73</v>
      </c>
      <c r="S683" s="17">
        <f>IF(AND(ISNUMBER(Histórico!$A683),ISNUMBER(Histórico!D683),Histórico!D683&gt;0),Histórico!D683,S682)</f>
        <v>389.05</v>
      </c>
      <c r="T683" s="18">
        <f>IF(AND(ISNUMBER(Histórico!$A683),ISNUMBER(Histórico!E683),Histórico!E683&gt;0),Histórico!E683,T682)</f>
        <v>5.3744</v>
      </c>
      <c r="U683" s="15">
        <f>IF(ISNUMBER(Histórico!A683),Histórico!A683,U682)</f>
        <v>46324</v>
      </c>
    </row>
    <row r="684" spans="17:21" ht="22.95" customHeight="1">
      <c r="Q684" s="17">
        <f>IF(AND(ISNUMBER(Histórico!$A684),ISNUMBER(Histórico!B684),Histórico!B684&gt;0),Histórico!B684,Q683)</f>
        <v>157.42</v>
      </c>
      <c r="R684" s="17">
        <f>IF(AND(ISNUMBER(Histórico!$A684),ISNUMBER(Histórico!C684),Histórico!C684&gt;0),Histórico!C684,R683)</f>
        <v>64.73</v>
      </c>
      <c r="S684" s="17">
        <f>IF(AND(ISNUMBER(Histórico!$A684),ISNUMBER(Histórico!D684),Histórico!D684&gt;0),Histórico!D684,S683)</f>
        <v>389.05</v>
      </c>
      <c r="T684" s="18">
        <f>IF(AND(ISNUMBER(Histórico!$A684),ISNUMBER(Histórico!E684),Histórico!E684&gt;0),Histórico!E684,T683)</f>
        <v>5.3744</v>
      </c>
      <c r="U684" s="15">
        <f>IF(ISNUMBER(Histórico!A684),Histórico!A684,U683)</f>
        <v>46324</v>
      </c>
    </row>
    <row r="685" spans="17:21" ht="22.95" customHeight="1">
      <c r="Q685" s="17">
        <f>IF(AND(ISNUMBER(Histórico!$A685),ISNUMBER(Histórico!B685),Histórico!B685&gt;0),Histórico!B685,Q684)</f>
        <v>157.42</v>
      </c>
      <c r="R685" s="17">
        <f>IF(AND(ISNUMBER(Histórico!$A685),ISNUMBER(Histórico!C685),Histórico!C685&gt;0),Histórico!C685,R684)</f>
        <v>64.73</v>
      </c>
      <c r="S685" s="17">
        <f>IF(AND(ISNUMBER(Histórico!$A685),ISNUMBER(Histórico!D685),Histórico!D685&gt;0),Histórico!D685,S684)</f>
        <v>389.05</v>
      </c>
      <c r="T685" s="18">
        <f>IF(AND(ISNUMBER(Histórico!$A685),ISNUMBER(Histórico!E685),Histórico!E685&gt;0),Histórico!E685,T684)</f>
        <v>5.3744</v>
      </c>
      <c r="U685" s="15">
        <f>IF(ISNUMBER(Histórico!A685),Histórico!A685,U684)</f>
        <v>46324</v>
      </c>
    </row>
    <row r="686" spans="17:21" ht="22.95" customHeight="1">
      <c r="Q686" s="17">
        <f>IF(AND(ISNUMBER(Histórico!$A686),ISNUMBER(Histórico!B686),Histórico!B686&gt;0),Histórico!B686,Q685)</f>
        <v>157.42</v>
      </c>
      <c r="R686" s="17">
        <f>IF(AND(ISNUMBER(Histórico!$A686),ISNUMBER(Histórico!C686),Histórico!C686&gt;0),Histórico!C686,R685)</f>
        <v>64.73</v>
      </c>
      <c r="S686" s="17">
        <f>IF(AND(ISNUMBER(Histórico!$A686),ISNUMBER(Histórico!D686),Histórico!D686&gt;0),Histórico!D686,S685)</f>
        <v>389.05</v>
      </c>
      <c r="T686" s="18">
        <f>IF(AND(ISNUMBER(Histórico!$A686),ISNUMBER(Histórico!E686),Histórico!E686&gt;0),Histórico!E686,T685)</f>
        <v>5.3744</v>
      </c>
      <c r="U686" s="15">
        <f>IF(ISNUMBER(Histórico!A686),Histórico!A686,U685)</f>
        <v>46324</v>
      </c>
    </row>
    <row r="687" spans="17:21" ht="22.95" customHeight="1">
      <c r="Q687" s="17">
        <f>IF(AND(ISNUMBER(Histórico!$A687),ISNUMBER(Histórico!B687),Histórico!B687&gt;0),Histórico!B687,Q686)</f>
        <v>157.42</v>
      </c>
      <c r="R687" s="17">
        <f>IF(AND(ISNUMBER(Histórico!$A687),ISNUMBER(Histórico!C687),Histórico!C687&gt;0),Histórico!C687,R686)</f>
        <v>64.73</v>
      </c>
      <c r="S687" s="17">
        <f>IF(AND(ISNUMBER(Histórico!$A687),ISNUMBER(Histórico!D687),Histórico!D687&gt;0),Histórico!D687,S686)</f>
        <v>389.05</v>
      </c>
      <c r="T687" s="18">
        <f>IF(AND(ISNUMBER(Histórico!$A687),ISNUMBER(Histórico!E687),Histórico!E687&gt;0),Histórico!E687,T686)</f>
        <v>5.3744</v>
      </c>
      <c r="U687" s="15">
        <f>IF(ISNUMBER(Histórico!A687),Histórico!A687,U686)</f>
        <v>46324</v>
      </c>
    </row>
    <row r="688" spans="17:21" ht="22.95" customHeight="1">
      <c r="Q688" s="17">
        <f>IF(AND(ISNUMBER(Histórico!$A688),ISNUMBER(Histórico!B688),Histórico!B688&gt;0),Histórico!B688,Q687)</f>
        <v>157.42</v>
      </c>
      <c r="R688" s="17">
        <f>IF(AND(ISNUMBER(Histórico!$A688),ISNUMBER(Histórico!C688),Histórico!C688&gt;0),Histórico!C688,R687)</f>
        <v>64.73</v>
      </c>
      <c r="S688" s="17">
        <f>IF(AND(ISNUMBER(Histórico!$A688),ISNUMBER(Histórico!D688),Histórico!D688&gt;0),Histórico!D688,S687)</f>
        <v>389.05</v>
      </c>
      <c r="T688" s="18">
        <f>IF(AND(ISNUMBER(Histórico!$A688),ISNUMBER(Histórico!E688),Histórico!E688&gt;0),Histórico!E688,T687)</f>
        <v>5.3744</v>
      </c>
      <c r="U688" s="15">
        <f>IF(ISNUMBER(Histórico!A688),Histórico!A688,U687)</f>
        <v>46324</v>
      </c>
    </row>
    <row r="689" spans="17:21" ht="22.95" customHeight="1">
      <c r="Q689" s="17">
        <f>IF(AND(ISNUMBER(Histórico!$A689),ISNUMBER(Histórico!B689),Histórico!B689&gt;0),Histórico!B689,Q688)</f>
        <v>157.42</v>
      </c>
      <c r="R689" s="17">
        <f>IF(AND(ISNUMBER(Histórico!$A689),ISNUMBER(Histórico!C689),Histórico!C689&gt;0),Histórico!C689,R688)</f>
        <v>64.73</v>
      </c>
      <c r="S689" s="17">
        <f>IF(AND(ISNUMBER(Histórico!$A689),ISNUMBER(Histórico!D689),Histórico!D689&gt;0),Histórico!D689,S688)</f>
        <v>389.05</v>
      </c>
      <c r="T689" s="18">
        <f>IF(AND(ISNUMBER(Histórico!$A689),ISNUMBER(Histórico!E689),Histórico!E689&gt;0),Histórico!E689,T688)</f>
        <v>5.3744</v>
      </c>
      <c r="U689" s="15">
        <f>IF(ISNUMBER(Histórico!A689),Histórico!A689,U688)</f>
        <v>46324</v>
      </c>
    </row>
    <row r="690" spans="17:21" ht="22.95" customHeight="1">
      <c r="Q690" s="17">
        <f>IF(AND(ISNUMBER(Histórico!$A690),ISNUMBER(Histórico!B690),Histórico!B690&gt;0),Histórico!B690,Q689)</f>
        <v>157.42</v>
      </c>
      <c r="R690" s="17">
        <f>IF(AND(ISNUMBER(Histórico!$A690),ISNUMBER(Histórico!C690),Histórico!C690&gt;0),Histórico!C690,R689)</f>
        <v>64.73</v>
      </c>
      <c r="S690" s="17">
        <f>IF(AND(ISNUMBER(Histórico!$A690),ISNUMBER(Histórico!D690),Histórico!D690&gt;0),Histórico!D690,S689)</f>
        <v>389.05</v>
      </c>
      <c r="T690" s="18">
        <f>IF(AND(ISNUMBER(Histórico!$A690),ISNUMBER(Histórico!E690),Histórico!E690&gt;0),Histórico!E690,T689)</f>
        <v>5.3744</v>
      </c>
      <c r="U690" s="15">
        <f>IF(ISNUMBER(Histórico!A690),Histórico!A690,U689)</f>
        <v>46324</v>
      </c>
    </row>
    <row r="691" spans="17:21" ht="22.95" customHeight="1">
      <c r="Q691" s="17">
        <f>IF(AND(ISNUMBER(Histórico!$A691),ISNUMBER(Histórico!B691),Histórico!B691&gt;0),Histórico!B691,Q690)</f>
        <v>157.42</v>
      </c>
      <c r="R691" s="17">
        <f>IF(AND(ISNUMBER(Histórico!$A691),ISNUMBER(Histórico!C691),Histórico!C691&gt;0),Histórico!C691,R690)</f>
        <v>64.73</v>
      </c>
      <c r="S691" s="17">
        <f>IF(AND(ISNUMBER(Histórico!$A691),ISNUMBER(Histórico!D691),Histórico!D691&gt;0),Histórico!D691,S690)</f>
        <v>389.05</v>
      </c>
      <c r="T691" s="18">
        <f>IF(AND(ISNUMBER(Histórico!$A691),ISNUMBER(Histórico!E691),Histórico!E691&gt;0),Histórico!E691,T690)</f>
        <v>5.3744</v>
      </c>
      <c r="U691" s="15">
        <f>IF(ISNUMBER(Histórico!A691),Histórico!A691,U690)</f>
        <v>46324</v>
      </c>
    </row>
    <row r="692" spans="17:21" ht="22.95" customHeight="1">
      <c r="Q692" s="17">
        <f>IF(AND(ISNUMBER(Histórico!$A692),ISNUMBER(Histórico!B692),Histórico!B692&gt;0),Histórico!B692,Q691)</f>
        <v>157.42</v>
      </c>
      <c r="R692" s="17">
        <f>IF(AND(ISNUMBER(Histórico!$A692),ISNUMBER(Histórico!C692),Histórico!C692&gt;0),Histórico!C692,R691)</f>
        <v>64.73</v>
      </c>
      <c r="S692" s="17">
        <f>IF(AND(ISNUMBER(Histórico!$A692),ISNUMBER(Histórico!D692),Histórico!D692&gt;0),Histórico!D692,S691)</f>
        <v>389.05</v>
      </c>
      <c r="T692" s="18">
        <f>IF(AND(ISNUMBER(Histórico!$A692),ISNUMBER(Histórico!E692),Histórico!E692&gt;0),Histórico!E692,T691)</f>
        <v>5.3744</v>
      </c>
      <c r="U692" s="15">
        <f>IF(ISNUMBER(Histórico!A692),Histórico!A692,U691)</f>
        <v>46324</v>
      </c>
    </row>
    <row r="693" spans="17:21" ht="22.95" customHeight="1">
      <c r="Q693" s="17">
        <f>IF(AND(ISNUMBER(Histórico!$A693),ISNUMBER(Histórico!B693),Histórico!B693&gt;0),Histórico!B693,Q692)</f>
        <v>157.42</v>
      </c>
      <c r="R693" s="17">
        <f>IF(AND(ISNUMBER(Histórico!$A693),ISNUMBER(Histórico!C693),Histórico!C693&gt;0),Histórico!C693,R692)</f>
        <v>64.73</v>
      </c>
      <c r="S693" s="17">
        <f>IF(AND(ISNUMBER(Histórico!$A693),ISNUMBER(Histórico!D693),Histórico!D693&gt;0),Histórico!D693,S692)</f>
        <v>389.05</v>
      </c>
      <c r="T693" s="18">
        <f>IF(AND(ISNUMBER(Histórico!$A693),ISNUMBER(Histórico!E693),Histórico!E693&gt;0),Histórico!E693,T692)</f>
        <v>5.3744</v>
      </c>
      <c r="U693" s="15">
        <f>IF(ISNUMBER(Histórico!A693),Histórico!A693,U692)</f>
        <v>46324</v>
      </c>
    </row>
    <row r="694" spans="17:21" ht="22.95" customHeight="1">
      <c r="Q694" s="17">
        <f>IF(AND(ISNUMBER(Histórico!$A694),ISNUMBER(Histórico!B694),Histórico!B694&gt;0),Histórico!B694,Q693)</f>
        <v>157.42</v>
      </c>
      <c r="R694" s="17">
        <f>IF(AND(ISNUMBER(Histórico!$A694),ISNUMBER(Histórico!C694),Histórico!C694&gt;0),Histórico!C694,R693)</f>
        <v>64.73</v>
      </c>
      <c r="S694" s="17">
        <f>IF(AND(ISNUMBER(Histórico!$A694),ISNUMBER(Histórico!D694),Histórico!D694&gt;0),Histórico!D694,S693)</f>
        <v>389.05</v>
      </c>
      <c r="T694" s="18">
        <f>IF(AND(ISNUMBER(Histórico!$A694),ISNUMBER(Histórico!E694),Histórico!E694&gt;0),Histórico!E694,T693)</f>
        <v>5.3744</v>
      </c>
      <c r="U694" s="15">
        <f>IF(ISNUMBER(Histórico!A694),Histórico!A694,U693)</f>
        <v>46324</v>
      </c>
    </row>
    <row r="695" spans="17:21" ht="22.95" customHeight="1">
      <c r="Q695" s="17">
        <f>IF(AND(ISNUMBER(Histórico!$A695),ISNUMBER(Histórico!B695),Histórico!B695&gt;0),Histórico!B695,Q694)</f>
        <v>157.42</v>
      </c>
      <c r="R695" s="17">
        <f>IF(AND(ISNUMBER(Histórico!$A695),ISNUMBER(Histórico!C695),Histórico!C695&gt;0),Histórico!C695,R694)</f>
        <v>64.73</v>
      </c>
      <c r="S695" s="17">
        <f>IF(AND(ISNUMBER(Histórico!$A695),ISNUMBER(Histórico!D695),Histórico!D695&gt;0),Histórico!D695,S694)</f>
        <v>389.05</v>
      </c>
      <c r="T695" s="18">
        <f>IF(AND(ISNUMBER(Histórico!$A695),ISNUMBER(Histórico!E695),Histórico!E695&gt;0),Histórico!E695,T694)</f>
        <v>5.3744</v>
      </c>
      <c r="U695" s="15">
        <f>IF(ISNUMBER(Histórico!A695),Histórico!A695,U694)</f>
        <v>46324</v>
      </c>
    </row>
    <row r="696" spans="17:21" ht="22.95" customHeight="1">
      <c r="Q696" s="17">
        <f>IF(AND(ISNUMBER(Histórico!$A696),ISNUMBER(Histórico!B696),Histórico!B696&gt;0),Histórico!B696,Q695)</f>
        <v>157.42</v>
      </c>
      <c r="R696" s="17">
        <f>IF(AND(ISNUMBER(Histórico!$A696),ISNUMBER(Histórico!C696),Histórico!C696&gt;0),Histórico!C696,R695)</f>
        <v>64.73</v>
      </c>
      <c r="S696" s="17">
        <f>IF(AND(ISNUMBER(Histórico!$A696),ISNUMBER(Histórico!D696),Histórico!D696&gt;0),Histórico!D696,S695)</f>
        <v>389.05</v>
      </c>
      <c r="T696" s="18">
        <f>IF(AND(ISNUMBER(Histórico!$A696),ISNUMBER(Histórico!E696),Histórico!E696&gt;0),Histórico!E696,T695)</f>
        <v>5.3744</v>
      </c>
      <c r="U696" s="15">
        <f>IF(ISNUMBER(Histórico!A696),Histórico!A696,U695)</f>
        <v>46324</v>
      </c>
    </row>
    <row r="697" spans="17:21" ht="22.95" customHeight="1">
      <c r="Q697" s="17">
        <f>IF(AND(ISNUMBER(Histórico!$A697),ISNUMBER(Histórico!B697),Histórico!B697&gt;0),Histórico!B697,Q696)</f>
        <v>157.42</v>
      </c>
      <c r="R697" s="17">
        <f>IF(AND(ISNUMBER(Histórico!$A697),ISNUMBER(Histórico!C697),Histórico!C697&gt;0),Histórico!C697,R696)</f>
        <v>64.73</v>
      </c>
      <c r="S697" s="17">
        <f>IF(AND(ISNUMBER(Histórico!$A697),ISNUMBER(Histórico!D697),Histórico!D697&gt;0),Histórico!D697,S696)</f>
        <v>389.05</v>
      </c>
      <c r="T697" s="18">
        <f>IF(AND(ISNUMBER(Histórico!$A697),ISNUMBER(Histórico!E697),Histórico!E697&gt;0),Histórico!E697,T696)</f>
        <v>5.3744</v>
      </c>
      <c r="U697" s="15">
        <f>IF(ISNUMBER(Histórico!A697),Histórico!A697,U696)</f>
        <v>46324</v>
      </c>
    </row>
    <row r="698" spans="17:21" ht="22.95" customHeight="1">
      <c r="Q698" s="17">
        <f>IF(AND(ISNUMBER(Histórico!$A698),ISNUMBER(Histórico!B698),Histórico!B698&gt;0),Histórico!B698,Q697)</f>
        <v>157.42</v>
      </c>
      <c r="R698" s="17">
        <f>IF(AND(ISNUMBER(Histórico!$A698),ISNUMBER(Histórico!C698),Histórico!C698&gt;0),Histórico!C698,R697)</f>
        <v>64.73</v>
      </c>
      <c r="S698" s="17">
        <f>IF(AND(ISNUMBER(Histórico!$A698),ISNUMBER(Histórico!D698),Histórico!D698&gt;0),Histórico!D698,S697)</f>
        <v>389.05</v>
      </c>
      <c r="T698" s="18">
        <f>IF(AND(ISNUMBER(Histórico!$A698),ISNUMBER(Histórico!E698),Histórico!E698&gt;0),Histórico!E698,T697)</f>
        <v>5.3744</v>
      </c>
      <c r="U698" s="15">
        <f>IF(ISNUMBER(Histórico!A698),Histórico!A698,U697)</f>
        <v>46324</v>
      </c>
    </row>
    <row r="699" spans="17:21" ht="22.95" customHeight="1">
      <c r="Q699" s="17">
        <f>IF(AND(ISNUMBER(Histórico!$A699),ISNUMBER(Histórico!B699),Histórico!B699&gt;0),Histórico!B699,Q698)</f>
        <v>157.42</v>
      </c>
      <c r="R699" s="17">
        <f>IF(AND(ISNUMBER(Histórico!$A699),ISNUMBER(Histórico!C699),Histórico!C699&gt;0),Histórico!C699,R698)</f>
        <v>64.73</v>
      </c>
      <c r="S699" s="17">
        <f>IF(AND(ISNUMBER(Histórico!$A699),ISNUMBER(Histórico!D699),Histórico!D699&gt;0),Histórico!D699,S698)</f>
        <v>389.05</v>
      </c>
      <c r="T699" s="18">
        <f>IF(AND(ISNUMBER(Histórico!$A699),ISNUMBER(Histórico!E699),Histórico!E699&gt;0),Histórico!E699,T698)</f>
        <v>5.3744</v>
      </c>
      <c r="U699" s="15">
        <f>IF(ISNUMBER(Histórico!A699),Histórico!A699,U698)</f>
        <v>46324</v>
      </c>
    </row>
    <row r="700" spans="17:21" ht="22.95" customHeight="1">
      <c r="Q700" s="17">
        <f>IF(AND(ISNUMBER(Histórico!$A700),ISNUMBER(Histórico!B700),Histórico!B700&gt;0),Histórico!B700,Q699)</f>
        <v>157.42</v>
      </c>
      <c r="R700" s="17">
        <f>IF(AND(ISNUMBER(Histórico!$A700),ISNUMBER(Histórico!C700),Histórico!C700&gt;0),Histórico!C700,R699)</f>
        <v>64.73</v>
      </c>
      <c r="S700" s="17">
        <f>IF(AND(ISNUMBER(Histórico!$A700),ISNUMBER(Histórico!D700),Histórico!D700&gt;0),Histórico!D700,S699)</f>
        <v>389.05</v>
      </c>
      <c r="T700" s="18">
        <f>IF(AND(ISNUMBER(Histórico!$A700),ISNUMBER(Histórico!E700),Histórico!E700&gt;0),Histórico!E700,T699)</f>
        <v>5.3744</v>
      </c>
      <c r="U700" s="15">
        <f>IF(ISNUMBER(Histórico!A700),Histórico!A700,U699)</f>
        <v>46324</v>
      </c>
    </row>
    <row r="701" spans="17:21" ht="22.95" customHeight="1">
      <c r="Q701" s="17">
        <f>IF(AND(ISNUMBER(Histórico!$A701),ISNUMBER(Histórico!B701),Histórico!B701&gt;0),Histórico!B701,Q700)</f>
        <v>157.42</v>
      </c>
      <c r="R701" s="17">
        <f>IF(AND(ISNUMBER(Histórico!$A701),ISNUMBER(Histórico!C701),Histórico!C701&gt;0),Histórico!C701,R700)</f>
        <v>64.73</v>
      </c>
      <c r="S701" s="17">
        <f>IF(AND(ISNUMBER(Histórico!$A701),ISNUMBER(Histórico!D701),Histórico!D701&gt;0),Histórico!D701,S700)</f>
        <v>389.05</v>
      </c>
      <c r="T701" s="18">
        <f>IF(AND(ISNUMBER(Histórico!$A701),ISNUMBER(Histórico!E701),Histórico!E701&gt;0),Histórico!E701,T700)</f>
        <v>5.3744</v>
      </c>
      <c r="U701" s="15">
        <f>IF(ISNUMBER(Histórico!A701),Histórico!A701,U700)</f>
        <v>46324</v>
      </c>
    </row>
    <row r="702" spans="17:21" ht="22.95" customHeight="1">
      <c r="Q702" s="17">
        <f>IF(AND(ISNUMBER(Histórico!$A702),ISNUMBER(Histórico!B702),Histórico!B702&gt;0),Histórico!B702,Q701)</f>
        <v>157.42</v>
      </c>
      <c r="R702" s="17">
        <f>IF(AND(ISNUMBER(Histórico!$A702),ISNUMBER(Histórico!C702),Histórico!C702&gt;0),Histórico!C702,R701)</f>
        <v>64.73</v>
      </c>
      <c r="S702" s="17">
        <f>IF(AND(ISNUMBER(Histórico!$A702),ISNUMBER(Histórico!D702),Histórico!D702&gt;0),Histórico!D702,S701)</f>
        <v>389.05</v>
      </c>
      <c r="T702" s="18">
        <f>IF(AND(ISNUMBER(Histórico!$A702),ISNUMBER(Histórico!E702),Histórico!E702&gt;0),Histórico!E702,T701)</f>
        <v>5.3744</v>
      </c>
      <c r="U702" s="15">
        <f>IF(ISNUMBER(Histórico!A702),Histórico!A702,U701)</f>
        <v>46324</v>
      </c>
    </row>
    <row r="703" spans="17:21" ht="22.95" customHeight="1">
      <c r="Q703" s="17">
        <f>IF(AND(ISNUMBER(Histórico!$A703),ISNUMBER(Histórico!B703),Histórico!B703&gt;0),Histórico!B703,Q702)</f>
        <v>157.42</v>
      </c>
      <c r="R703" s="17">
        <f>IF(AND(ISNUMBER(Histórico!$A703),ISNUMBER(Histórico!C703),Histórico!C703&gt;0),Histórico!C703,R702)</f>
        <v>64.73</v>
      </c>
      <c r="S703" s="17">
        <f>IF(AND(ISNUMBER(Histórico!$A703),ISNUMBER(Histórico!D703),Histórico!D703&gt;0),Histórico!D703,S702)</f>
        <v>389.05</v>
      </c>
      <c r="T703" s="18">
        <f>IF(AND(ISNUMBER(Histórico!$A703),ISNUMBER(Histórico!E703),Histórico!E703&gt;0),Histórico!E703,T702)</f>
        <v>5.3744</v>
      </c>
      <c r="U703" s="15">
        <f>IF(ISNUMBER(Histórico!A703),Histórico!A703,U702)</f>
        <v>46324</v>
      </c>
    </row>
    <row r="704" spans="17:21" ht="22.95" customHeight="1">
      <c r="Q704" s="17">
        <f>IF(AND(ISNUMBER(Histórico!$A704),ISNUMBER(Histórico!B704),Histórico!B704&gt;0),Histórico!B704,Q703)</f>
        <v>157.42</v>
      </c>
      <c r="R704" s="17">
        <f>IF(AND(ISNUMBER(Histórico!$A704),ISNUMBER(Histórico!C704),Histórico!C704&gt;0),Histórico!C704,R703)</f>
        <v>64.73</v>
      </c>
      <c r="S704" s="17">
        <f>IF(AND(ISNUMBER(Histórico!$A704),ISNUMBER(Histórico!D704),Histórico!D704&gt;0),Histórico!D704,S703)</f>
        <v>389.05</v>
      </c>
      <c r="T704" s="18">
        <f>IF(AND(ISNUMBER(Histórico!$A704),ISNUMBER(Histórico!E704),Histórico!E704&gt;0),Histórico!E704,T703)</f>
        <v>5.3744</v>
      </c>
      <c r="U704" s="15">
        <f>IF(ISNUMBER(Histórico!A704),Histórico!A704,U703)</f>
        <v>46324</v>
      </c>
    </row>
    <row r="705" spans="17:21" ht="22.95" customHeight="1">
      <c r="Q705" s="17">
        <f>IF(AND(ISNUMBER(Histórico!$A705),ISNUMBER(Histórico!B705),Histórico!B705&gt;0),Histórico!B705,Q704)</f>
        <v>157.42</v>
      </c>
      <c r="R705" s="17">
        <f>IF(AND(ISNUMBER(Histórico!$A705),ISNUMBER(Histórico!C705),Histórico!C705&gt;0),Histórico!C705,R704)</f>
        <v>64.73</v>
      </c>
      <c r="S705" s="17">
        <f>IF(AND(ISNUMBER(Histórico!$A705),ISNUMBER(Histórico!D705),Histórico!D705&gt;0),Histórico!D705,S704)</f>
        <v>389.05</v>
      </c>
      <c r="T705" s="18">
        <f>IF(AND(ISNUMBER(Histórico!$A705),ISNUMBER(Histórico!E705),Histórico!E705&gt;0),Histórico!E705,T704)</f>
        <v>5.3744</v>
      </c>
      <c r="U705" s="15">
        <f>IF(ISNUMBER(Histórico!A705),Histórico!A705,U704)</f>
        <v>46324</v>
      </c>
    </row>
    <row r="706" spans="17:21" ht="22.95" customHeight="1">
      <c r="Q706" s="17">
        <f>IF(AND(ISNUMBER(Histórico!$A706),ISNUMBER(Histórico!B706),Histórico!B706&gt;0),Histórico!B706,Q705)</f>
        <v>157.42</v>
      </c>
      <c r="R706" s="17">
        <f>IF(AND(ISNUMBER(Histórico!$A706),ISNUMBER(Histórico!C706),Histórico!C706&gt;0),Histórico!C706,R705)</f>
        <v>64.73</v>
      </c>
      <c r="S706" s="17">
        <f>IF(AND(ISNUMBER(Histórico!$A706),ISNUMBER(Histórico!D706),Histórico!D706&gt;0),Histórico!D706,S705)</f>
        <v>389.05</v>
      </c>
      <c r="T706" s="18">
        <f>IF(AND(ISNUMBER(Histórico!$A706),ISNUMBER(Histórico!E706),Histórico!E706&gt;0),Histórico!E706,T705)</f>
        <v>5.3744</v>
      </c>
      <c r="U706" s="15">
        <f>IF(ISNUMBER(Histórico!A706),Histórico!A706,U705)</f>
        <v>46324</v>
      </c>
    </row>
    <row r="707" spans="17:21" ht="22.95" customHeight="1">
      <c r="Q707" s="17">
        <f>IF(AND(ISNUMBER(Histórico!$A707),ISNUMBER(Histórico!B707),Histórico!B707&gt;0),Histórico!B707,Q706)</f>
        <v>157.42</v>
      </c>
      <c r="R707" s="17">
        <f>IF(AND(ISNUMBER(Histórico!$A707),ISNUMBER(Histórico!C707),Histórico!C707&gt;0),Histórico!C707,R706)</f>
        <v>64.73</v>
      </c>
      <c r="S707" s="17">
        <f>IF(AND(ISNUMBER(Histórico!$A707),ISNUMBER(Histórico!D707),Histórico!D707&gt;0),Histórico!D707,S706)</f>
        <v>389.05</v>
      </c>
      <c r="T707" s="18">
        <f>IF(AND(ISNUMBER(Histórico!$A707),ISNUMBER(Histórico!E707),Histórico!E707&gt;0),Histórico!E707,T706)</f>
        <v>5.3744</v>
      </c>
      <c r="U707" s="15">
        <f>IF(ISNUMBER(Histórico!A707),Histórico!A707,U706)</f>
        <v>46324</v>
      </c>
    </row>
    <row r="708" spans="17:21" ht="22.95" customHeight="1">
      <c r="Q708" s="17">
        <f>IF(AND(ISNUMBER(Histórico!$A708),ISNUMBER(Histórico!B708),Histórico!B708&gt;0),Histórico!B708,Q707)</f>
        <v>157.42</v>
      </c>
      <c r="R708" s="17">
        <f>IF(AND(ISNUMBER(Histórico!$A708),ISNUMBER(Histórico!C708),Histórico!C708&gt;0),Histórico!C708,R707)</f>
        <v>64.73</v>
      </c>
      <c r="S708" s="17">
        <f>IF(AND(ISNUMBER(Histórico!$A708),ISNUMBER(Histórico!D708),Histórico!D708&gt;0),Histórico!D708,S707)</f>
        <v>389.05</v>
      </c>
      <c r="T708" s="18">
        <f>IF(AND(ISNUMBER(Histórico!$A708),ISNUMBER(Histórico!E708),Histórico!E708&gt;0),Histórico!E708,T707)</f>
        <v>5.3744</v>
      </c>
      <c r="U708" s="15">
        <f>IF(ISNUMBER(Histórico!A708),Histórico!A708,U707)</f>
        <v>46324</v>
      </c>
    </row>
    <row r="709" spans="17:21" ht="22.95" customHeight="1">
      <c r="Q709" s="17">
        <f>IF(AND(ISNUMBER(Histórico!$A709),ISNUMBER(Histórico!B709),Histórico!B709&gt;0),Histórico!B709,Q708)</f>
        <v>157.42</v>
      </c>
      <c r="R709" s="17">
        <f>IF(AND(ISNUMBER(Histórico!$A709),ISNUMBER(Histórico!C709),Histórico!C709&gt;0),Histórico!C709,R708)</f>
        <v>64.73</v>
      </c>
      <c r="S709" s="17">
        <f>IF(AND(ISNUMBER(Histórico!$A709),ISNUMBER(Histórico!D709),Histórico!D709&gt;0),Histórico!D709,S708)</f>
        <v>389.05</v>
      </c>
      <c r="T709" s="18">
        <f>IF(AND(ISNUMBER(Histórico!$A709),ISNUMBER(Histórico!E709),Histórico!E709&gt;0),Histórico!E709,T708)</f>
        <v>5.3744</v>
      </c>
      <c r="U709" s="15">
        <f>IF(ISNUMBER(Histórico!A709),Histórico!A709,U708)</f>
        <v>46324</v>
      </c>
    </row>
    <row r="710" spans="17:21" ht="22.95" customHeight="1">
      <c r="Q710" s="17">
        <f>IF(AND(ISNUMBER(Histórico!$A710),ISNUMBER(Histórico!B710),Histórico!B710&gt;0),Histórico!B710,Q709)</f>
        <v>157.42</v>
      </c>
      <c r="R710" s="17">
        <f>IF(AND(ISNUMBER(Histórico!$A710),ISNUMBER(Histórico!C710),Histórico!C710&gt;0),Histórico!C710,R709)</f>
        <v>64.73</v>
      </c>
      <c r="S710" s="17">
        <f>IF(AND(ISNUMBER(Histórico!$A710),ISNUMBER(Histórico!D710),Histórico!D710&gt;0),Histórico!D710,S709)</f>
        <v>389.05</v>
      </c>
      <c r="T710" s="18">
        <f>IF(AND(ISNUMBER(Histórico!$A710),ISNUMBER(Histórico!E710),Histórico!E710&gt;0),Histórico!E710,T709)</f>
        <v>5.3744</v>
      </c>
      <c r="U710" s="15">
        <f>IF(ISNUMBER(Histórico!A710),Histórico!A710,U709)</f>
        <v>46324</v>
      </c>
    </row>
    <row r="711" spans="17:21" ht="22.95" customHeight="1">
      <c r="Q711" s="17">
        <f>IF(AND(ISNUMBER(Histórico!$A711),ISNUMBER(Histórico!B711),Histórico!B711&gt;0),Histórico!B711,Q710)</f>
        <v>157.42</v>
      </c>
      <c r="R711" s="17">
        <f>IF(AND(ISNUMBER(Histórico!$A711),ISNUMBER(Histórico!C711),Histórico!C711&gt;0),Histórico!C711,R710)</f>
        <v>64.73</v>
      </c>
      <c r="S711" s="17">
        <f>IF(AND(ISNUMBER(Histórico!$A711),ISNUMBER(Histórico!D711),Histórico!D711&gt;0),Histórico!D711,S710)</f>
        <v>389.05</v>
      </c>
      <c r="T711" s="18">
        <f>IF(AND(ISNUMBER(Histórico!$A711),ISNUMBER(Histórico!E711),Histórico!E711&gt;0),Histórico!E711,T710)</f>
        <v>5.3744</v>
      </c>
      <c r="U711" s="15">
        <f>IF(ISNUMBER(Histórico!A711),Histórico!A711,U710)</f>
        <v>46324</v>
      </c>
    </row>
    <row r="712" spans="17:21" ht="22.95" customHeight="1">
      <c r="Q712" s="17">
        <f>IF(AND(ISNUMBER(Histórico!$A712),ISNUMBER(Histórico!B712),Histórico!B712&gt;0),Histórico!B712,Q711)</f>
        <v>157.42</v>
      </c>
      <c r="R712" s="17">
        <f>IF(AND(ISNUMBER(Histórico!$A712),ISNUMBER(Histórico!C712),Histórico!C712&gt;0),Histórico!C712,R711)</f>
        <v>64.73</v>
      </c>
      <c r="S712" s="17">
        <f>IF(AND(ISNUMBER(Histórico!$A712),ISNUMBER(Histórico!D712),Histórico!D712&gt;0),Histórico!D712,S711)</f>
        <v>389.05</v>
      </c>
      <c r="T712" s="18">
        <f>IF(AND(ISNUMBER(Histórico!$A712),ISNUMBER(Histórico!E712),Histórico!E712&gt;0),Histórico!E712,T711)</f>
        <v>5.3744</v>
      </c>
      <c r="U712" s="15">
        <f>IF(ISNUMBER(Histórico!A712),Histórico!A712,U711)</f>
        <v>46324</v>
      </c>
    </row>
    <row r="713" spans="17:21" ht="22.95" customHeight="1">
      <c r="Q713" s="17">
        <f>IF(AND(ISNUMBER(Histórico!$A713),ISNUMBER(Histórico!B713),Histórico!B713&gt;0),Histórico!B713,Q712)</f>
        <v>157.42</v>
      </c>
      <c r="R713" s="17">
        <f>IF(AND(ISNUMBER(Histórico!$A713),ISNUMBER(Histórico!C713),Histórico!C713&gt;0),Histórico!C713,R712)</f>
        <v>64.73</v>
      </c>
      <c r="S713" s="17">
        <f>IF(AND(ISNUMBER(Histórico!$A713),ISNUMBER(Histórico!D713),Histórico!D713&gt;0),Histórico!D713,S712)</f>
        <v>389.05</v>
      </c>
      <c r="T713" s="18">
        <f>IF(AND(ISNUMBER(Histórico!$A713),ISNUMBER(Histórico!E713),Histórico!E713&gt;0),Histórico!E713,T712)</f>
        <v>5.3744</v>
      </c>
      <c r="U713" s="15">
        <f>IF(ISNUMBER(Histórico!A713),Histórico!A713,U712)</f>
        <v>46324</v>
      </c>
    </row>
    <row r="714" spans="17:21" ht="22.95" customHeight="1">
      <c r="Q714" s="17">
        <f>IF(AND(ISNUMBER(Histórico!$A714),ISNUMBER(Histórico!B714),Histórico!B714&gt;0),Histórico!B714,Q713)</f>
        <v>157.42</v>
      </c>
      <c r="R714" s="17">
        <f>IF(AND(ISNUMBER(Histórico!$A714),ISNUMBER(Histórico!C714),Histórico!C714&gt;0),Histórico!C714,R713)</f>
        <v>64.73</v>
      </c>
      <c r="S714" s="17">
        <f>IF(AND(ISNUMBER(Histórico!$A714),ISNUMBER(Histórico!D714),Histórico!D714&gt;0),Histórico!D714,S713)</f>
        <v>389.05</v>
      </c>
      <c r="T714" s="18">
        <f>IF(AND(ISNUMBER(Histórico!$A714),ISNUMBER(Histórico!E714),Histórico!E714&gt;0),Histórico!E714,T713)</f>
        <v>5.3744</v>
      </c>
      <c r="U714" s="15">
        <f>IF(ISNUMBER(Histórico!A714),Histórico!A714,U713)</f>
        <v>46324</v>
      </c>
    </row>
    <row r="715" spans="17:21" ht="22.95" customHeight="1">
      <c r="Q715" s="17">
        <f>IF(AND(ISNUMBER(Histórico!$A715),ISNUMBER(Histórico!B715),Histórico!B715&gt;0),Histórico!B715,Q714)</f>
        <v>157.42</v>
      </c>
      <c r="R715" s="17">
        <f>IF(AND(ISNUMBER(Histórico!$A715),ISNUMBER(Histórico!C715),Histórico!C715&gt;0),Histórico!C715,R714)</f>
        <v>64.73</v>
      </c>
      <c r="S715" s="17">
        <f>IF(AND(ISNUMBER(Histórico!$A715),ISNUMBER(Histórico!D715),Histórico!D715&gt;0),Histórico!D715,S714)</f>
        <v>389.05</v>
      </c>
      <c r="T715" s="18">
        <f>IF(AND(ISNUMBER(Histórico!$A715),ISNUMBER(Histórico!E715),Histórico!E715&gt;0),Histórico!E715,T714)</f>
        <v>5.3744</v>
      </c>
      <c r="U715" s="15">
        <f>IF(ISNUMBER(Histórico!A715),Histórico!A715,U714)</f>
        <v>46324</v>
      </c>
    </row>
    <row r="716" spans="17:21" ht="22.95" customHeight="1">
      <c r="Q716" s="17">
        <f>IF(AND(ISNUMBER(Histórico!$A716),ISNUMBER(Histórico!B716),Histórico!B716&gt;0),Histórico!B716,Q715)</f>
        <v>157.42</v>
      </c>
      <c r="R716" s="17">
        <f>IF(AND(ISNUMBER(Histórico!$A716),ISNUMBER(Histórico!C716),Histórico!C716&gt;0),Histórico!C716,R715)</f>
        <v>64.73</v>
      </c>
      <c r="S716" s="17">
        <f>IF(AND(ISNUMBER(Histórico!$A716),ISNUMBER(Histórico!D716),Histórico!D716&gt;0),Histórico!D716,S715)</f>
        <v>389.05</v>
      </c>
      <c r="T716" s="18">
        <f>IF(AND(ISNUMBER(Histórico!$A716),ISNUMBER(Histórico!E716),Histórico!E716&gt;0),Histórico!E716,T715)</f>
        <v>5.3744</v>
      </c>
      <c r="U716" s="15">
        <f>IF(ISNUMBER(Histórico!A716),Histórico!A716,U715)</f>
        <v>46324</v>
      </c>
    </row>
    <row r="717" spans="17:21" ht="22.95" customHeight="1">
      <c r="Q717" s="17">
        <f>IF(AND(ISNUMBER(Histórico!$A717),ISNUMBER(Histórico!B717),Histórico!B717&gt;0),Histórico!B717,Q716)</f>
        <v>157.42</v>
      </c>
      <c r="R717" s="17">
        <f>IF(AND(ISNUMBER(Histórico!$A717),ISNUMBER(Histórico!C717),Histórico!C717&gt;0),Histórico!C717,R716)</f>
        <v>64.73</v>
      </c>
      <c r="S717" s="17">
        <f>IF(AND(ISNUMBER(Histórico!$A717),ISNUMBER(Histórico!D717),Histórico!D717&gt;0),Histórico!D717,S716)</f>
        <v>389.05</v>
      </c>
      <c r="T717" s="18">
        <f>IF(AND(ISNUMBER(Histórico!$A717),ISNUMBER(Histórico!E717),Histórico!E717&gt;0),Histórico!E717,T716)</f>
        <v>5.3744</v>
      </c>
      <c r="U717" s="15">
        <f>IF(ISNUMBER(Histórico!A717),Histórico!A717,U716)</f>
        <v>46324</v>
      </c>
    </row>
    <row r="718" spans="17:21" ht="22.95" customHeight="1">
      <c r="Q718" s="17">
        <f>IF(AND(ISNUMBER(Histórico!$A718),ISNUMBER(Histórico!B718),Histórico!B718&gt;0),Histórico!B718,Q717)</f>
        <v>157.42</v>
      </c>
      <c r="R718" s="17">
        <f>IF(AND(ISNUMBER(Histórico!$A718),ISNUMBER(Histórico!C718),Histórico!C718&gt;0),Histórico!C718,R717)</f>
        <v>64.73</v>
      </c>
      <c r="S718" s="17">
        <f>IF(AND(ISNUMBER(Histórico!$A718),ISNUMBER(Histórico!D718),Histórico!D718&gt;0),Histórico!D718,S717)</f>
        <v>389.05</v>
      </c>
      <c r="T718" s="18">
        <f>IF(AND(ISNUMBER(Histórico!$A718),ISNUMBER(Histórico!E718),Histórico!E718&gt;0),Histórico!E718,T717)</f>
        <v>5.3744</v>
      </c>
      <c r="U718" s="15">
        <f>IF(ISNUMBER(Histórico!A718),Histórico!A718,U717)</f>
        <v>46324</v>
      </c>
    </row>
    <row r="719" spans="17:21" ht="22.95" customHeight="1">
      <c r="Q719" s="17">
        <f>IF(AND(ISNUMBER(Histórico!$A719),ISNUMBER(Histórico!B719),Histórico!B719&gt;0),Histórico!B719,Q718)</f>
        <v>157.42</v>
      </c>
      <c r="R719" s="17">
        <f>IF(AND(ISNUMBER(Histórico!$A719),ISNUMBER(Histórico!C719),Histórico!C719&gt;0),Histórico!C719,R718)</f>
        <v>64.73</v>
      </c>
      <c r="S719" s="17">
        <f>IF(AND(ISNUMBER(Histórico!$A719),ISNUMBER(Histórico!D719),Histórico!D719&gt;0),Histórico!D719,S718)</f>
        <v>389.05</v>
      </c>
      <c r="T719" s="18">
        <f>IF(AND(ISNUMBER(Histórico!$A719),ISNUMBER(Histórico!E719),Histórico!E719&gt;0),Histórico!E719,T718)</f>
        <v>5.3744</v>
      </c>
      <c r="U719" s="15">
        <f>IF(ISNUMBER(Histórico!A719),Histórico!A719,U718)</f>
        <v>46324</v>
      </c>
    </row>
    <row r="720" spans="17:21" ht="22.95" customHeight="1">
      <c r="Q720" s="17">
        <f>IF(AND(ISNUMBER(Histórico!$A720),ISNUMBER(Histórico!B720),Histórico!B720&gt;0),Histórico!B720,Q719)</f>
        <v>157.42</v>
      </c>
      <c r="R720" s="17">
        <f>IF(AND(ISNUMBER(Histórico!$A720),ISNUMBER(Histórico!C720),Histórico!C720&gt;0),Histórico!C720,R719)</f>
        <v>64.73</v>
      </c>
      <c r="S720" s="17">
        <f>IF(AND(ISNUMBER(Histórico!$A720),ISNUMBER(Histórico!D720),Histórico!D720&gt;0),Histórico!D720,S719)</f>
        <v>389.05</v>
      </c>
      <c r="T720" s="18">
        <f>IF(AND(ISNUMBER(Histórico!$A720),ISNUMBER(Histórico!E720),Histórico!E720&gt;0),Histórico!E720,T719)</f>
        <v>5.3744</v>
      </c>
      <c r="U720" s="15">
        <f>IF(ISNUMBER(Histórico!A720),Histórico!A720,U719)</f>
        <v>46324</v>
      </c>
    </row>
    <row r="721" spans="17:21" ht="22.95" customHeight="1">
      <c r="Q721" s="17">
        <f>IF(AND(ISNUMBER(Histórico!$A721),ISNUMBER(Histórico!B721),Histórico!B721&gt;0),Histórico!B721,Q720)</f>
        <v>157.42</v>
      </c>
      <c r="R721" s="17">
        <f>IF(AND(ISNUMBER(Histórico!$A721),ISNUMBER(Histórico!C721),Histórico!C721&gt;0),Histórico!C721,R720)</f>
        <v>64.73</v>
      </c>
      <c r="S721" s="17">
        <f>IF(AND(ISNUMBER(Histórico!$A721),ISNUMBER(Histórico!D721),Histórico!D721&gt;0),Histórico!D721,S720)</f>
        <v>389.05</v>
      </c>
      <c r="T721" s="18">
        <f>IF(AND(ISNUMBER(Histórico!$A721),ISNUMBER(Histórico!E721),Histórico!E721&gt;0),Histórico!E721,T720)</f>
        <v>5.3744</v>
      </c>
      <c r="U721" s="15">
        <f>IF(ISNUMBER(Histórico!A721),Histórico!A721,U720)</f>
        <v>46324</v>
      </c>
    </row>
    <row r="722" spans="17:21" ht="22.95" customHeight="1">
      <c r="Q722" s="17">
        <f>IF(AND(ISNUMBER(Histórico!$A722),ISNUMBER(Histórico!B722),Histórico!B722&gt;0),Histórico!B722,Q721)</f>
        <v>157.42</v>
      </c>
      <c r="R722" s="17">
        <f>IF(AND(ISNUMBER(Histórico!$A722),ISNUMBER(Histórico!C722),Histórico!C722&gt;0),Histórico!C722,R721)</f>
        <v>64.73</v>
      </c>
      <c r="S722" s="17">
        <f>IF(AND(ISNUMBER(Histórico!$A722),ISNUMBER(Histórico!D722),Histórico!D722&gt;0),Histórico!D722,S721)</f>
        <v>389.05</v>
      </c>
      <c r="T722" s="18">
        <f>IF(AND(ISNUMBER(Histórico!$A722),ISNUMBER(Histórico!E722),Histórico!E722&gt;0),Histórico!E722,T721)</f>
        <v>5.3744</v>
      </c>
      <c r="U722" s="15">
        <f>IF(ISNUMBER(Histórico!A722),Histórico!A722,U721)</f>
        <v>46324</v>
      </c>
    </row>
    <row r="723" spans="17:21" ht="22.95" customHeight="1">
      <c r="Q723" s="17">
        <f>IF(AND(ISNUMBER(Histórico!$A723),ISNUMBER(Histórico!B723),Histórico!B723&gt;0),Histórico!B723,Q722)</f>
        <v>157.42</v>
      </c>
      <c r="R723" s="17">
        <f>IF(AND(ISNUMBER(Histórico!$A723),ISNUMBER(Histórico!C723),Histórico!C723&gt;0),Histórico!C723,R722)</f>
        <v>64.73</v>
      </c>
      <c r="S723" s="17">
        <f>IF(AND(ISNUMBER(Histórico!$A723),ISNUMBER(Histórico!D723),Histórico!D723&gt;0),Histórico!D723,S722)</f>
        <v>389.05</v>
      </c>
      <c r="T723" s="18">
        <f>IF(AND(ISNUMBER(Histórico!$A723),ISNUMBER(Histórico!E723),Histórico!E723&gt;0),Histórico!E723,T722)</f>
        <v>5.3744</v>
      </c>
      <c r="U723" s="15">
        <f>IF(ISNUMBER(Histórico!A723),Histórico!A723,U722)</f>
        <v>46324</v>
      </c>
    </row>
    <row r="724" spans="17:21" ht="22.95" customHeight="1">
      <c r="Q724" s="17">
        <f>IF(AND(ISNUMBER(Histórico!$A724),ISNUMBER(Histórico!B724),Histórico!B724&gt;0),Histórico!B724,Q723)</f>
        <v>157.42</v>
      </c>
      <c r="R724" s="17">
        <f>IF(AND(ISNUMBER(Histórico!$A724),ISNUMBER(Histórico!C724),Histórico!C724&gt;0),Histórico!C724,R723)</f>
        <v>64.73</v>
      </c>
      <c r="S724" s="17">
        <f>IF(AND(ISNUMBER(Histórico!$A724),ISNUMBER(Histórico!D724),Histórico!D724&gt;0),Histórico!D724,S723)</f>
        <v>389.05</v>
      </c>
      <c r="T724" s="18">
        <f>IF(AND(ISNUMBER(Histórico!$A724),ISNUMBER(Histórico!E724),Histórico!E724&gt;0),Histórico!E724,T723)</f>
        <v>5.3744</v>
      </c>
      <c r="U724" s="15">
        <f>IF(ISNUMBER(Histórico!A724),Histórico!A724,U723)</f>
        <v>46324</v>
      </c>
    </row>
    <row r="725" spans="17:21" ht="22.95" customHeight="1">
      <c r="Q725" s="17">
        <f>IF(AND(ISNUMBER(Histórico!$A725),ISNUMBER(Histórico!B725),Histórico!B725&gt;0),Histórico!B725,Q724)</f>
        <v>157.42</v>
      </c>
      <c r="R725" s="17">
        <f>IF(AND(ISNUMBER(Histórico!$A725),ISNUMBER(Histórico!C725),Histórico!C725&gt;0),Histórico!C725,R724)</f>
        <v>64.73</v>
      </c>
      <c r="S725" s="17">
        <f>IF(AND(ISNUMBER(Histórico!$A725),ISNUMBER(Histórico!D725),Histórico!D725&gt;0),Histórico!D725,S724)</f>
        <v>389.05</v>
      </c>
      <c r="T725" s="18">
        <f>IF(AND(ISNUMBER(Histórico!$A725),ISNUMBER(Histórico!E725),Histórico!E725&gt;0),Histórico!E725,T724)</f>
        <v>5.3744</v>
      </c>
      <c r="U725" s="15">
        <f>IF(ISNUMBER(Histórico!A725),Histórico!A725,U724)</f>
        <v>46324</v>
      </c>
    </row>
    <row r="726" spans="17:21" ht="22.95" customHeight="1">
      <c r="Q726" s="17">
        <f>IF(AND(ISNUMBER(Histórico!$A726),ISNUMBER(Histórico!B726),Histórico!B726&gt;0),Histórico!B726,Q725)</f>
        <v>157.42</v>
      </c>
      <c r="R726" s="17">
        <f>IF(AND(ISNUMBER(Histórico!$A726),ISNUMBER(Histórico!C726),Histórico!C726&gt;0),Histórico!C726,R725)</f>
        <v>64.73</v>
      </c>
      <c r="S726" s="17">
        <f>IF(AND(ISNUMBER(Histórico!$A726),ISNUMBER(Histórico!D726),Histórico!D726&gt;0),Histórico!D726,S725)</f>
        <v>389.05</v>
      </c>
      <c r="T726" s="18">
        <f>IF(AND(ISNUMBER(Histórico!$A726),ISNUMBER(Histórico!E726),Histórico!E726&gt;0),Histórico!E726,T725)</f>
        <v>5.3744</v>
      </c>
      <c r="U726" s="15">
        <f>IF(ISNUMBER(Histórico!A726),Histórico!A726,U725)</f>
        <v>46324</v>
      </c>
    </row>
    <row r="727" spans="17:21" ht="22.95" customHeight="1">
      <c r="Q727" s="17">
        <f>IF(AND(ISNUMBER(Histórico!$A727),ISNUMBER(Histórico!B727),Histórico!B727&gt;0),Histórico!B727,Q726)</f>
        <v>157.42</v>
      </c>
      <c r="R727" s="17">
        <f>IF(AND(ISNUMBER(Histórico!$A727),ISNUMBER(Histórico!C727),Histórico!C727&gt;0),Histórico!C727,R726)</f>
        <v>64.73</v>
      </c>
      <c r="S727" s="17">
        <f>IF(AND(ISNUMBER(Histórico!$A727),ISNUMBER(Histórico!D727),Histórico!D727&gt;0),Histórico!D727,S726)</f>
        <v>389.05</v>
      </c>
      <c r="T727" s="18">
        <f>IF(AND(ISNUMBER(Histórico!$A727),ISNUMBER(Histórico!E727),Histórico!E727&gt;0),Histórico!E727,T726)</f>
        <v>5.3744</v>
      </c>
      <c r="U727" s="15">
        <f>IF(ISNUMBER(Histórico!A727),Histórico!A727,U726)</f>
        <v>46324</v>
      </c>
    </row>
    <row r="728" spans="17:21" ht="22.95" customHeight="1">
      <c r="Q728" s="17">
        <f>IF(AND(ISNUMBER(Histórico!$A728),ISNUMBER(Histórico!B728),Histórico!B728&gt;0),Histórico!B728,Q727)</f>
        <v>157.42</v>
      </c>
      <c r="R728" s="17">
        <f>IF(AND(ISNUMBER(Histórico!$A728),ISNUMBER(Histórico!C728),Histórico!C728&gt;0),Histórico!C728,R727)</f>
        <v>64.73</v>
      </c>
      <c r="S728" s="17">
        <f>IF(AND(ISNUMBER(Histórico!$A728),ISNUMBER(Histórico!D728),Histórico!D728&gt;0),Histórico!D728,S727)</f>
        <v>389.05</v>
      </c>
      <c r="T728" s="18">
        <f>IF(AND(ISNUMBER(Histórico!$A728),ISNUMBER(Histórico!E728),Histórico!E728&gt;0),Histórico!E728,T727)</f>
        <v>5.3744</v>
      </c>
      <c r="U728" s="15">
        <f>IF(ISNUMBER(Histórico!A728),Histórico!A728,U727)</f>
        <v>46324</v>
      </c>
    </row>
    <row r="729" spans="17:21" ht="22.95" customHeight="1">
      <c r="Q729" s="17">
        <f>IF(AND(ISNUMBER(Histórico!$A729),ISNUMBER(Histórico!B729),Histórico!B729&gt;0),Histórico!B729,Q728)</f>
        <v>157.42</v>
      </c>
      <c r="R729" s="17">
        <f>IF(AND(ISNUMBER(Histórico!$A729),ISNUMBER(Histórico!C729),Histórico!C729&gt;0),Histórico!C729,R728)</f>
        <v>64.73</v>
      </c>
      <c r="S729" s="17">
        <f>IF(AND(ISNUMBER(Histórico!$A729),ISNUMBER(Histórico!D729),Histórico!D729&gt;0),Histórico!D729,S728)</f>
        <v>389.05</v>
      </c>
      <c r="T729" s="18">
        <f>IF(AND(ISNUMBER(Histórico!$A729),ISNUMBER(Histórico!E729),Histórico!E729&gt;0),Histórico!E729,T728)</f>
        <v>5.3744</v>
      </c>
      <c r="U729" s="15">
        <f>IF(ISNUMBER(Histórico!A729),Histórico!A729,U728)</f>
        <v>46324</v>
      </c>
    </row>
    <row r="730" spans="17:21" ht="22.95" customHeight="1">
      <c r="Q730" s="17">
        <f>IF(AND(ISNUMBER(Histórico!$A730),ISNUMBER(Histórico!B730),Histórico!B730&gt;0),Histórico!B730,Q729)</f>
        <v>157.42</v>
      </c>
      <c r="R730" s="17">
        <f>IF(AND(ISNUMBER(Histórico!$A730),ISNUMBER(Histórico!C730),Histórico!C730&gt;0),Histórico!C730,R729)</f>
        <v>64.73</v>
      </c>
      <c r="S730" s="17">
        <f>IF(AND(ISNUMBER(Histórico!$A730),ISNUMBER(Histórico!D730),Histórico!D730&gt;0),Histórico!D730,S729)</f>
        <v>389.05</v>
      </c>
      <c r="T730" s="18">
        <f>IF(AND(ISNUMBER(Histórico!$A730),ISNUMBER(Histórico!E730),Histórico!E730&gt;0),Histórico!E730,T729)</f>
        <v>5.3744</v>
      </c>
      <c r="U730" s="15">
        <f>IF(ISNUMBER(Histórico!A730),Histórico!A730,U729)</f>
        <v>46324</v>
      </c>
    </row>
    <row r="731" spans="17:21" ht="22.95" customHeight="1">
      <c r="Q731" s="17">
        <f>IF(AND(ISNUMBER(Histórico!$A731),ISNUMBER(Histórico!B731),Histórico!B731&gt;0),Histórico!B731,Q730)</f>
        <v>157.42</v>
      </c>
      <c r="R731" s="17">
        <f>IF(AND(ISNUMBER(Histórico!$A731),ISNUMBER(Histórico!C731),Histórico!C731&gt;0),Histórico!C731,R730)</f>
        <v>64.73</v>
      </c>
      <c r="S731" s="17">
        <f>IF(AND(ISNUMBER(Histórico!$A731),ISNUMBER(Histórico!D731),Histórico!D731&gt;0),Histórico!D731,S730)</f>
        <v>389.05</v>
      </c>
      <c r="T731" s="18">
        <f>IF(AND(ISNUMBER(Histórico!$A731),ISNUMBER(Histórico!E731),Histórico!E731&gt;0),Histórico!E731,T730)</f>
        <v>5.3744</v>
      </c>
      <c r="U731" s="15">
        <f>IF(ISNUMBER(Histórico!A731),Histórico!A731,U730)</f>
        <v>46324</v>
      </c>
    </row>
    <row r="732" spans="17:21" ht="22.95" customHeight="1">
      <c r="Q732" s="17">
        <f>IF(AND(ISNUMBER(Histórico!$A732),ISNUMBER(Histórico!B732),Histórico!B732&gt;0),Histórico!B732,Q731)</f>
        <v>157.42</v>
      </c>
      <c r="R732" s="17">
        <f>IF(AND(ISNUMBER(Histórico!$A732),ISNUMBER(Histórico!C732),Histórico!C732&gt;0),Histórico!C732,R731)</f>
        <v>64.73</v>
      </c>
      <c r="S732" s="17">
        <f>IF(AND(ISNUMBER(Histórico!$A732),ISNUMBER(Histórico!D732),Histórico!D732&gt;0),Histórico!D732,S731)</f>
        <v>389.05</v>
      </c>
      <c r="T732" s="18">
        <f>IF(AND(ISNUMBER(Histórico!$A732),ISNUMBER(Histórico!E732),Histórico!E732&gt;0),Histórico!E732,T731)</f>
        <v>5.3744</v>
      </c>
      <c r="U732" s="15">
        <f>IF(ISNUMBER(Histórico!A732),Histórico!A732,U731)</f>
        <v>46324</v>
      </c>
    </row>
    <row r="733" spans="17:21" ht="22.95" customHeight="1">
      <c r="Q733" s="17">
        <f>IF(AND(ISNUMBER(Histórico!$A733),ISNUMBER(Histórico!B733),Histórico!B733&gt;0),Histórico!B733,Q732)</f>
        <v>157.42</v>
      </c>
      <c r="R733" s="17">
        <f>IF(AND(ISNUMBER(Histórico!$A733),ISNUMBER(Histórico!C733),Histórico!C733&gt;0),Histórico!C733,R732)</f>
        <v>64.73</v>
      </c>
      <c r="S733" s="17">
        <f>IF(AND(ISNUMBER(Histórico!$A733),ISNUMBER(Histórico!D733),Histórico!D733&gt;0),Histórico!D733,S732)</f>
        <v>389.05</v>
      </c>
      <c r="T733" s="18">
        <f>IF(AND(ISNUMBER(Histórico!$A733),ISNUMBER(Histórico!E733),Histórico!E733&gt;0),Histórico!E733,T732)</f>
        <v>5.3744</v>
      </c>
      <c r="U733" s="15">
        <f>IF(ISNUMBER(Histórico!A733),Histórico!A733,U732)</f>
        <v>46324</v>
      </c>
    </row>
    <row r="734" spans="17:21" ht="22.95" customHeight="1">
      <c r="Q734" s="17">
        <f>IF(AND(ISNUMBER(Histórico!$A734),ISNUMBER(Histórico!B734),Histórico!B734&gt;0),Histórico!B734,Q733)</f>
        <v>157.42</v>
      </c>
      <c r="R734" s="17">
        <f>IF(AND(ISNUMBER(Histórico!$A734),ISNUMBER(Histórico!C734),Histórico!C734&gt;0),Histórico!C734,R733)</f>
        <v>64.73</v>
      </c>
      <c r="S734" s="17">
        <f>IF(AND(ISNUMBER(Histórico!$A734),ISNUMBER(Histórico!D734),Histórico!D734&gt;0),Histórico!D734,S733)</f>
        <v>389.05</v>
      </c>
      <c r="T734" s="18">
        <f>IF(AND(ISNUMBER(Histórico!$A734),ISNUMBER(Histórico!E734),Histórico!E734&gt;0),Histórico!E734,T733)</f>
        <v>5.3744</v>
      </c>
      <c r="U734" s="15">
        <f>IF(ISNUMBER(Histórico!A734),Histórico!A734,U733)</f>
        <v>46324</v>
      </c>
    </row>
    <row r="735" spans="17:21" ht="22.95" customHeight="1">
      <c r="Q735" s="17">
        <f>IF(AND(ISNUMBER(Histórico!$A735),ISNUMBER(Histórico!B735),Histórico!B735&gt;0),Histórico!B735,Q734)</f>
        <v>157.42</v>
      </c>
      <c r="R735" s="17">
        <f>IF(AND(ISNUMBER(Histórico!$A735),ISNUMBER(Histórico!C735),Histórico!C735&gt;0),Histórico!C735,R734)</f>
        <v>64.73</v>
      </c>
      <c r="S735" s="17">
        <f>IF(AND(ISNUMBER(Histórico!$A735),ISNUMBER(Histórico!D735),Histórico!D735&gt;0),Histórico!D735,S734)</f>
        <v>389.05</v>
      </c>
      <c r="T735" s="18">
        <f>IF(AND(ISNUMBER(Histórico!$A735),ISNUMBER(Histórico!E735),Histórico!E735&gt;0),Histórico!E735,T734)</f>
        <v>5.3744</v>
      </c>
      <c r="U735" s="15">
        <f>IF(ISNUMBER(Histórico!A735),Histórico!A735,U734)</f>
        <v>46324</v>
      </c>
    </row>
    <row r="736" spans="17:21" ht="22.95" customHeight="1">
      <c r="Q736" s="17">
        <f>IF(AND(ISNUMBER(Histórico!$A736),ISNUMBER(Histórico!B736),Histórico!B736&gt;0),Histórico!B736,Q735)</f>
        <v>157.42</v>
      </c>
      <c r="R736" s="17">
        <f>IF(AND(ISNUMBER(Histórico!$A736),ISNUMBER(Histórico!C736),Histórico!C736&gt;0),Histórico!C736,R735)</f>
        <v>64.73</v>
      </c>
      <c r="S736" s="17">
        <f>IF(AND(ISNUMBER(Histórico!$A736),ISNUMBER(Histórico!D736),Histórico!D736&gt;0),Histórico!D736,S735)</f>
        <v>389.05</v>
      </c>
      <c r="T736" s="18">
        <f>IF(AND(ISNUMBER(Histórico!$A736),ISNUMBER(Histórico!E736),Histórico!E736&gt;0),Histórico!E736,T735)</f>
        <v>5.3744</v>
      </c>
      <c r="U736" s="15">
        <f>IF(ISNUMBER(Histórico!A736),Histórico!A736,U735)</f>
        <v>46324</v>
      </c>
    </row>
    <row r="737" spans="17:21" ht="22.95" customHeight="1">
      <c r="Q737" s="17">
        <f>IF(AND(ISNUMBER(Histórico!$A737),ISNUMBER(Histórico!B737),Histórico!B737&gt;0),Histórico!B737,Q736)</f>
        <v>157.42</v>
      </c>
      <c r="R737" s="17">
        <f>IF(AND(ISNUMBER(Histórico!$A737),ISNUMBER(Histórico!C737),Histórico!C737&gt;0),Histórico!C737,R736)</f>
        <v>64.73</v>
      </c>
      <c r="S737" s="17">
        <f>IF(AND(ISNUMBER(Histórico!$A737),ISNUMBER(Histórico!D737),Histórico!D737&gt;0),Histórico!D737,S736)</f>
        <v>389.05</v>
      </c>
      <c r="T737" s="18">
        <f>IF(AND(ISNUMBER(Histórico!$A737),ISNUMBER(Histórico!E737),Histórico!E737&gt;0),Histórico!E737,T736)</f>
        <v>5.3744</v>
      </c>
      <c r="U737" s="15">
        <f>IF(ISNUMBER(Histórico!A737),Histórico!A737,U736)</f>
        <v>46324</v>
      </c>
    </row>
    <row r="738" spans="17:21" ht="22.95" customHeight="1">
      <c r="Q738" s="17">
        <f>IF(AND(ISNUMBER(Histórico!$A738),ISNUMBER(Histórico!B738),Histórico!B738&gt;0),Histórico!B738,Q737)</f>
        <v>157.42</v>
      </c>
      <c r="R738" s="17">
        <f>IF(AND(ISNUMBER(Histórico!$A738),ISNUMBER(Histórico!C738),Histórico!C738&gt;0),Histórico!C738,R737)</f>
        <v>64.73</v>
      </c>
      <c r="S738" s="17">
        <f>IF(AND(ISNUMBER(Histórico!$A738),ISNUMBER(Histórico!D738),Histórico!D738&gt;0),Histórico!D738,S737)</f>
        <v>389.05</v>
      </c>
      <c r="T738" s="18">
        <f>IF(AND(ISNUMBER(Histórico!$A738),ISNUMBER(Histórico!E738),Histórico!E738&gt;0),Histórico!E738,T737)</f>
        <v>5.3744</v>
      </c>
      <c r="U738" s="15">
        <f>IF(ISNUMBER(Histórico!A738),Histórico!A738,U737)</f>
        <v>46324</v>
      </c>
    </row>
    <row r="739" spans="17:21" ht="22.95" customHeight="1">
      <c r="Q739" s="17">
        <f>IF(AND(ISNUMBER(Histórico!$A739),ISNUMBER(Histórico!B739),Histórico!B739&gt;0),Histórico!B739,Q738)</f>
        <v>157.42</v>
      </c>
      <c r="R739" s="17">
        <f>IF(AND(ISNUMBER(Histórico!$A739),ISNUMBER(Histórico!C739),Histórico!C739&gt;0),Histórico!C739,R738)</f>
        <v>64.73</v>
      </c>
      <c r="S739" s="17">
        <f>IF(AND(ISNUMBER(Histórico!$A739),ISNUMBER(Histórico!D739),Histórico!D739&gt;0),Histórico!D739,S738)</f>
        <v>389.05</v>
      </c>
      <c r="T739" s="18">
        <f>IF(AND(ISNUMBER(Histórico!$A739),ISNUMBER(Histórico!E739),Histórico!E739&gt;0),Histórico!E739,T738)</f>
        <v>5.3744</v>
      </c>
      <c r="U739" s="15">
        <f>IF(ISNUMBER(Histórico!A739),Histórico!A739,U738)</f>
        <v>46324</v>
      </c>
    </row>
    <row r="740" spans="17:21" ht="22.95" customHeight="1">
      <c r="Q740" s="17">
        <f>IF(AND(ISNUMBER(Histórico!$A740),ISNUMBER(Histórico!B740),Histórico!B740&gt;0),Histórico!B740,Q739)</f>
        <v>157.42</v>
      </c>
      <c r="R740" s="17">
        <f>IF(AND(ISNUMBER(Histórico!$A740),ISNUMBER(Histórico!C740),Histórico!C740&gt;0),Histórico!C740,R739)</f>
        <v>64.73</v>
      </c>
      <c r="S740" s="17">
        <f>IF(AND(ISNUMBER(Histórico!$A740),ISNUMBER(Histórico!D740),Histórico!D740&gt;0),Histórico!D740,S739)</f>
        <v>389.05</v>
      </c>
      <c r="T740" s="18">
        <f>IF(AND(ISNUMBER(Histórico!$A740),ISNUMBER(Histórico!E740),Histórico!E740&gt;0),Histórico!E740,T739)</f>
        <v>5.3744</v>
      </c>
      <c r="U740" s="15">
        <f>IF(ISNUMBER(Histórico!A740),Histórico!A740,U739)</f>
        <v>46324</v>
      </c>
    </row>
    <row r="741" spans="17:21" ht="22.95" customHeight="1">
      <c r="Q741" s="17">
        <f>IF(AND(ISNUMBER(Histórico!$A741),ISNUMBER(Histórico!B741),Histórico!B741&gt;0),Histórico!B741,Q740)</f>
        <v>157.42</v>
      </c>
      <c r="R741" s="17">
        <f>IF(AND(ISNUMBER(Histórico!$A741),ISNUMBER(Histórico!C741),Histórico!C741&gt;0),Histórico!C741,R740)</f>
        <v>64.73</v>
      </c>
      <c r="S741" s="17">
        <f>IF(AND(ISNUMBER(Histórico!$A741),ISNUMBER(Histórico!D741),Histórico!D741&gt;0),Histórico!D741,S740)</f>
        <v>389.05</v>
      </c>
      <c r="T741" s="18">
        <f>IF(AND(ISNUMBER(Histórico!$A741),ISNUMBER(Histórico!E741),Histórico!E741&gt;0),Histórico!E741,T740)</f>
        <v>5.3744</v>
      </c>
      <c r="U741" s="15">
        <f>IF(ISNUMBER(Histórico!A741),Histórico!A741,U740)</f>
        <v>46324</v>
      </c>
    </row>
    <row r="742" spans="17:21" ht="22.95" customHeight="1">
      <c r="Q742" s="17">
        <f>IF(AND(ISNUMBER(Histórico!$A742),ISNUMBER(Histórico!B742),Histórico!B742&gt;0),Histórico!B742,Q741)</f>
        <v>157.42</v>
      </c>
      <c r="R742" s="17">
        <f>IF(AND(ISNUMBER(Histórico!$A742),ISNUMBER(Histórico!C742),Histórico!C742&gt;0),Histórico!C742,R741)</f>
        <v>64.73</v>
      </c>
      <c r="S742" s="17">
        <f>IF(AND(ISNUMBER(Histórico!$A742),ISNUMBER(Histórico!D742),Histórico!D742&gt;0),Histórico!D742,S741)</f>
        <v>389.05</v>
      </c>
      <c r="T742" s="18">
        <f>IF(AND(ISNUMBER(Histórico!$A742),ISNUMBER(Histórico!E742),Histórico!E742&gt;0),Histórico!E742,T741)</f>
        <v>5.3744</v>
      </c>
      <c r="U742" s="15">
        <f>IF(ISNUMBER(Histórico!A742),Histórico!A742,U741)</f>
        <v>46324</v>
      </c>
    </row>
    <row r="743" spans="17:21" ht="22.95" customHeight="1">
      <c r="Q743" s="17">
        <f>IF(AND(ISNUMBER(Histórico!$A743),ISNUMBER(Histórico!B743),Histórico!B743&gt;0),Histórico!B743,Q742)</f>
        <v>157.42</v>
      </c>
      <c r="R743" s="17">
        <f>IF(AND(ISNUMBER(Histórico!$A743),ISNUMBER(Histórico!C743),Histórico!C743&gt;0),Histórico!C743,R742)</f>
        <v>64.73</v>
      </c>
      <c r="S743" s="17">
        <f>IF(AND(ISNUMBER(Histórico!$A743),ISNUMBER(Histórico!D743),Histórico!D743&gt;0),Histórico!D743,S742)</f>
        <v>389.05</v>
      </c>
      <c r="T743" s="18">
        <f>IF(AND(ISNUMBER(Histórico!$A743),ISNUMBER(Histórico!E743),Histórico!E743&gt;0),Histórico!E743,T742)</f>
        <v>5.3744</v>
      </c>
      <c r="U743" s="15">
        <f>IF(ISNUMBER(Histórico!A743),Histórico!A743,U742)</f>
        <v>46324</v>
      </c>
    </row>
    <row r="744" spans="17:21" ht="22.95" customHeight="1">
      <c r="Q744" s="17">
        <f>IF(AND(ISNUMBER(Histórico!$A744),ISNUMBER(Histórico!B744),Histórico!B744&gt;0),Histórico!B744,Q743)</f>
        <v>157.42</v>
      </c>
      <c r="R744" s="17">
        <f>IF(AND(ISNUMBER(Histórico!$A744),ISNUMBER(Histórico!C744),Histórico!C744&gt;0),Histórico!C744,R743)</f>
        <v>64.73</v>
      </c>
      <c r="S744" s="17">
        <f>IF(AND(ISNUMBER(Histórico!$A744),ISNUMBER(Histórico!D744),Histórico!D744&gt;0),Histórico!D744,S743)</f>
        <v>389.05</v>
      </c>
      <c r="T744" s="18">
        <f>IF(AND(ISNUMBER(Histórico!$A744),ISNUMBER(Histórico!E744),Histórico!E744&gt;0),Histórico!E744,T743)</f>
        <v>5.3744</v>
      </c>
      <c r="U744" s="15">
        <f>IF(ISNUMBER(Histórico!A744),Histórico!A744,U743)</f>
        <v>46324</v>
      </c>
    </row>
    <row r="745" spans="17:21" ht="22.95" customHeight="1">
      <c r="Q745" s="17">
        <f>IF(AND(ISNUMBER(Histórico!$A745),ISNUMBER(Histórico!B745),Histórico!B745&gt;0),Histórico!B745,Q744)</f>
        <v>157.42</v>
      </c>
      <c r="R745" s="17">
        <f>IF(AND(ISNUMBER(Histórico!$A745),ISNUMBER(Histórico!C745),Histórico!C745&gt;0),Histórico!C745,R744)</f>
        <v>64.73</v>
      </c>
      <c r="S745" s="17">
        <f>IF(AND(ISNUMBER(Histórico!$A745),ISNUMBER(Histórico!D745),Histórico!D745&gt;0),Histórico!D745,S744)</f>
        <v>389.05</v>
      </c>
      <c r="T745" s="18">
        <f>IF(AND(ISNUMBER(Histórico!$A745),ISNUMBER(Histórico!E745),Histórico!E745&gt;0),Histórico!E745,T744)</f>
        <v>5.3744</v>
      </c>
      <c r="U745" s="15">
        <f>IF(ISNUMBER(Histórico!A745),Histórico!A745,U744)</f>
        <v>46324</v>
      </c>
    </row>
    <row r="746" spans="17:21" ht="22.95" customHeight="1">
      <c r="Q746" s="17">
        <f>IF(AND(ISNUMBER(Histórico!$A746),ISNUMBER(Histórico!B746),Histórico!B746&gt;0),Histórico!B746,Q745)</f>
        <v>157.42</v>
      </c>
      <c r="R746" s="17">
        <f>IF(AND(ISNUMBER(Histórico!$A746),ISNUMBER(Histórico!C746),Histórico!C746&gt;0),Histórico!C746,R745)</f>
        <v>64.73</v>
      </c>
      <c r="S746" s="17">
        <f>IF(AND(ISNUMBER(Histórico!$A746),ISNUMBER(Histórico!D746),Histórico!D746&gt;0),Histórico!D746,S745)</f>
        <v>389.05</v>
      </c>
      <c r="T746" s="18">
        <f>IF(AND(ISNUMBER(Histórico!$A746),ISNUMBER(Histórico!E746),Histórico!E746&gt;0),Histórico!E746,T745)</f>
        <v>5.3744</v>
      </c>
      <c r="U746" s="15">
        <f>IF(ISNUMBER(Histórico!A746),Histórico!A746,U745)</f>
        <v>46324</v>
      </c>
    </row>
    <row r="747" spans="17:21" ht="22.95" customHeight="1">
      <c r="Q747" s="17">
        <f>IF(AND(ISNUMBER(Histórico!$A747),ISNUMBER(Histórico!B747),Histórico!B747&gt;0),Histórico!B747,Q746)</f>
        <v>157.42</v>
      </c>
      <c r="R747" s="17">
        <f>IF(AND(ISNUMBER(Histórico!$A747),ISNUMBER(Histórico!C747),Histórico!C747&gt;0),Histórico!C747,R746)</f>
        <v>64.73</v>
      </c>
      <c r="S747" s="17">
        <f>IF(AND(ISNUMBER(Histórico!$A747),ISNUMBER(Histórico!D747),Histórico!D747&gt;0),Histórico!D747,S746)</f>
        <v>389.05</v>
      </c>
      <c r="T747" s="18">
        <f>IF(AND(ISNUMBER(Histórico!$A747),ISNUMBER(Histórico!E747),Histórico!E747&gt;0),Histórico!E747,T746)</f>
        <v>5.3744</v>
      </c>
      <c r="U747" s="15">
        <f>IF(ISNUMBER(Histórico!A747),Histórico!A747,U746)</f>
        <v>46324</v>
      </c>
    </row>
    <row r="748" spans="17:21" ht="22.95" customHeight="1">
      <c r="Q748" s="17">
        <f>IF(AND(ISNUMBER(Histórico!$A748),ISNUMBER(Histórico!B748),Histórico!B748&gt;0),Histórico!B748,Q747)</f>
        <v>157.42</v>
      </c>
      <c r="R748" s="17">
        <f>IF(AND(ISNUMBER(Histórico!$A748),ISNUMBER(Histórico!C748),Histórico!C748&gt;0),Histórico!C748,R747)</f>
        <v>64.73</v>
      </c>
      <c r="S748" s="17">
        <f>IF(AND(ISNUMBER(Histórico!$A748),ISNUMBER(Histórico!D748),Histórico!D748&gt;0),Histórico!D748,S747)</f>
        <v>389.05</v>
      </c>
      <c r="T748" s="18">
        <f>IF(AND(ISNUMBER(Histórico!$A748),ISNUMBER(Histórico!E748),Histórico!E748&gt;0),Histórico!E748,T747)</f>
        <v>5.3744</v>
      </c>
      <c r="U748" s="15">
        <f>IF(ISNUMBER(Histórico!A748),Histórico!A748,U747)</f>
        <v>46324</v>
      </c>
    </row>
    <row r="749" spans="17:21" ht="22.95" customHeight="1">
      <c r="Q749" s="17">
        <f>IF(AND(ISNUMBER(Histórico!$A749),ISNUMBER(Histórico!B749),Histórico!B749&gt;0),Histórico!B749,Q748)</f>
        <v>157.42</v>
      </c>
      <c r="R749" s="17">
        <f>IF(AND(ISNUMBER(Histórico!$A749),ISNUMBER(Histórico!C749),Histórico!C749&gt;0),Histórico!C749,R748)</f>
        <v>64.73</v>
      </c>
      <c r="S749" s="17">
        <f>IF(AND(ISNUMBER(Histórico!$A749),ISNUMBER(Histórico!D749),Histórico!D749&gt;0),Histórico!D749,S748)</f>
        <v>389.05</v>
      </c>
      <c r="T749" s="18">
        <f>IF(AND(ISNUMBER(Histórico!$A749),ISNUMBER(Histórico!E749),Histórico!E749&gt;0),Histórico!E749,T748)</f>
        <v>5.3744</v>
      </c>
      <c r="U749" s="15">
        <f>IF(ISNUMBER(Histórico!A749),Histórico!A749,U748)</f>
        <v>46324</v>
      </c>
    </row>
    <row r="750" spans="17:21" ht="22.95" customHeight="1">
      <c r="Q750" s="17">
        <f>IF(AND(ISNUMBER(Histórico!$A750),ISNUMBER(Histórico!B750),Histórico!B750&gt;0),Histórico!B750,Q749)</f>
        <v>157.42</v>
      </c>
      <c r="R750" s="17">
        <f>IF(AND(ISNUMBER(Histórico!$A750),ISNUMBER(Histórico!C750),Histórico!C750&gt;0),Histórico!C750,R749)</f>
        <v>64.73</v>
      </c>
      <c r="S750" s="17">
        <f>IF(AND(ISNUMBER(Histórico!$A750),ISNUMBER(Histórico!D750),Histórico!D750&gt;0),Histórico!D750,S749)</f>
        <v>389.05</v>
      </c>
      <c r="T750" s="18">
        <f>IF(AND(ISNUMBER(Histórico!$A750),ISNUMBER(Histórico!E750),Histórico!E750&gt;0),Histórico!E750,T749)</f>
        <v>5.3744</v>
      </c>
      <c r="U750" s="15">
        <f>IF(ISNUMBER(Histórico!A750),Histórico!A750,U749)</f>
        <v>46324</v>
      </c>
    </row>
    <row r="751" spans="17:21" ht="22.95" customHeight="1">
      <c r="Q751" s="17">
        <f>IF(AND(ISNUMBER(Histórico!$A751),ISNUMBER(Histórico!B751),Histórico!B751&gt;0),Histórico!B751,Q750)</f>
        <v>157.42</v>
      </c>
      <c r="R751" s="17">
        <f>IF(AND(ISNUMBER(Histórico!$A751),ISNUMBER(Histórico!C751),Histórico!C751&gt;0),Histórico!C751,R750)</f>
        <v>64.73</v>
      </c>
      <c r="S751" s="17">
        <f>IF(AND(ISNUMBER(Histórico!$A751),ISNUMBER(Histórico!D751),Histórico!D751&gt;0),Histórico!D751,S750)</f>
        <v>389.05</v>
      </c>
      <c r="T751" s="18">
        <f>IF(AND(ISNUMBER(Histórico!$A751),ISNUMBER(Histórico!E751),Histórico!E751&gt;0),Histórico!E751,T750)</f>
        <v>5.3744</v>
      </c>
      <c r="U751" s="15">
        <f>IF(ISNUMBER(Histórico!A751),Histórico!A751,U750)</f>
        <v>46324</v>
      </c>
    </row>
    <row r="752" spans="17:21" ht="22.95" customHeight="1">
      <c r="Q752" s="17">
        <f>IF(AND(ISNUMBER(Histórico!$A752),ISNUMBER(Histórico!B752),Histórico!B752&gt;0),Histórico!B752,Q751)</f>
        <v>157.42</v>
      </c>
      <c r="R752" s="17">
        <f>IF(AND(ISNUMBER(Histórico!$A752),ISNUMBER(Histórico!C752),Histórico!C752&gt;0),Histórico!C752,R751)</f>
        <v>64.73</v>
      </c>
      <c r="S752" s="17">
        <f>IF(AND(ISNUMBER(Histórico!$A752),ISNUMBER(Histórico!D752),Histórico!D752&gt;0),Histórico!D752,S751)</f>
        <v>389.05</v>
      </c>
      <c r="T752" s="18">
        <f>IF(AND(ISNUMBER(Histórico!$A752),ISNUMBER(Histórico!E752),Histórico!E752&gt;0),Histórico!E752,T751)</f>
        <v>5.3744</v>
      </c>
      <c r="U752" s="15">
        <f>IF(ISNUMBER(Histórico!A752),Histórico!A752,U751)</f>
        <v>46324</v>
      </c>
    </row>
    <row r="753" spans="17:21" ht="22.95" customHeight="1">
      <c r="Q753" s="17">
        <f>IF(AND(ISNUMBER(Histórico!$A753),ISNUMBER(Histórico!B753),Histórico!B753&gt;0),Histórico!B753,Q752)</f>
        <v>157.42</v>
      </c>
      <c r="R753" s="17">
        <f>IF(AND(ISNUMBER(Histórico!$A753),ISNUMBER(Histórico!C753),Histórico!C753&gt;0),Histórico!C753,R752)</f>
        <v>64.73</v>
      </c>
      <c r="S753" s="17">
        <f>IF(AND(ISNUMBER(Histórico!$A753),ISNUMBER(Histórico!D753),Histórico!D753&gt;0),Histórico!D753,S752)</f>
        <v>389.05</v>
      </c>
      <c r="T753" s="18">
        <f>IF(AND(ISNUMBER(Histórico!$A753),ISNUMBER(Histórico!E753),Histórico!E753&gt;0),Histórico!E753,T752)</f>
        <v>5.3744</v>
      </c>
      <c r="U753" s="15">
        <f>IF(ISNUMBER(Histórico!A753),Histórico!A753,U752)</f>
        <v>46324</v>
      </c>
    </row>
    <row r="754" spans="17:21" ht="22.95" customHeight="1">
      <c r="Q754" s="17">
        <f>IF(AND(ISNUMBER(Histórico!$A754),ISNUMBER(Histórico!B754),Histórico!B754&gt;0),Histórico!B754,Q753)</f>
        <v>157.42</v>
      </c>
      <c r="R754" s="17">
        <f>IF(AND(ISNUMBER(Histórico!$A754),ISNUMBER(Histórico!C754),Histórico!C754&gt;0),Histórico!C754,R753)</f>
        <v>64.73</v>
      </c>
      <c r="S754" s="17">
        <f>IF(AND(ISNUMBER(Histórico!$A754),ISNUMBER(Histórico!D754),Histórico!D754&gt;0),Histórico!D754,S753)</f>
        <v>389.05</v>
      </c>
      <c r="T754" s="18">
        <f>IF(AND(ISNUMBER(Histórico!$A754),ISNUMBER(Histórico!E754),Histórico!E754&gt;0),Histórico!E754,T753)</f>
        <v>5.3744</v>
      </c>
      <c r="U754" s="15">
        <f>IF(ISNUMBER(Histórico!A754),Histórico!A754,U753)</f>
        <v>46324</v>
      </c>
    </row>
    <row r="755" spans="17:21" ht="22.95" customHeight="1">
      <c r="Q755" s="17">
        <f>IF(AND(ISNUMBER(Histórico!$A755),ISNUMBER(Histórico!B755),Histórico!B755&gt;0),Histórico!B755,Q754)</f>
        <v>157.42</v>
      </c>
      <c r="R755" s="17">
        <f>IF(AND(ISNUMBER(Histórico!$A755),ISNUMBER(Histórico!C755),Histórico!C755&gt;0),Histórico!C755,R754)</f>
        <v>64.73</v>
      </c>
      <c r="S755" s="17">
        <f>IF(AND(ISNUMBER(Histórico!$A755),ISNUMBER(Histórico!D755),Histórico!D755&gt;0),Histórico!D755,S754)</f>
        <v>389.05</v>
      </c>
      <c r="T755" s="18">
        <f>IF(AND(ISNUMBER(Histórico!$A755),ISNUMBER(Histórico!E755),Histórico!E755&gt;0),Histórico!E755,T754)</f>
        <v>5.3744</v>
      </c>
      <c r="U755" s="15">
        <f>IF(ISNUMBER(Histórico!A755),Histórico!A755,U754)</f>
        <v>46324</v>
      </c>
    </row>
    <row r="756" spans="17:21" ht="22.95" customHeight="1">
      <c r="Q756" s="17">
        <f>IF(AND(ISNUMBER(Histórico!$A756),ISNUMBER(Histórico!B756),Histórico!B756&gt;0),Histórico!B756,Q755)</f>
        <v>157.42</v>
      </c>
      <c r="R756" s="17">
        <f>IF(AND(ISNUMBER(Histórico!$A756),ISNUMBER(Histórico!C756),Histórico!C756&gt;0),Histórico!C756,R755)</f>
        <v>64.73</v>
      </c>
      <c r="S756" s="17">
        <f>IF(AND(ISNUMBER(Histórico!$A756),ISNUMBER(Histórico!D756),Histórico!D756&gt;0),Histórico!D756,S755)</f>
        <v>389.05</v>
      </c>
      <c r="T756" s="18">
        <f>IF(AND(ISNUMBER(Histórico!$A756),ISNUMBER(Histórico!E756),Histórico!E756&gt;0),Histórico!E756,T755)</f>
        <v>5.3744</v>
      </c>
      <c r="U756" s="15">
        <f>IF(ISNUMBER(Histórico!A756),Histórico!A756,U755)</f>
        <v>46324</v>
      </c>
    </row>
    <row r="757" spans="17:21" ht="22.95" customHeight="1">
      <c r="Q757" s="17">
        <f>IF(AND(ISNUMBER(Histórico!$A757),ISNUMBER(Histórico!B757),Histórico!B757&gt;0),Histórico!B757,Q756)</f>
        <v>157.42</v>
      </c>
      <c r="R757" s="17">
        <f>IF(AND(ISNUMBER(Histórico!$A757),ISNUMBER(Histórico!C757),Histórico!C757&gt;0),Histórico!C757,R756)</f>
        <v>64.73</v>
      </c>
      <c r="S757" s="17">
        <f>IF(AND(ISNUMBER(Histórico!$A757),ISNUMBER(Histórico!D757),Histórico!D757&gt;0),Histórico!D757,S756)</f>
        <v>389.05</v>
      </c>
      <c r="T757" s="18">
        <f>IF(AND(ISNUMBER(Histórico!$A757),ISNUMBER(Histórico!E757),Histórico!E757&gt;0),Histórico!E757,T756)</f>
        <v>5.3744</v>
      </c>
      <c r="U757" s="15">
        <f>IF(ISNUMBER(Histórico!A757),Histórico!A757,U756)</f>
        <v>46324</v>
      </c>
    </row>
    <row r="758" spans="17:21" ht="22.95" customHeight="1">
      <c r="Q758" s="17">
        <f>IF(AND(ISNUMBER(Histórico!$A758),ISNUMBER(Histórico!B758),Histórico!B758&gt;0),Histórico!B758,Q757)</f>
        <v>157.42</v>
      </c>
      <c r="R758" s="17">
        <f>IF(AND(ISNUMBER(Histórico!$A758),ISNUMBER(Histórico!C758),Histórico!C758&gt;0),Histórico!C758,R757)</f>
        <v>64.73</v>
      </c>
      <c r="S758" s="17">
        <f>IF(AND(ISNUMBER(Histórico!$A758),ISNUMBER(Histórico!D758),Histórico!D758&gt;0),Histórico!D758,S757)</f>
        <v>389.05</v>
      </c>
      <c r="T758" s="18">
        <f>IF(AND(ISNUMBER(Histórico!$A758),ISNUMBER(Histórico!E758),Histórico!E758&gt;0),Histórico!E758,T757)</f>
        <v>5.3744</v>
      </c>
      <c r="U758" s="15">
        <f>IF(ISNUMBER(Histórico!A758),Histórico!A758,U757)</f>
        <v>46324</v>
      </c>
    </row>
    <row r="759" spans="17:21" ht="22.95" customHeight="1">
      <c r="Q759" s="17">
        <f>IF(AND(ISNUMBER(Histórico!$A759),ISNUMBER(Histórico!B759),Histórico!B759&gt;0),Histórico!B759,Q758)</f>
        <v>157.42</v>
      </c>
      <c r="R759" s="17">
        <f>IF(AND(ISNUMBER(Histórico!$A759),ISNUMBER(Histórico!C759),Histórico!C759&gt;0),Histórico!C759,R758)</f>
        <v>64.73</v>
      </c>
      <c r="S759" s="17">
        <f>IF(AND(ISNUMBER(Histórico!$A759),ISNUMBER(Histórico!D759),Histórico!D759&gt;0),Histórico!D759,S758)</f>
        <v>389.05</v>
      </c>
      <c r="T759" s="18">
        <f>IF(AND(ISNUMBER(Histórico!$A759),ISNUMBER(Histórico!E759),Histórico!E759&gt;0),Histórico!E759,T758)</f>
        <v>5.3744</v>
      </c>
      <c r="U759" s="15">
        <f>IF(ISNUMBER(Histórico!A759),Histórico!A759,U758)</f>
        <v>46324</v>
      </c>
    </row>
    <row r="760" spans="17:21" ht="22.95" customHeight="1">
      <c r="Q760" s="17">
        <f>IF(AND(ISNUMBER(Histórico!$A760),ISNUMBER(Histórico!B760),Histórico!B760&gt;0),Histórico!B760,Q759)</f>
        <v>157.42</v>
      </c>
      <c r="R760" s="17">
        <f>IF(AND(ISNUMBER(Histórico!$A760),ISNUMBER(Histórico!C760),Histórico!C760&gt;0),Histórico!C760,R759)</f>
        <v>64.73</v>
      </c>
      <c r="S760" s="17">
        <f>IF(AND(ISNUMBER(Histórico!$A760),ISNUMBER(Histórico!D760),Histórico!D760&gt;0),Histórico!D760,S759)</f>
        <v>389.05</v>
      </c>
      <c r="T760" s="18">
        <f>IF(AND(ISNUMBER(Histórico!$A760),ISNUMBER(Histórico!E760),Histórico!E760&gt;0),Histórico!E760,T759)</f>
        <v>5.3744</v>
      </c>
      <c r="U760" s="15">
        <f>IF(ISNUMBER(Histórico!A760),Histórico!A760,U759)</f>
        <v>46324</v>
      </c>
    </row>
    <row r="761" spans="17:21" ht="22.95" customHeight="1">
      <c r="Q761" s="17">
        <f>IF(AND(ISNUMBER(Histórico!$A761),ISNUMBER(Histórico!B761),Histórico!B761&gt;0),Histórico!B761,Q760)</f>
        <v>157.42</v>
      </c>
      <c r="R761" s="17">
        <f>IF(AND(ISNUMBER(Histórico!$A761),ISNUMBER(Histórico!C761),Histórico!C761&gt;0),Histórico!C761,R760)</f>
        <v>64.73</v>
      </c>
      <c r="S761" s="17">
        <f>IF(AND(ISNUMBER(Histórico!$A761),ISNUMBER(Histórico!D761),Histórico!D761&gt;0),Histórico!D761,S760)</f>
        <v>389.05</v>
      </c>
      <c r="T761" s="18">
        <f>IF(AND(ISNUMBER(Histórico!$A761),ISNUMBER(Histórico!E761),Histórico!E761&gt;0),Histórico!E761,T760)</f>
        <v>5.3744</v>
      </c>
      <c r="U761" s="15">
        <f>IF(ISNUMBER(Histórico!A761),Histórico!A761,U760)</f>
        <v>46324</v>
      </c>
    </row>
    <row r="762" spans="17:21" ht="22.95" customHeight="1">
      <c r="Q762" s="17">
        <f>IF(AND(ISNUMBER(Histórico!$A762),ISNUMBER(Histórico!B762),Histórico!B762&gt;0),Histórico!B762,Q761)</f>
        <v>157.42</v>
      </c>
      <c r="R762" s="17">
        <f>IF(AND(ISNUMBER(Histórico!$A762),ISNUMBER(Histórico!C762),Histórico!C762&gt;0),Histórico!C762,R761)</f>
        <v>64.73</v>
      </c>
      <c r="S762" s="17">
        <f>IF(AND(ISNUMBER(Histórico!$A762),ISNUMBER(Histórico!D762),Histórico!D762&gt;0),Histórico!D762,S761)</f>
        <v>389.05</v>
      </c>
      <c r="T762" s="18">
        <f>IF(AND(ISNUMBER(Histórico!$A762),ISNUMBER(Histórico!E762),Histórico!E762&gt;0),Histórico!E762,T761)</f>
        <v>5.3744</v>
      </c>
      <c r="U762" s="15">
        <f>IF(ISNUMBER(Histórico!A762),Histórico!A762,U761)</f>
        <v>46324</v>
      </c>
    </row>
    <row r="763" spans="17:21" ht="22.95" customHeight="1">
      <c r="Q763" s="17">
        <f>IF(AND(ISNUMBER(Histórico!$A763),ISNUMBER(Histórico!B763),Histórico!B763&gt;0),Histórico!B763,Q762)</f>
        <v>157.42</v>
      </c>
      <c r="R763" s="17">
        <f>IF(AND(ISNUMBER(Histórico!$A763),ISNUMBER(Histórico!C763),Histórico!C763&gt;0),Histórico!C763,R762)</f>
        <v>64.73</v>
      </c>
      <c r="S763" s="17">
        <f>IF(AND(ISNUMBER(Histórico!$A763),ISNUMBER(Histórico!D763),Histórico!D763&gt;0),Histórico!D763,S762)</f>
        <v>389.05</v>
      </c>
      <c r="T763" s="18">
        <f>IF(AND(ISNUMBER(Histórico!$A763),ISNUMBER(Histórico!E763),Histórico!E763&gt;0),Histórico!E763,T762)</f>
        <v>5.3744</v>
      </c>
      <c r="U763" s="15">
        <f>IF(ISNUMBER(Histórico!A763),Histórico!A763,U762)</f>
        <v>46324</v>
      </c>
    </row>
    <row r="764" spans="17:21" ht="22.95" customHeight="1">
      <c r="Q764" s="17">
        <f>IF(AND(ISNUMBER(Histórico!$A764),ISNUMBER(Histórico!B764),Histórico!B764&gt;0),Histórico!B764,Q763)</f>
        <v>157.42</v>
      </c>
      <c r="R764" s="17">
        <f>IF(AND(ISNUMBER(Histórico!$A764),ISNUMBER(Histórico!C764),Histórico!C764&gt;0),Histórico!C764,R763)</f>
        <v>64.73</v>
      </c>
      <c r="S764" s="17">
        <f>IF(AND(ISNUMBER(Histórico!$A764),ISNUMBER(Histórico!D764),Histórico!D764&gt;0),Histórico!D764,S763)</f>
        <v>389.05</v>
      </c>
      <c r="T764" s="18">
        <f>IF(AND(ISNUMBER(Histórico!$A764),ISNUMBER(Histórico!E764),Histórico!E764&gt;0),Histórico!E764,T763)</f>
        <v>5.3744</v>
      </c>
      <c r="U764" s="15">
        <f>IF(ISNUMBER(Histórico!A764),Histórico!A764,U763)</f>
        <v>46324</v>
      </c>
    </row>
    <row r="765" spans="17:21" ht="22.95" customHeight="1">
      <c r="Q765" s="17">
        <f>IF(AND(ISNUMBER(Histórico!$A765),ISNUMBER(Histórico!B765),Histórico!B765&gt;0),Histórico!B765,Q764)</f>
        <v>157.42</v>
      </c>
      <c r="R765" s="17">
        <f>IF(AND(ISNUMBER(Histórico!$A765),ISNUMBER(Histórico!C765),Histórico!C765&gt;0),Histórico!C765,R764)</f>
        <v>64.73</v>
      </c>
      <c r="S765" s="17">
        <f>IF(AND(ISNUMBER(Histórico!$A765),ISNUMBER(Histórico!D765),Histórico!D765&gt;0),Histórico!D765,S764)</f>
        <v>389.05</v>
      </c>
      <c r="T765" s="18">
        <f>IF(AND(ISNUMBER(Histórico!$A765),ISNUMBER(Histórico!E765),Histórico!E765&gt;0),Histórico!E765,T764)</f>
        <v>5.3744</v>
      </c>
      <c r="U765" s="15">
        <f>IF(ISNUMBER(Histórico!A765),Histórico!A765,U764)</f>
        <v>46324</v>
      </c>
    </row>
    <row r="766" spans="17:21" ht="22.95" customHeight="1">
      <c r="Q766" s="17">
        <f>IF(AND(ISNUMBER(Histórico!$A766),ISNUMBER(Histórico!B766),Histórico!B766&gt;0),Histórico!B766,Q765)</f>
        <v>157.42</v>
      </c>
      <c r="R766" s="17">
        <f>IF(AND(ISNUMBER(Histórico!$A766),ISNUMBER(Histórico!C766),Histórico!C766&gt;0),Histórico!C766,R765)</f>
        <v>64.73</v>
      </c>
      <c r="S766" s="17">
        <f>IF(AND(ISNUMBER(Histórico!$A766),ISNUMBER(Histórico!D766),Histórico!D766&gt;0),Histórico!D766,S765)</f>
        <v>389.05</v>
      </c>
      <c r="T766" s="18">
        <f>IF(AND(ISNUMBER(Histórico!$A766),ISNUMBER(Histórico!E766),Histórico!E766&gt;0),Histórico!E766,T765)</f>
        <v>5.3744</v>
      </c>
      <c r="U766" s="15">
        <f>IF(ISNUMBER(Histórico!A766),Histórico!A766,U765)</f>
        <v>46324</v>
      </c>
    </row>
    <row r="767" spans="17:21" ht="22.95" customHeight="1">
      <c r="Q767" s="17">
        <f>IF(AND(ISNUMBER(Histórico!$A767),ISNUMBER(Histórico!B767),Histórico!B767&gt;0),Histórico!B767,Q766)</f>
        <v>157.42</v>
      </c>
      <c r="R767" s="17">
        <f>IF(AND(ISNUMBER(Histórico!$A767),ISNUMBER(Histórico!C767),Histórico!C767&gt;0),Histórico!C767,R766)</f>
        <v>64.73</v>
      </c>
      <c r="S767" s="17">
        <f>IF(AND(ISNUMBER(Histórico!$A767),ISNUMBER(Histórico!D767),Histórico!D767&gt;0),Histórico!D767,S766)</f>
        <v>389.05</v>
      </c>
      <c r="T767" s="18">
        <f>IF(AND(ISNUMBER(Histórico!$A767),ISNUMBER(Histórico!E767),Histórico!E767&gt;0),Histórico!E767,T766)</f>
        <v>5.3744</v>
      </c>
      <c r="U767" s="15">
        <f>IF(ISNUMBER(Histórico!A767),Histórico!A767,U766)</f>
        <v>46324</v>
      </c>
    </row>
    <row r="768" spans="17:21" ht="22.95" customHeight="1">
      <c r="Q768" s="17">
        <f>IF(AND(ISNUMBER(Histórico!$A768),ISNUMBER(Histórico!B768),Histórico!B768&gt;0),Histórico!B768,Q767)</f>
        <v>157.42</v>
      </c>
      <c r="R768" s="17">
        <f>IF(AND(ISNUMBER(Histórico!$A768),ISNUMBER(Histórico!C768),Histórico!C768&gt;0),Histórico!C768,R767)</f>
        <v>64.73</v>
      </c>
      <c r="S768" s="17">
        <f>IF(AND(ISNUMBER(Histórico!$A768),ISNUMBER(Histórico!D768),Histórico!D768&gt;0),Histórico!D768,S767)</f>
        <v>389.05</v>
      </c>
      <c r="T768" s="18">
        <f>IF(AND(ISNUMBER(Histórico!$A768),ISNUMBER(Histórico!E768),Histórico!E768&gt;0),Histórico!E768,T767)</f>
        <v>5.3744</v>
      </c>
      <c r="U768" s="15">
        <f>IF(ISNUMBER(Histórico!A768),Histórico!A768,U767)</f>
        <v>46324</v>
      </c>
    </row>
    <row r="769" spans="17:21" ht="22.95" customHeight="1">
      <c r="Q769" s="17">
        <f>IF(AND(ISNUMBER(Histórico!$A769),ISNUMBER(Histórico!B769),Histórico!B769&gt;0),Histórico!B769,Q768)</f>
        <v>157.42</v>
      </c>
      <c r="R769" s="17">
        <f>IF(AND(ISNUMBER(Histórico!$A769),ISNUMBER(Histórico!C769),Histórico!C769&gt;0),Histórico!C769,R768)</f>
        <v>64.73</v>
      </c>
      <c r="S769" s="17">
        <f>IF(AND(ISNUMBER(Histórico!$A769),ISNUMBER(Histórico!D769),Histórico!D769&gt;0),Histórico!D769,S768)</f>
        <v>389.05</v>
      </c>
      <c r="T769" s="18">
        <f>IF(AND(ISNUMBER(Histórico!$A769),ISNUMBER(Histórico!E769),Histórico!E769&gt;0),Histórico!E769,T768)</f>
        <v>5.3744</v>
      </c>
      <c r="U769" s="15">
        <f>IF(ISNUMBER(Histórico!A769),Histórico!A769,U768)</f>
        <v>46324</v>
      </c>
    </row>
    <row r="770" spans="17:21" ht="22.95" customHeight="1">
      <c r="Q770" s="17">
        <f>IF(AND(ISNUMBER(Histórico!$A770),ISNUMBER(Histórico!B770),Histórico!B770&gt;0),Histórico!B770,Q769)</f>
        <v>157.42</v>
      </c>
      <c r="R770" s="17">
        <f>IF(AND(ISNUMBER(Histórico!$A770),ISNUMBER(Histórico!C770),Histórico!C770&gt;0),Histórico!C770,R769)</f>
        <v>64.73</v>
      </c>
      <c r="S770" s="17">
        <f>IF(AND(ISNUMBER(Histórico!$A770),ISNUMBER(Histórico!D770),Histórico!D770&gt;0),Histórico!D770,S769)</f>
        <v>389.05</v>
      </c>
      <c r="T770" s="18">
        <f>IF(AND(ISNUMBER(Histórico!$A770),ISNUMBER(Histórico!E770),Histórico!E770&gt;0),Histórico!E770,T769)</f>
        <v>5.3744</v>
      </c>
      <c r="U770" s="15">
        <f>IF(ISNUMBER(Histórico!A770),Histórico!A770,U769)</f>
        <v>46324</v>
      </c>
    </row>
    <row r="771" spans="17:21" ht="22.95" customHeight="1">
      <c r="Q771" s="17">
        <f>IF(AND(ISNUMBER(Histórico!$A771),ISNUMBER(Histórico!B771),Histórico!B771&gt;0),Histórico!B771,Q770)</f>
        <v>157.42</v>
      </c>
      <c r="R771" s="17">
        <f>IF(AND(ISNUMBER(Histórico!$A771),ISNUMBER(Histórico!C771),Histórico!C771&gt;0),Histórico!C771,R770)</f>
        <v>64.73</v>
      </c>
      <c r="S771" s="17">
        <f>IF(AND(ISNUMBER(Histórico!$A771),ISNUMBER(Histórico!D771),Histórico!D771&gt;0),Histórico!D771,S770)</f>
        <v>389.05</v>
      </c>
      <c r="T771" s="18">
        <f>IF(AND(ISNUMBER(Histórico!$A771),ISNUMBER(Histórico!E771),Histórico!E771&gt;0),Histórico!E771,T770)</f>
        <v>5.3744</v>
      </c>
      <c r="U771" s="15">
        <f>IF(ISNUMBER(Histórico!A771),Histórico!A771,U770)</f>
        <v>46324</v>
      </c>
    </row>
    <row r="772" spans="17:21" ht="22.95" customHeight="1">
      <c r="Q772" s="17">
        <f>IF(AND(ISNUMBER(Histórico!$A772),ISNUMBER(Histórico!B772),Histórico!B772&gt;0),Histórico!B772,Q771)</f>
        <v>157.42</v>
      </c>
      <c r="R772" s="17">
        <f>IF(AND(ISNUMBER(Histórico!$A772),ISNUMBER(Histórico!C772),Histórico!C772&gt;0),Histórico!C772,R771)</f>
        <v>64.73</v>
      </c>
      <c r="S772" s="17">
        <f>IF(AND(ISNUMBER(Histórico!$A772),ISNUMBER(Histórico!D772),Histórico!D772&gt;0),Histórico!D772,S771)</f>
        <v>389.05</v>
      </c>
      <c r="T772" s="18">
        <f>IF(AND(ISNUMBER(Histórico!$A772),ISNUMBER(Histórico!E772),Histórico!E772&gt;0),Histórico!E772,T771)</f>
        <v>5.3744</v>
      </c>
      <c r="U772" s="15">
        <f>IF(ISNUMBER(Histórico!A772),Histórico!A772,U771)</f>
        <v>46324</v>
      </c>
    </row>
    <row r="773" spans="17:21" ht="22.95" customHeight="1">
      <c r="Q773" s="17">
        <f>IF(AND(ISNUMBER(Histórico!$A773),ISNUMBER(Histórico!B773),Histórico!B773&gt;0),Histórico!B773,Q772)</f>
        <v>157.42</v>
      </c>
      <c r="R773" s="17">
        <f>IF(AND(ISNUMBER(Histórico!$A773),ISNUMBER(Histórico!C773),Histórico!C773&gt;0),Histórico!C773,R772)</f>
        <v>64.73</v>
      </c>
      <c r="S773" s="17">
        <f>IF(AND(ISNUMBER(Histórico!$A773),ISNUMBER(Histórico!D773),Histórico!D773&gt;0),Histórico!D773,S772)</f>
        <v>389.05</v>
      </c>
      <c r="T773" s="18">
        <f>IF(AND(ISNUMBER(Histórico!$A773),ISNUMBER(Histórico!E773),Histórico!E773&gt;0),Histórico!E773,T772)</f>
        <v>5.3744</v>
      </c>
      <c r="U773" s="15">
        <f>IF(ISNUMBER(Histórico!A773),Histórico!A773,U772)</f>
        <v>46324</v>
      </c>
    </row>
    <row r="774" spans="17:21" ht="22.95" customHeight="1">
      <c r="Q774" s="17">
        <f>IF(AND(ISNUMBER(Histórico!$A774),ISNUMBER(Histórico!B774),Histórico!B774&gt;0),Histórico!B774,Q773)</f>
        <v>157.42</v>
      </c>
      <c r="R774" s="17">
        <f>IF(AND(ISNUMBER(Histórico!$A774),ISNUMBER(Histórico!C774),Histórico!C774&gt;0),Histórico!C774,R773)</f>
        <v>64.73</v>
      </c>
      <c r="S774" s="17">
        <f>IF(AND(ISNUMBER(Histórico!$A774),ISNUMBER(Histórico!D774),Histórico!D774&gt;0),Histórico!D774,S773)</f>
        <v>389.05</v>
      </c>
      <c r="T774" s="18">
        <f>IF(AND(ISNUMBER(Histórico!$A774),ISNUMBER(Histórico!E774),Histórico!E774&gt;0),Histórico!E774,T773)</f>
        <v>5.3744</v>
      </c>
      <c r="U774" s="15">
        <f>IF(ISNUMBER(Histórico!A774),Histórico!A774,U773)</f>
        <v>46324</v>
      </c>
    </row>
    <row r="775" spans="17:21" ht="22.95" customHeight="1">
      <c r="Q775" s="17">
        <f>IF(AND(ISNUMBER(Histórico!$A775),ISNUMBER(Histórico!B775),Histórico!B775&gt;0),Histórico!B775,Q774)</f>
        <v>157.42</v>
      </c>
      <c r="R775" s="17">
        <f>IF(AND(ISNUMBER(Histórico!$A775),ISNUMBER(Histórico!C775),Histórico!C775&gt;0),Histórico!C775,R774)</f>
        <v>64.73</v>
      </c>
      <c r="S775" s="17">
        <f>IF(AND(ISNUMBER(Histórico!$A775),ISNUMBER(Histórico!D775),Histórico!D775&gt;0),Histórico!D775,S774)</f>
        <v>389.05</v>
      </c>
      <c r="T775" s="18">
        <f>IF(AND(ISNUMBER(Histórico!$A775),ISNUMBER(Histórico!E775),Histórico!E775&gt;0),Histórico!E775,T774)</f>
        <v>5.3744</v>
      </c>
      <c r="U775" s="15">
        <f>IF(ISNUMBER(Histórico!A775),Histórico!A775,U774)</f>
        <v>46324</v>
      </c>
    </row>
    <row r="776" spans="17:21" ht="22.95" customHeight="1">
      <c r="Q776" s="17">
        <f>IF(AND(ISNUMBER(Histórico!$A776),ISNUMBER(Histórico!B776),Histórico!B776&gt;0),Histórico!B776,Q775)</f>
        <v>157.42</v>
      </c>
      <c r="R776" s="17">
        <f>IF(AND(ISNUMBER(Histórico!$A776),ISNUMBER(Histórico!C776),Histórico!C776&gt;0),Histórico!C776,R775)</f>
        <v>64.73</v>
      </c>
      <c r="S776" s="17">
        <f>IF(AND(ISNUMBER(Histórico!$A776),ISNUMBER(Histórico!D776),Histórico!D776&gt;0),Histórico!D776,S775)</f>
        <v>389.05</v>
      </c>
      <c r="T776" s="18">
        <f>IF(AND(ISNUMBER(Histórico!$A776),ISNUMBER(Histórico!E776),Histórico!E776&gt;0),Histórico!E776,T775)</f>
        <v>5.3744</v>
      </c>
      <c r="U776" s="15">
        <f>IF(ISNUMBER(Histórico!A776),Histórico!A776,U775)</f>
        <v>46324</v>
      </c>
    </row>
    <row r="777" spans="17:21" ht="22.95" customHeight="1">
      <c r="Q777" s="17">
        <f>IF(AND(ISNUMBER(Histórico!$A777),ISNUMBER(Histórico!B777),Histórico!B777&gt;0),Histórico!B777,Q776)</f>
        <v>157.42</v>
      </c>
      <c r="R777" s="17">
        <f>IF(AND(ISNUMBER(Histórico!$A777),ISNUMBER(Histórico!C777),Histórico!C777&gt;0),Histórico!C777,R776)</f>
        <v>64.73</v>
      </c>
      <c r="S777" s="17">
        <f>IF(AND(ISNUMBER(Histórico!$A777),ISNUMBER(Histórico!D777),Histórico!D777&gt;0),Histórico!D777,S776)</f>
        <v>389.05</v>
      </c>
      <c r="T777" s="18">
        <f>IF(AND(ISNUMBER(Histórico!$A777),ISNUMBER(Histórico!E777),Histórico!E777&gt;0),Histórico!E777,T776)</f>
        <v>5.3744</v>
      </c>
      <c r="U777" s="15">
        <f>IF(ISNUMBER(Histórico!A777),Histórico!A777,U776)</f>
        <v>46324</v>
      </c>
    </row>
    <row r="778" spans="17:21" ht="22.95" customHeight="1">
      <c r="Q778" s="17">
        <f>IF(AND(ISNUMBER(Histórico!$A778),ISNUMBER(Histórico!B778),Histórico!B778&gt;0),Histórico!B778,Q777)</f>
        <v>157.42</v>
      </c>
      <c r="R778" s="17">
        <f>IF(AND(ISNUMBER(Histórico!$A778),ISNUMBER(Histórico!C778),Histórico!C778&gt;0),Histórico!C778,R777)</f>
        <v>64.73</v>
      </c>
      <c r="S778" s="17">
        <f>IF(AND(ISNUMBER(Histórico!$A778),ISNUMBER(Histórico!D778),Histórico!D778&gt;0),Histórico!D778,S777)</f>
        <v>389.05</v>
      </c>
      <c r="T778" s="18">
        <f>IF(AND(ISNUMBER(Histórico!$A778),ISNUMBER(Histórico!E778),Histórico!E778&gt;0),Histórico!E778,T777)</f>
        <v>5.3744</v>
      </c>
      <c r="U778" s="15">
        <f>IF(ISNUMBER(Histórico!A778),Histórico!A778,U777)</f>
        <v>46324</v>
      </c>
    </row>
    <row r="779" spans="17:21" ht="22.95" customHeight="1">
      <c r="Q779" s="17">
        <f>IF(AND(ISNUMBER(Histórico!$A779),ISNUMBER(Histórico!B779),Histórico!B779&gt;0),Histórico!B779,Q778)</f>
        <v>157.42</v>
      </c>
      <c r="R779" s="17">
        <f>IF(AND(ISNUMBER(Histórico!$A779),ISNUMBER(Histórico!C779),Histórico!C779&gt;0),Histórico!C779,R778)</f>
        <v>64.73</v>
      </c>
      <c r="S779" s="17">
        <f>IF(AND(ISNUMBER(Histórico!$A779),ISNUMBER(Histórico!D779),Histórico!D779&gt;0),Histórico!D779,S778)</f>
        <v>389.05</v>
      </c>
      <c r="T779" s="18">
        <f>IF(AND(ISNUMBER(Histórico!$A779),ISNUMBER(Histórico!E779),Histórico!E779&gt;0),Histórico!E779,T778)</f>
        <v>5.3744</v>
      </c>
      <c r="U779" s="15">
        <f>IF(ISNUMBER(Histórico!A779),Histórico!A779,U778)</f>
        <v>46324</v>
      </c>
    </row>
    <row r="780" spans="17:21" ht="22.95" customHeight="1">
      <c r="Q780" s="17">
        <f>IF(AND(ISNUMBER(Histórico!$A780),ISNUMBER(Histórico!B780),Histórico!B780&gt;0),Histórico!B780,Q779)</f>
        <v>157.42</v>
      </c>
      <c r="R780" s="17">
        <f>IF(AND(ISNUMBER(Histórico!$A780),ISNUMBER(Histórico!C780),Histórico!C780&gt;0),Histórico!C780,R779)</f>
        <v>64.73</v>
      </c>
      <c r="S780" s="17">
        <f>IF(AND(ISNUMBER(Histórico!$A780),ISNUMBER(Histórico!D780),Histórico!D780&gt;0),Histórico!D780,S779)</f>
        <v>389.05</v>
      </c>
      <c r="T780" s="18">
        <f>IF(AND(ISNUMBER(Histórico!$A780),ISNUMBER(Histórico!E780),Histórico!E780&gt;0),Histórico!E780,T779)</f>
        <v>5.3744</v>
      </c>
      <c r="U780" s="15">
        <f>IF(ISNUMBER(Histórico!A780),Histórico!A780,U779)</f>
        <v>46324</v>
      </c>
    </row>
    <row r="781" spans="17:21" ht="22.95" customHeight="1">
      <c r="Q781" s="17">
        <f>IF(AND(ISNUMBER(Histórico!$A781),ISNUMBER(Histórico!B781),Histórico!B781&gt;0),Histórico!B781,Q780)</f>
        <v>157.42</v>
      </c>
      <c r="R781" s="17">
        <f>IF(AND(ISNUMBER(Histórico!$A781),ISNUMBER(Histórico!C781),Histórico!C781&gt;0),Histórico!C781,R780)</f>
        <v>64.73</v>
      </c>
      <c r="S781" s="17">
        <f>IF(AND(ISNUMBER(Histórico!$A781),ISNUMBER(Histórico!D781),Histórico!D781&gt;0),Histórico!D781,S780)</f>
        <v>389.05</v>
      </c>
      <c r="T781" s="18">
        <f>IF(AND(ISNUMBER(Histórico!$A781),ISNUMBER(Histórico!E781),Histórico!E781&gt;0),Histórico!E781,T780)</f>
        <v>5.3744</v>
      </c>
      <c r="U781" s="15">
        <f>IF(ISNUMBER(Histórico!A781),Histórico!A781,U780)</f>
        <v>46324</v>
      </c>
    </row>
    <row r="782" spans="17:21" ht="22.95" customHeight="1">
      <c r="Q782" s="17">
        <f>IF(AND(ISNUMBER(Histórico!$A782),ISNUMBER(Histórico!B782),Histórico!B782&gt;0),Histórico!B782,Q781)</f>
        <v>157.42</v>
      </c>
      <c r="R782" s="17">
        <f>IF(AND(ISNUMBER(Histórico!$A782),ISNUMBER(Histórico!C782),Histórico!C782&gt;0),Histórico!C782,R781)</f>
        <v>64.73</v>
      </c>
      <c r="S782" s="17">
        <f>IF(AND(ISNUMBER(Histórico!$A782),ISNUMBER(Histórico!D782),Histórico!D782&gt;0),Histórico!D782,S781)</f>
        <v>389.05</v>
      </c>
      <c r="T782" s="18">
        <f>IF(AND(ISNUMBER(Histórico!$A782),ISNUMBER(Histórico!E782),Histórico!E782&gt;0),Histórico!E782,T781)</f>
        <v>5.3744</v>
      </c>
      <c r="U782" s="15">
        <f>IF(ISNUMBER(Histórico!A782),Histórico!A782,U781)</f>
        <v>46324</v>
      </c>
    </row>
    <row r="783" spans="17:21" ht="22.95" customHeight="1">
      <c r="Q783" s="17">
        <f>IF(AND(ISNUMBER(Histórico!$A783),ISNUMBER(Histórico!B783),Histórico!B783&gt;0),Histórico!B783,Q782)</f>
        <v>157.42</v>
      </c>
      <c r="R783" s="17">
        <f>IF(AND(ISNUMBER(Histórico!$A783),ISNUMBER(Histórico!C783),Histórico!C783&gt;0),Histórico!C783,R782)</f>
        <v>64.73</v>
      </c>
      <c r="S783" s="17">
        <f>IF(AND(ISNUMBER(Histórico!$A783),ISNUMBER(Histórico!D783),Histórico!D783&gt;0),Histórico!D783,S782)</f>
        <v>389.05</v>
      </c>
      <c r="T783" s="18">
        <f>IF(AND(ISNUMBER(Histórico!$A783),ISNUMBER(Histórico!E783),Histórico!E783&gt;0),Histórico!E783,T782)</f>
        <v>5.3744</v>
      </c>
      <c r="U783" s="15">
        <f>IF(ISNUMBER(Histórico!A783),Histórico!A783,U782)</f>
        <v>46324</v>
      </c>
    </row>
    <row r="784" spans="17:21" ht="22.95" customHeight="1">
      <c r="Q784" s="17">
        <f>IF(AND(ISNUMBER(Histórico!$A784),ISNUMBER(Histórico!B784),Histórico!B784&gt;0),Histórico!B784,Q783)</f>
        <v>157.42</v>
      </c>
      <c r="R784" s="17">
        <f>IF(AND(ISNUMBER(Histórico!$A784),ISNUMBER(Histórico!C784),Histórico!C784&gt;0),Histórico!C784,R783)</f>
        <v>64.73</v>
      </c>
      <c r="S784" s="17">
        <f>IF(AND(ISNUMBER(Histórico!$A784),ISNUMBER(Histórico!D784),Histórico!D784&gt;0),Histórico!D784,S783)</f>
        <v>389.05</v>
      </c>
      <c r="T784" s="18">
        <f>IF(AND(ISNUMBER(Histórico!$A784),ISNUMBER(Histórico!E784),Histórico!E784&gt;0),Histórico!E784,T783)</f>
        <v>5.3744</v>
      </c>
      <c r="U784" s="15">
        <f>IF(ISNUMBER(Histórico!A784),Histórico!A784,U783)</f>
        <v>46324</v>
      </c>
    </row>
    <row r="785" spans="17:21" ht="22.95" customHeight="1">
      <c r="Q785" s="17">
        <f>IF(AND(ISNUMBER(Histórico!$A785),ISNUMBER(Histórico!B785),Histórico!B785&gt;0),Histórico!B785,Q784)</f>
        <v>157.42</v>
      </c>
      <c r="R785" s="17">
        <f>IF(AND(ISNUMBER(Histórico!$A785),ISNUMBER(Histórico!C785),Histórico!C785&gt;0),Histórico!C785,R784)</f>
        <v>64.73</v>
      </c>
      <c r="S785" s="17">
        <f>IF(AND(ISNUMBER(Histórico!$A785),ISNUMBER(Histórico!D785),Histórico!D785&gt;0),Histórico!D785,S784)</f>
        <v>389.05</v>
      </c>
      <c r="T785" s="18">
        <f>IF(AND(ISNUMBER(Histórico!$A785),ISNUMBER(Histórico!E785),Histórico!E785&gt;0),Histórico!E785,T784)</f>
        <v>5.3744</v>
      </c>
      <c r="U785" s="15">
        <f>IF(ISNUMBER(Histórico!A785),Histórico!A785,U784)</f>
        <v>46324</v>
      </c>
    </row>
    <row r="786" spans="17:21" ht="22.95" customHeight="1">
      <c r="Q786" s="17">
        <f>IF(AND(ISNUMBER(Histórico!$A786),ISNUMBER(Histórico!B786),Histórico!B786&gt;0),Histórico!B786,Q785)</f>
        <v>157.42</v>
      </c>
      <c r="R786" s="17">
        <f>IF(AND(ISNUMBER(Histórico!$A786),ISNUMBER(Histórico!C786),Histórico!C786&gt;0),Histórico!C786,R785)</f>
        <v>64.73</v>
      </c>
      <c r="S786" s="17">
        <f>IF(AND(ISNUMBER(Histórico!$A786),ISNUMBER(Histórico!D786),Histórico!D786&gt;0),Histórico!D786,S785)</f>
        <v>389.05</v>
      </c>
      <c r="T786" s="18">
        <f>IF(AND(ISNUMBER(Histórico!$A786),ISNUMBER(Histórico!E786),Histórico!E786&gt;0),Histórico!E786,T785)</f>
        <v>5.3744</v>
      </c>
      <c r="U786" s="15">
        <f>IF(ISNUMBER(Histórico!A786),Histórico!A786,U785)</f>
        <v>46324</v>
      </c>
    </row>
    <row r="787" spans="17:21" ht="22.95" customHeight="1">
      <c r="Q787" s="17">
        <f>IF(AND(ISNUMBER(Histórico!$A787),ISNUMBER(Histórico!B787),Histórico!B787&gt;0),Histórico!B787,Q786)</f>
        <v>157.42</v>
      </c>
      <c r="R787" s="17">
        <f>IF(AND(ISNUMBER(Histórico!$A787),ISNUMBER(Histórico!C787),Histórico!C787&gt;0),Histórico!C787,R786)</f>
        <v>64.73</v>
      </c>
      <c r="S787" s="17">
        <f>IF(AND(ISNUMBER(Histórico!$A787),ISNUMBER(Histórico!D787),Histórico!D787&gt;0),Histórico!D787,S786)</f>
        <v>389.05</v>
      </c>
      <c r="T787" s="18">
        <f>IF(AND(ISNUMBER(Histórico!$A787),ISNUMBER(Histórico!E787),Histórico!E787&gt;0),Histórico!E787,T786)</f>
        <v>5.3744</v>
      </c>
      <c r="U787" s="15">
        <f>IF(ISNUMBER(Histórico!A787),Histórico!A787,U786)</f>
        <v>46324</v>
      </c>
    </row>
    <row r="788" spans="17:21" ht="22.95" customHeight="1">
      <c r="Q788" s="17">
        <f>IF(AND(ISNUMBER(Histórico!$A788),ISNUMBER(Histórico!B788),Histórico!B788&gt;0),Histórico!B788,Q787)</f>
        <v>157.42</v>
      </c>
      <c r="R788" s="17">
        <f>IF(AND(ISNUMBER(Histórico!$A788),ISNUMBER(Histórico!C788),Histórico!C788&gt;0),Histórico!C788,R787)</f>
        <v>64.73</v>
      </c>
      <c r="S788" s="17">
        <f>IF(AND(ISNUMBER(Histórico!$A788),ISNUMBER(Histórico!D788),Histórico!D788&gt;0),Histórico!D788,S787)</f>
        <v>389.05</v>
      </c>
      <c r="T788" s="18">
        <f>IF(AND(ISNUMBER(Histórico!$A788),ISNUMBER(Histórico!E788),Histórico!E788&gt;0),Histórico!E788,T787)</f>
        <v>5.3744</v>
      </c>
      <c r="U788" s="15">
        <f>IF(ISNUMBER(Histórico!A788),Histórico!A788,U787)</f>
        <v>46324</v>
      </c>
    </row>
    <row r="789" spans="17:21" ht="22.95" customHeight="1">
      <c r="Q789" s="17">
        <f>IF(AND(ISNUMBER(Histórico!$A789),ISNUMBER(Histórico!B789),Histórico!B789&gt;0),Histórico!B789,Q788)</f>
        <v>157.42</v>
      </c>
      <c r="R789" s="17">
        <f>IF(AND(ISNUMBER(Histórico!$A789),ISNUMBER(Histórico!C789),Histórico!C789&gt;0),Histórico!C789,R788)</f>
        <v>64.73</v>
      </c>
      <c r="S789" s="17">
        <f>IF(AND(ISNUMBER(Histórico!$A789),ISNUMBER(Histórico!D789),Histórico!D789&gt;0),Histórico!D789,S788)</f>
        <v>389.05</v>
      </c>
      <c r="T789" s="18">
        <f>IF(AND(ISNUMBER(Histórico!$A789),ISNUMBER(Histórico!E789),Histórico!E789&gt;0),Histórico!E789,T788)</f>
        <v>5.3744</v>
      </c>
      <c r="U789" s="15">
        <f>IF(ISNUMBER(Histórico!A789),Histórico!A789,U788)</f>
        <v>46324</v>
      </c>
    </row>
    <row r="790" spans="17:21" ht="22.95" customHeight="1">
      <c r="Q790" s="17">
        <f>IF(AND(ISNUMBER(Histórico!$A790),ISNUMBER(Histórico!B790),Histórico!B790&gt;0),Histórico!B790,Q789)</f>
        <v>157.42</v>
      </c>
      <c r="R790" s="17">
        <f>IF(AND(ISNUMBER(Histórico!$A790),ISNUMBER(Histórico!C790),Histórico!C790&gt;0),Histórico!C790,R789)</f>
        <v>64.73</v>
      </c>
      <c r="S790" s="17">
        <f>IF(AND(ISNUMBER(Histórico!$A790),ISNUMBER(Histórico!D790),Histórico!D790&gt;0),Histórico!D790,S789)</f>
        <v>389.05</v>
      </c>
      <c r="T790" s="18">
        <f>IF(AND(ISNUMBER(Histórico!$A790),ISNUMBER(Histórico!E790),Histórico!E790&gt;0),Histórico!E790,T789)</f>
        <v>5.3744</v>
      </c>
      <c r="U790" s="15">
        <f>IF(ISNUMBER(Histórico!A790),Histórico!A790,U789)</f>
        <v>46324</v>
      </c>
    </row>
    <row r="791" spans="17:21" ht="22.95" customHeight="1">
      <c r="Q791" s="17">
        <f>IF(AND(ISNUMBER(Histórico!$A791),ISNUMBER(Histórico!B791),Histórico!B791&gt;0),Histórico!B791,Q790)</f>
        <v>157.42</v>
      </c>
      <c r="R791" s="17">
        <f>IF(AND(ISNUMBER(Histórico!$A791),ISNUMBER(Histórico!C791),Histórico!C791&gt;0),Histórico!C791,R790)</f>
        <v>64.73</v>
      </c>
      <c r="S791" s="17">
        <f>IF(AND(ISNUMBER(Histórico!$A791),ISNUMBER(Histórico!D791),Histórico!D791&gt;0),Histórico!D791,S790)</f>
        <v>389.05</v>
      </c>
      <c r="T791" s="18">
        <f>IF(AND(ISNUMBER(Histórico!$A791),ISNUMBER(Histórico!E791),Histórico!E791&gt;0),Histórico!E791,T790)</f>
        <v>5.3744</v>
      </c>
      <c r="U791" s="15">
        <f>IF(ISNUMBER(Histórico!A791),Histórico!A791,U790)</f>
        <v>46324</v>
      </c>
    </row>
    <row r="792" spans="17:21" ht="22.95" customHeight="1">
      <c r="Q792" s="17">
        <f>IF(AND(ISNUMBER(Histórico!$A792),ISNUMBER(Histórico!B792),Histórico!B792&gt;0),Histórico!B792,Q791)</f>
        <v>157.42</v>
      </c>
      <c r="R792" s="17">
        <f>IF(AND(ISNUMBER(Histórico!$A792),ISNUMBER(Histórico!C792),Histórico!C792&gt;0),Histórico!C792,R791)</f>
        <v>64.73</v>
      </c>
      <c r="S792" s="17">
        <f>IF(AND(ISNUMBER(Histórico!$A792),ISNUMBER(Histórico!D792),Histórico!D792&gt;0),Histórico!D792,S791)</f>
        <v>389.05</v>
      </c>
      <c r="T792" s="18">
        <f>IF(AND(ISNUMBER(Histórico!$A792),ISNUMBER(Histórico!E792),Histórico!E792&gt;0),Histórico!E792,T791)</f>
        <v>5.3744</v>
      </c>
      <c r="U792" s="15">
        <f>IF(ISNUMBER(Histórico!A792),Histórico!A792,U791)</f>
        <v>46324</v>
      </c>
    </row>
    <row r="793" spans="17:21" ht="22.95" customHeight="1">
      <c r="Q793" s="17">
        <f>IF(AND(ISNUMBER(Histórico!$A793),ISNUMBER(Histórico!B793),Histórico!B793&gt;0),Histórico!B793,Q792)</f>
        <v>157.42</v>
      </c>
      <c r="R793" s="17">
        <f>IF(AND(ISNUMBER(Histórico!$A793),ISNUMBER(Histórico!C793),Histórico!C793&gt;0),Histórico!C793,R792)</f>
        <v>64.73</v>
      </c>
      <c r="S793" s="17">
        <f>IF(AND(ISNUMBER(Histórico!$A793),ISNUMBER(Histórico!D793),Histórico!D793&gt;0),Histórico!D793,S792)</f>
        <v>389.05</v>
      </c>
      <c r="T793" s="18">
        <f>IF(AND(ISNUMBER(Histórico!$A793),ISNUMBER(Histórico!E793),Histórico!E793&gt;0),Histórico!E793,T792)</f>
        <v>5.3744</v>
      </c>
      <c r="U793" s="15">
        <f>IF(ISNUMBER(Histórico!A793),Histórico!A793,U792)</f>
        <v>46324</v>
      </c>
    </row>
    <row r="794" spans="17:21" ht="22.95" customHeight="1">
      <c r="Q794" s="17">
        <f>IF(AND(ISNUMBER(Histórico!$A794),ISNUMBER(Histórico!B794),Histórico!B794&gt;0),Histórico!B794,Q793)</f>
        <v>157.42</v>
      </c>
      <c r="R794" s="17">
        <f>IF(AND(ISNUMBER(Histórico!$A794),ISNUMBER(Histórico!C794),Histórico!C794&gt;0),Histórico!C794,R793)</f>
        <v>64.73</v>
      </c>
      <c r="S794" s="17">
        <f>IF(AND(ISNUMBER(Histórico!$A794),ISNUMBER(Histórico!D794),Histórico!D794&gt;0),Histórico!D794,S793)</f>
        <v>389.05</v>
      </c>
      <c r="T794" s="18">
        <f>IF(AND(ISNUMBER(Histórico!$A794),ISNUMBER(Histórico!E794),Histórico!E794&gt;0),Histórico!E794,T793)</f>
        <v>5.3744</v>
      </c>
      <c r="U794" s="15">
        <f>IF(ISNUMBER(Histórico!A794),Histórico!A794,U793)</f>
        <v>46324</v>
      </c>
    </row>
    <row r="795" spans="17:21" ht="22.95" customHeight="1">
      <c r="Q795" s="17">
        <f>IF(AND(ISNUMBER(Histórico!$A795),ISNUMBER(Histórico!B795),Histórico!B795&gt;0),Histórico!B795,Q794)</f>
        <v>157.42</v>
      </c>
      <c r="R795" s="17">
        <f>IF(AND(ISNUMBER(Histórico!$A795),ISNUMBER(Histórico!C795),Histórico!C795&gt;0),Histórico!C795,R794)</f>
        <v>64.73</v>
      </c>
      <c r="S795" s="17">
        <f>IF(AND(ISNUMBER(Histórico!$A795),ISNUMBER(Histórico!D795),Histórico!D795&gt;0),Histórico!D795,S794)</f>
        <v>389.05</v>
      </c>
      <c r="T795" s="18">
        <f>IF(AND(ISNUMBER(Histórico!$A795),ISNUMBER(Histórico!E795),Histórico!E795&gt;0),Histórico!E795,T794)</f>
        <v>5.3744</v>
      </c>
      <c r="U795" s="15">
        <f>IF(ISNUMBER(Histórico!A795),Histórico!A795,U794)</f>
        <v>46324</v>
      </c>
    </row>
    <row r="796" spans="17:21" ht="22.95" customHeight="1">
      <c r="Q796" s="17">
        <f>IF(AND(ISNUMBER(Histórico!$A796),ISNUMBER(Histórico!B796),Histórico!B796&gt;0),Histórico!B796,Q795)</f>
        <v>157.42</v>
      </c>
      <c r="R796" s="17">
        <f>IF(AND(ISNUMBER(Histórico!$A796),ISNUMBER(Histórico!C796),Histórico!C796&gt;0),Histórico!C796,R795)</f>
        <v>64.73</v>
      </c>
      <c r="S796" s="17">
        <f>IF(AND(ISNUMBER(Histórico!$A796),ISNUMBER(Histórico!D796),Histórico!D796&gt;0),Histórico!D796,S795)</f>
        <v>389.05</v>
      </c>
      <c r="T796" s="18">
        <f>IF(AND(ISNUMBER(Histórico!$A796),ISNUMBER(Histórico!E796),Histórico!E796&gt;0),Histórico!E796,T795)</f>
        <v>5.3744</v>
      </c>
      <c r="U796" s="15">
        <f>IF(ISNUMBER(Histórico!A796),Histórico!A796,U795)</f>
        <v>46324</v>
      </c>
    </row>
    <row r="797" spans="17:21" ht="22.95" customHeight="1">
      <c r="Q797" s="17">
        <f>IF(AND(ISNUMBER(Histórico!$A797),ISNUMBER(Histórico!B797),Histórico!B797&gt;0),Histórico!B797,Q796)</f>
        <v>157.42</v>
      </c>
      <c r="R797" s="17">
        <f>IF(AND(ISNUMBER(Histórico!$A797),ISNUMBER(Histórico!C797),Histórico!C797&gt;0),Histórico!C797,R796)</f>
        <v>64.73</v>
      </c>
      <c r="S797" s="17">
        <f>IF(AND(ISNUMBER(Histórico!$A797),ISNUMBER(Histórico!D797),Histórico!D797&gt;0),Histórico!D797,S796)</f>
        <v>389.05</v>
      </c>
      <c r="T797" s="18">
        <f>IF(AND(ISNUMBER(Histórico!$A797),ISNUMBER(Histórico!E797),Histórico!E797&gt;0),Histórico!E797,T796)</f>
        <v>5.3744</v>
      </c>
      <c r="U797" s="15">
        <f>IF(ISNUMBER(Histórico!A797),Histórico!A797,U796)</f>
        <v>46324</v>
      </c>
    </row>
    <row r="798" spans="17:21" ht="22.95" customHeight="1">
      <c r="Q798" s="17">
        <f>IF(AND(ISNUMBER(Histórico!$A798),ISNUMBER(Histórico!B798),Histórico!B798&gt;0),Histórico!B798,Q797)</f>
        <v>157.42</v>
      </c>
      <c r="R798" s="17">
        <f>IF(AND(ISNUMBER(Histórico!$A798),ISNUMBER(Histórico!C798),Histórico!C798&gt;0),Histórico!C798,R797)</f>
        <v>64.73</v>
      </c>
      <c r="S798" s="17">
        <f>IF(AND(ISNUMBER(Histórico!$A798),ISNUMBER(Histórico!D798),Histórico!D798&gt;0),Histórico!D798,S797)</f>
        <v>389.05</v>
      </c>
      <c r="T798" s="18">
        <f>IF(AND(ISNUMBER(Histórico!$A798),ISNUMBER(Histórico!E798),Histórico!E798&gt;0),Histórico!E798,T797)</f>
        <v>5.3744</v>
      </c>
      <c r="U798" s="15">
        <f>IF(ISNUMBER(Histórico!A798),Histórico!A798,U797)</f>
        <v>46324</v>
      </c>
    </row>
    <row r="799" spans="17:21" ht="22.95" customHeight="1">
      <c r="Q799" s="17">
        <f>IF(AND(ISNUMBER(Histórico!$A799),ISNUMBER(Histórico!B799),Histórico!B799&gt;0),Histórico!B799,Q798)</f>
        <v>157.42</v>
      </c>
      <c r="R799" s="17">
        <f>IF(AND(ISNUMBER(Histórico!$A799),ISNUMBER(Histórico!C799),Histórico!C799&gt;0),Histórico!C799,R798)</f>
        <v>64.73</v>
      </c>
      <c r="S799" s="17">
        <f>IF(AND(ISNUMBER(Histórico!$A799),ISNUMBER(Histórico!D799),Histórico!D799&gt;0),Histórico!D799,S798)</f>
        <v>389.05</v>
      </c>
      <c r="T799" s="18">
        <f>IF(AND(ISNUMBER(Histórico!$A799),ISNUMBER(Histórico!E799),Histórico!E799&gt;0),Histórico!E799,T798)</f>
        <v>5.3744</v>
      </c>
      <c r="U799" s="15">
        <f>IF(ISNUMBER(Histórico!A799),Histórico!A799,U798)</f>
        <v>46324</v>
      </c>
    </row>
    <row r="800" spans="17:21" ht="22.95" customHeight="1">
      <c r="Q800" s="17">
        <f>IF(AND(ISNUMBER(Histórico!$A800),ISNUMBER(Histórico!B800),Histórico!B800&gt;0),Histórico!B800,Q799)</f>
        <v>157.42</v>
      </c>
      <c r="R800" s="17">
        <f>IF(AND(ISNUMBER(Histórico!$A800),ISNUMBER(Histórico!C800),Histórico!C800&gt;0),Histórico!C800,R799)</f>
        <v>64.73</v>
      </c>
      <c r="S800" s="17">
        <f>IF(AND(ISNUMBER(Histórico!$A800),ISNUMBER(Histórico!D800),Histórico!D800&gt;0),Histórico!D800,S799)</f>
        <v>389.05</v>
      </c>
      <c r="T800" s="18">
        <f>IF(AND(ISNUMBER(Histórico!$A800),ISNUMBER(Histórico!E800),Histórico!E800&gt;0),Histórico!E800,T799)</f>
        <v>5.3744</v>
      </c>
      <c r="U800" s="15">
        <f>IF(ISNUMBER(Histórico!A800),Histórico!A800,U799)</f>
        <v>46324</v>
      </c>
    </row>
    <row r="801" spans="17:21" ht="22.95" customHeight="1">
      <c r="Q801" s="17">
        <f>IF(AND(ISNUMBER(Histórico!$A801),ISNUMBER(Histórico!B801),Histórico!B801&gt;0),Histórico!B801,Q800)</f>
        <v>157.42</v>
      </c>
      <c r="R801" s="17">
        <f>IF(AND(ISNUMBER(Histórico!$A801),ISNUMBER(Histórico!C801),Histórico!C801&gt;0),Histórico!C801,R800)</f>
        <v>64.73</v>
      </c>
      <c r="S801" s="17">
        <f>IF(AND(ISNUMBER(Histórico!$A801),ISNUMBER(Histórico!D801),Histórico!D801&gt;0),Histórico!D801,S800)</f>
        <v>389.05</v>
      </c>
      <c r="T801" s="18">
        <f>IF(AND(ISNUMBER(Histórico!$A801),ISNUMBER(Histórico!E801),Histórico!E801&gt;0),Histórico!E801,T800)</f>
        <v>5.3744</v>
      </c>
      <c r="U801" s="15">
        <f>IF(ISNUMBER(Histórico!A801),Histórico!A801,U800)</f>
        <v>46324</v>
      </c>
    </row>
    <row r="802" spans="17:21" ht="22.95" customHeight="1">
      <c r="Q802" s="17">
        <f>IF(AND(ISNUMBER(Histórico!$A802),ISNUMBER(Histórico!B802),Histórico!B802&gt;0),Histórico!B802,Q801)</f>
        <v>157.42</v>
      </c>
      <c r="R802" s="17">
        <f>IF(AND(ISNUMBER(Histórico!$A802),ISNUMBER(Histórico!C802),Histórico!C802&gt;0),Histórico!C802,R801)</f>
        <v>64.73</v>
      </c>
      <c r="S802" s="17">
        <f>IF(AND(ISNUMBER(Histórico!$A802),ISNUMBER(Histórico!D802),Histórico!D802&gt;0),Histórico!D802,S801)</f>
        <v>389.05</v>
      </c>
      <c r="T802" s="18">
        <f>IF(AND(ISNUMBER(Histórico!$A802),ISNUMBER(Histórico!E802),Histórico!E802&gt;0),Histórico!E802,T801)</f>
        <v>5.3744</v>
      </c>
      <c r="U802" s="15">
        <f>IF(ISNUMBER(Histórico!A802),Histórico!A802,U801)</f>
        <v>46324</v>
      </c>
    </row>
    <row r="803" spans="17:21" ht="22.95" customHeight="1">
      <c r="Q803" s="17">
        <f>IF(AND(ISNUMBER(Histórico!$A803),ISNUMBER(Histórico!B803),Histórico!B803&gt;0),Histórico!B803,Q802)</f>
        <v>157.42</v>
      </c>
      <c r="R803" s="17">
        <f>IF(AND(ISNUMBER(Histórico!$A803),ISNUMBER(Histórico!C803),Histórico!C803&gt;0),Histórico!C803,R802)</f>
        <v>64.73</v>
      </c>
      <c r="S803" s="17">
        <f>IF(AND(ISNUMBER(Histórico!$A803),ISNUMBER(Histórico!D803),Histórico!D803&gt;0),Histórico!D803,S802)</f>
        <v>389.05</v>
      </c>
      <c r="T803" s="18">
        <f>IF(AND(ISNUMBER(Histórico!$A803),ISNUMBER(Histórico!E803),Histórico!E803&gt;0),Histórico!E803,T802)</f>
        <v>5.3744</v>
      </c>
      <c r="U803" s="15">
        <f>IF(ISNUMBER(Histórico!A803),Histórico!A803,U802)</f>
        <v>46324</v>
      </c>
    </row>
    <row r="804" spans="17:21" ht="22.95" customHeight="1">
      <c r="Q804" s="17">
        <f>IF(AND(ISNUMBER(Histórico!$A804),ISNUMBER(Histórico!B804),Histórico!B804&gt;0),Histórico!B804,Q803)</f>
        <v>157.42</v>
      </c>
      <c r="R804" s="17">
        <f>IF(AND(ISNUMBER(Histórico!$A804),ISNUMBER(Histórico!C804),Histórico!C804&gt;0),Histórico!C804,R803)</f>
        <v>64.73</v>
      </c>
      <c r="S804" s="17">
        <f>IF(AND(ISNUMBER(Histórico!$A804),ISNUMBER(Histórico!D804),Histórico!D804&gt;0),Histórico!D804,S803)</f>
        <v>389.05</v>
      </c>
      <c r="T804" s="18">
        <f>IF(AND(ISNUMBER(Histórico!$A804),ISNUMBER(Histórico!E804),Histórico!E804&gt;0),Histórico!E804,T803)</f>
        <v>5.3744</v>
      </c>
      <c r="U804" s="15">
        <f>IF(ISNUMBER(Histórico!A804),Histórico!A804,U803)</f>
        <v>46324</v>
      </c>
    </row>
    <row r="805" spans="17:21" ht="22.95" customHeight="1">
      <c r="Q805" s="17">
        <f>IF(AND(ISNUMBER(Histórico!$A805),ISNUMBER(Histórico!B805),Histórico!B805&gt;0),Histórico!B805,Q804)</f>
        <v>157.42</v>
      </c>
      <c r="R805" s="17">
        <f>IF(AND(ISNUMBER(Histórico!$A805),ISNUMBER(Histórico!C805),Histórico!C805&gt;0),Histórico!C805,R804)</f>
        <v>64.73</v>
      </c>
      <c r="S805" s="17">
        <f>IF(AND(ISNUMBER(Histórico!$A805),ISNUMBER(Histórico!D805),Histórico!D805&gt;0),Histórico!D805,S804)</f>
        <v>389.05</v>
      </c>
      <c r="T805" s="18">
        <f>IF(AND(ISNUMBER(Histórico!$A805),ISNUMBER(Histórico!E805),Histórico!E805&gt;0),Histórico!E805,T804)</f>
        <v>5.3744</v>
      </c>
      <c r="U805" s="15">
        <f>IF(ISNUMBER(Histórico!A805),Histórico!A805,U804)</f>
        <v>46324</v>
      </c>
    </row>
    <row r="806" spans="17:21" ht="22.95" customHeight="1">
      <c r="Q806" s="17">
        <f>IF(AND(ISNUMBER(Histórico!$A806),ISNUMBER(Histórico!B806),Histórico!B806&gt;0),Histórico!B806,Q805)</f>
        <v>157.42</v>
      </c>
      <c r="R806" s="17">
        <f>IF(AND(ISNUMBER(Histórico!$A806),ISNUMBER(Histórico!C806),Histórico!C806&gt;0),Histórico!C806,R805)</f>
        <v>64.73</v>
      </c>
      <c r="S806" s="17">
        <f>IF(AND(ISNUMBER(Histórico!$A806),ISNUMBER(Histórico!D806),Histórico!D806&gt;0),Histórico!D806,S805)</f>
        <v>389.05</v>
      </c>
      <c r="T806" s="18">
        <f>IF(AND(ISNUMBER(Histórico!$A806),ISNUMBER(Histórico!E806),Histórico!E806&gt;0),Histórico!E806,T805)</f>
        <v>5.3744</v>
      </c>
      <c r="U806" s="15">
        <f>IF(ISNUMBER(Histórico!A806),Histórico!A806,U805)</f>
        <v>46324</v>
      </c>
    </row>
    <row r="807" spans="17:21" ht="22.95" customHeight="1">
      <c r="Q807" s="17">
        <f>IF(AND(ISNUMBER(Histórico!$A807),ISNUMBER(Histórico!B807),Histórico!B807&gt;0),Histórico!B807,Q806)</f>
        <v>157.42</v>
      </c>
      <c r="R807" s="17">
        <f>IF(AND(ISNUMBER(Histórico!$A807),ISNUMBER(Histórico!C807),Histórico!C807&gt;0),Histórico!C807,R806)</f>
        <v>64.73</v>
      </c>
      <c r="S807" s="17">
        <f>IF(AND(ISNUMBER(Histórico!$A807),ISNUMBER(Histórico!D807),Histórico!D807&gt;0),Histórico!D807,S806)</f>
        <v>389.05</v>
      </c>
      <c r="T807" s="18">
        <f>IF(AND(ISNUMBER(Histórico!$A807),ISNUMBER(Histórico!E807),Histórico!E807&gt;0),Histórico!E807,T806)</f>
        <v>5.3744</v>
      </c>
      <c r="U807" s="15">
        <f>IF(ISNUMBER(Histórico!A807),Histórico!A807,U806)</f>
        <v>46324</v>
      </c>
    </row>
    <row r="808" spans="17:21" ht="22.95" customHeight="1">
      <c r="Q808" s="17">
        <f>IF(AND(ISNUMBER(Histórico!$A808),ISNUMBER(Histórico!B808),Histórico!B808&gt;0),Histórico!B808,Q807)</f>
        <v>157.42</v>
      </c>
      <c r="R808" s="17">
        <f>IF(AND(ISNUMBER(Histórico!$A808),ISNUMBER(Histórico!C808),Histórico!C808&gt;0),Histórico!C808,R807)</f>
        <v>64.73</v>
      </c>
      <c r="S808" s="17">
        <f>IF(AND(ISNUMBER(Histórico!$A808),ISNUMBER(Histórico!D808),Histórico!D808&gt;0),Histórico!D808,S807)</f>
        <v>389.05</v>
      </c>
      <c r="T808" s="18">
        <f>IF(AND(ISNUMBER(Histórico!$A808),ISNUMBER(Histórico!E808),Histórico!E808&gt;0),Histórico!E808,T807)</f>
        <v>5.3744</v>
      </c>
      <c r="U808" s="15">
        <f>IF(ISNUMBER(Histórico!A808),Histórico!A808,U807)</f>
        <v>46324</v>
      </c>
    </row>
    <row r="809" spans="17:21" ht="22.95" customHeight="1">
      <c r="Q809" s="17">
        <f>IF(AND(ISNUMBER(Histórico!$A809),ISNUMBER(Histórico!B809),Histórico!B809&gt;0),Histórico!B809,Q808)</f>
        <v>157.42</v>
      </c>
      <c r="R809" s="17">
        <f>IF(AND(ISNUMBER(Histórico!$A809),ISNUMBER(Histórico!C809),Histórico!C809&gt;0),Histórico!C809,R808)</f>
        <v>64.73</v>
      </c>
      <c r="S809" s="17">
        <f>IF(AND(ISNUMBER(Histórico!$A809),ISNUMBER(Histórico!D809),Histórico!D809&gt;0),Histórico!D809,S808)</f>
        <v>389.05</v>
      </c>
      <c r="T809" s="18">
        <f>IF(AND(ISNUMBER(Histórico!$A809),ISNUMBER(Histórico!E809),Histórico!E809&gt;0),Histórico!E809,T808)</f>
        <v>5.3744</v>
      </c>
      <c r="U809" s="15">
        <f>IF(ISNUMBER(Histórico!A809),Histórico!A809,U808)</f>
        <v>46324</v>
      </c>
    </row>
    <row r="810" spans="17:21" ht="22.95" customHeight="1">
      <c r="Q810" s="17">
        <f>IF(AND(ISNUMBER(Histórico!$A810),ISNUMBER(Histórico!B810),Histórico!B810&gt;0),Histórico!B810,Q809)</f>
        <v>157.42</v>
      </c>
      <c r="R810" s="17">
        <f>IF(AND(ISNUMBER(Histórico!$A810),ISNUMBER(Histórico!C810),Histórico!C810&gt;0),Histórico!C810,R809)</f>
        <v>64.73</v>
      </c>
      <c r="S810" s="17">
        <f>IF(AND(ISNUMBER(Histórico!$A810),ISNUMBER(Histórico!D810),Histórico!D810&gt;0),Histórico!D810,S809)</f>
        <v>389.05</v>
      </c>
      <c r="T810" s="18">
        <f>IF(AND(ISNUMBER(Histórico!$A810),ISNUMBER(Histórico!E810),Histórico!E810&gt;0),Histórico!E810,T809)</f>
        <v>5.3744</v>
      </c>
      <c r="U810" s="15">
        <f>IF(ISNUMBER(Histórico!A810),Histórico!A810,U809)</f>
        <v>46324</v>
      </c>
    </row>
    <row r="811" spans="17:21" ht="22.95" customHeight="1">
      <c r="Q811" s="17">
        <f>IF(AND(ISNUMBER(Histórico!$A811),ISNUMBER(Histórico!B811),Histórico!B811&gt;0),Histórico!B811,Q810)</f>
        <v>157.42</v>
      </c>
      <c r="R811" s="17">
        <f>IF(AND(ISNUMBER(Histórico!$A811),ISNUMBER(Histórico!C811),Histórico!C811&gt;0),Histórico!C811,R810)</f>
        <v>64.73</v>
      </c>
      <c r="S811" s="17">
        <f>IF(AND(ISNUMBER(Histórico!$A811),ISNUMBER(Histórico!D811),Histórico!D811&gt;0),Histórico!D811,S810)</f>
        <v>389.05</v>
      </c>
      <c r="T811" s="18">
        <f>IF(AND(ISNUMBER(Histórico!$A811),ISNUMBER(Histórico!E811),Histórico!E811&gt;0),Histórico!E811,T810)</f>
        <v>5.3744</v>
      </c>
      <c r="U811" s="15">
        <f>IF(ISNUMBER(Histórico!A811),Histórico!A811,U810)</f>
        <v>46324</v>
      </c>
    </row>
    <row r="812" spans="17:21" ht="22.95" customHeight="1">
      <c r="Q812" s="17">
        <f>IF(AND(ISNUMBER(Histórico!$A812),ISNUMBER(Histórico!B812),Histórico!B812&gt;0),Histórico!B812,Q811)</f>
        <v>157.42</v>
      </c>
      <c r="R812" s="17">
        <f>IF(AND(ISNUMBER(Histórico!$A812),ISNUMBER(Histórico!C812),Histórico!C812&gt;0),Histórico!C812,R811)</f>
        <v>64.73</v>
      </c>
      <c r="S812" s="17">
        <f>IF(AND(ISNUMBER(Histórico!$A812),ISNUMBER(Histórico!D812),Histórico!D812&gt;0),Histórico!D812,S811)</f>
        <v>389.05</v>
      </c>
      <c r="T812" s="18">
        <f>IF(AND(ISNUMBER(Histórico!$A812),ISNUMBER(Histórico!E812),Histórico!E812&gt;0),Histórico!E812,T811)</f>
        <v>5.3744</v>
      </c>
      <c r="U812" s="15">
        <f>IF(ISNUMBER(Histórico!A812),Histórico!A812,U811)</f>
        <v>46324</v>
      </c>
    </row>
    <row r="813" spans="17:21" ht="22.95" customHeight="1">
      <c r="Q813" s="17">
        <f>IF(AND(ISNUMBER(Histórico!$A813),ISNUMBER(Histórico!B813),Histórico!B813&gt;0),Histórico!B813,Q812)</f>
        <v>157.42</v>
      </c>
      <c r="R813" s="17">
        <f>IF(AND(ISNUMBER(Histórico!$A813),ISNUMBER(Histórico!C813),Histórico!C813&gt;0),Histórico!C813,R812)</f>
        <v>64.73</v>
      </c>
      <c r="S813" s="17">
        <f>IF(AND(ISNUMBER(Histórico!$A813),ISNUMBER(Histórico!D813),Histórico!D813&gt;0),Histórico!D813,S812)</f>
        <v>389.05</v>
      </c>
      <c r="T813" s="18">
        <f>IF(AND(ISNUMBER(Histórico!$A813),ISNUMBER(Histórico!E813),Histórico!E813&gt;0),Histórico!E813,T812)</f>
        <v>5.3744</v>
      </c>
      <c r="U813" s="15">
        <f>IF(ISNUMBER(Histórico!A813),Histórico!A813,U812)</f>
        <v>46324</v>
      </c>
    </row>
    <row r="814" spans="17:21" ht="22.95" customHeight="1">
      <c r="Q814" s="17">
        <f>IF(AND(ISNUMBER(Histórico!$A814),ISNUMBER(Histórico!B814),Histórico!B814&gt;0),Histórico!B814,Q813)</f>
        <v>157.42</v>
      </c>
      <c r="R814" s="17">
        <f>IF(AND(ISNUMBER(Histórico!$A814),ISNUMBER(Histórico!C814),Histórico!C814&gt;0),Histórico!C814,R813)</f>
        <v>64.73</v>
      </c>
      <c r="S814" s="17">
        <f>IF(AND(ISNUMBER(Histórico!$A814),ISNUMBER(Histórico!D814),Histórico!D814&gt;0),Histórico!D814,S813)</f>
        <v>389.05</v>
      </c>
      <c r="T814" s="18">
        <f>IF(AND(ISNUMBER(Histórico!$A814),ISNUMBER(Histórico!E814),Histórico!E814&gt;0),Histórico!E814,T813)</f>
        <v>5.3744</v>
      </c>
      <c r="U814" s="15">
        <f>IF(ISNUMBER(Histórico!A814),Histórico!A814,U813)</f>
        <v>46324</v>
      </c>
    </row>
    <row r="815" spans="17:21" ht="22.95" customHeight="1">
      <c r="Q815" s="17">
        <f>IF(AND(ISNUMBER(Histórico!$A815),ISNUMBER(Histórico!B815),Histórico!B815&gt;0),Histórico!B815,Q814)</f>
        <v>157.42</v>
      </c>
      <c r="R815" s="17">
        <f>IF(AND(ISNUMBER(Histórico!$A815),ISNUMBER(Histórico!C815),Histórico!C815&gt;0),Histórico!C815,R814)</f>
        <v>64.73</v>
      </c>
      <c r="S815" s="17">
        <f>IF(AND(ISNUMBER(Histórico!$A815),ISNUMBER(Histórico!D815),Histórico!D815&gt;0),Histórico!D815,S814)</f>
        <v>389.05</v>
      </c>
      <c r="T815" s="18">
        <f>IF(AND(ISNUMBER(Histórico!$A815),ISNUMBER(Histórico!E815),Histórico!E815&gt;0),Histórico!E815,T814)</f>
        <v>5.3744</v>
      </c>
      <c r="U815" s="15">
        <f>IF(ISNUMBER(Histórico!A815),Histórico!A815,U814)</f>
        <v>46324</v>
      </c>
    </row>
    <row r="816" spans="17:21" ht="22.95" customHeight="1">
      <c r="Q816" s="17">
        <f>IF(AND(ISNUMBER(Histórico!$A816),ISNUMBER(Histórico!B816),Histórico!B816&gt;0),Histórico!B816,Q815)</f>
        <v>157.42</v>
      </c>
      <c r="R816" s="17">
        <f>IF(AND(ISNUMBER(Histórico!$A816),ISNUMBER(Histórico!C816),Histórico!C816&gt;0),Histórico!C816,R815)</f>
        <v>64.73</v>
      </c>
      <c r="S816" s="17">
        <f>IF(AND(ISNUMBER(Histórico!$A816),ISNUMBER(Histórico!D816),Histórico!D816&gt;0),Histórico!D816,S815)</f>
        <v>389.05</v>
      </c>
      <c r="T816" s="18">
        <f>IF(AND(ISNUMBER(Histórico!$A816),ISNUMBER(Histórico!E816),Histórico!E816&gt;0),Histórico!E816,T815)</f>
        <v>5.3744</v>
      </c>
      <c r="U816" s="15">
        <f>IF(ISNUMBER(Histórico!A816),Histórico!A816,U815)</f>
        <v>46324</v>
      </c>
    </row>
    <row r="817" spans="17:21" ht="22.95" customHeight="1">
      <c r="Q817" s="17">
        <f>IF(AND(ISNUMBER(Histórico!$A817),ISNUMBER(Histórico!B817),Histórico!B817&gt;0),Histórico!B817,Q816)</f>
        <v>157.42</v>
      </c>
      <c r="R817" s="17">
        <f>IF(AND(ISNUMBER(Histórico!$A817),ISNUMBER(Histórico!C817),Histórico!C817&gt;0),Histórico!C817,R816)</f>
        <v>64.73</v>
      </c>
      <c r="S817" s="17">
        <f>IF(AND(ISNUMBER(Histórico!$A817),ISNUMBER(Histórico!D817),Histórico!D817&gt;0),Histórico!D817,S816)</f>
        <v>389.05</v>
      </c>
      <c r="T817" s="18">
        <f>IF(AND(ISNUMBER(Histórico!$A817),ISNUMBER(Histórico!E817),Histórico!E817&gt;0),Histórico!E817,T816)</f>
        <v>5.3744</v>
      </c>
      <c r="U817" s="15">
        <f>IF(ISNUMBER(Histórico!A817),Histórico!A817,U816)</f>
        <v>46324</v>
      </c>
    </row>
    <row r="818" spans="17:21" ht="22.95" customHeight="1">
      <c r="Q818" s="17">
        <f>IF(AND(ISNUMBER(Histórico!$A818),ISNUMBER(Histórico!B818),Histórico!B818&gt;0),Histórico!B818,Q817)</f>
        <v>157.42</v>
      </c>
      <c r="R818" s="17">
        <f>IF(AND(ISNUMBER(Histórico!$A818),ISNUMBER(Histórico!C818),Histórico!C818&gt;0),Histórico!C818,R817)</f>
        <v>64.73</v>
      </c>
      <c r="S818" s="17">
        <f>IF(AND(ISNUMBER(Histórico!$A818),ISNUMBER(Histórico!D818),Histórico!D818&gt;0),Histórico!D818,S817)</f>
        <v>389.05</v>
      </c>
      <c r="T818" s="18">
        <f>IF(AND(ISNUMBER(Histórico!$A818),ISNUMBER(Histórico!E818),Histórico!E818&gt;0),Histórico!E818,T817)</f>
        <v>5.3744</v>
      </c>
      <c r="U818" s="15">
        <f>IF(ISNUMBER(Histórico!A818),Histórico!A818,U817)</f>
        <v>46324</v>
      </c>
    </row>
    <row r="819" spans="17:21" ht="22.95" customHeight="1">
      <c r="Q819" s="17">
        <f>IF(AND(ISNUMBER(Histórico!$A819),ISNUMBER(Histórico!B819),Histórico!B819&gt;0),Histórico!B819,Q818)</f>
        <v>157.42</v>
      </c>
      <c r="R819" s="17">
        <f>IF(AND(ISNUMBER(Histórico!$A819),ISNUMBER(Histórico!C819),Histórico!C819&gt;0),Histórico!C819,R818)</f>
        <v>64.73</v>
      </c>
      <c r="S819" s="17">
        <f>IF(AND(ISNUMBER(Histórico!$A819),ISNUMBER(Histórico!D819),Histórico!D819&gt;0),Histórico!D819,S818)</f>
        <v>389.05</v>
      </c>
      <c r="T819" s="18">
        <f>IF(AND(ISNUMBER(Histórico!$A819),ISNUMBER(Histórico!E819),Histórico!E819&gt;0),Histórico!E819,T818)</f>
        <v>5.3744</v>
      </c>
      <c r="U819" s="15">
        <f>IF(ISNUMBER(Histórico!A819),Histórico!A819,U818)</f>
        <v>46324</v>
      </c>
    </row>
    <row r="820" spans="17:21" ht="22.95" customHeight="1">
      <c r="Q820" s="17">
        <f>IF(AND(ISNUMBER(Histórico!$A820),ISNUMBER(Histórico!B820),Histórico!B820&gt;0),Histórico!B820,Q819)</f>
        <v>157.42</v>
      </c>
      <c r="R820" s="17">
        <f>IF(AND(ISNUMBER(Histórico!$A820),ISNUMBER(Histórico!C820),Histórico!C820&gt;0),Histórico!C820,R819)</f>
        <v>64.73</v>
      </c>
      <c r="S820" s="17">
        <f>IF(AND(ISNUMBER(Histórico!$A820),ISNUMBER(Histórico!D820),Histórico!D820&gt;0),Histórico!D820,S819)</f>
        <v>389.05</v>
      </c>
      <c r="T820" s="18">
        <f>IF(AND(ISNUMBER(Histórico!$A820),ISNUMBER(Histórico!E820),Histórico!E820&gt;0),Histórico!E820,T819)</f>
        <v>5.3744</v>
      </c>
      <c r="U820" s="15">
        <f>IF(ISNUMBER(Histórico!A820),Histórico!A820,U819)</f>
        <v>46324</v>
      </c>
    </row>
    <row r="821" spans="17:21" ht="22.95" customHeight="1">
      <c r="Q821" s="17">
        <f>IF(AND(ISNUMBER(Histórico!$A821),ISNUMBER(Histórico!B821),Histórico!B821&gt;0),Histórico!B821,Q820)</f>
        <v>157.42</v>
      </c>
      <c r="R821" s="17">
        <f>IF(AND(ISNUMBER(Histórico!$A821),ISNUMBER(Histórico!C821),Histórico!C821&gt;0),Histórico!C821,R820)</f>
        <v>64.73</v>
      </c>
      <c r="S821" s="17">
        <f>IF(AND(ISNUMBER(Histórico!$A821),ISNUMBER(Histórico!D821),Histórico!D821&gt;0),Histórico!D821,S820)</f>
        <v>389.05</v>
      </c>
      <c r="T821" s="18">
        <f>IF(AND(ISNUMBER(Histórico!$A821),ISNUMBER(Histórico!E821),Histórico!E821&gt;0),Histórico!E821,T820)</f>
        <v>5.3744</v>
      </c>
      <c r="U821" s="15">
        <f>IF(ISNUMBER(Histórico!A821),Histórico!A821,U820)</f>
        <v>46324</v>
      </c>
    </row>
    <row r="822" spans="17:21" ht="22.95" customHeight="1">
      <c r="Q822" s="17">
        <f>IF(AND(ISNUMBER(Histórico!$A822),ISNUMBER(Histórico!B822),Histórico!B822&gt;0),Histórico!B822,Q821)</f>
        <v>157.42</v>
      </c>
      <c r="R822" s="17">
        <f>IF(AND(ISNUMBER(Histórico!$A822),ISNUMBER(Histórico!C822),Histórico!C822&gt;0),Histórico!C822,R821)</f>
        <v>64.73</v>
      </c>
      <c r="S822" s="17">
        <f>IF(AND(ISNUMBER(Histórico!$A822),ISNUMBER(Histórico!D822),Histórico!D822&gt;0),Histórico!D822,S821)</f>
        <v>389.05</v>
      </c>
      <c r="T822" s="18">
        <f>IF(AND(ISNUMBER(Histórico!$A822),ISNUMBER(Histórico!E822),Histórico!E822&gt;0),Histórico!E822,T821)</f>
        <v>5.3744</v>
      </c>
      <c r="U822" s="15">
        <f>IF(ISNUMBER(Histórico!A822),Histórico!A822,U821)</f>
        <v>46324</v>
      </c>
    </row>
    <row r="823" spans="17:21" ht="22.95" customHeight="1">
      <c r="Q823" s="17">
        <f>IF(AND(ISNUMBER(Histórico!$A823),ISNUMBER(Histórico!B823),Histórico!B823&gt;0),Histórico!B823,Q822)</f>
        <v>157.42</v>
      </c>
      <c r="R823" s="17">
        <f>IF(AND(ISNUMBER(Histórico!$A823),ISNUMBER(Histórico!C823),Histórico!C823&gt;0),Histórico!C823,R822)</f>
        <v>64.73</v>
      </c>
      <c r="S823" s="17">
        <f>IF(AND(ISNUMBER(Histórico!$A823),ISNUMBER(Histórico!D823),Histórico!D823&gt;0),Histórico!D823,S822)</f>
        <v>389.05</v>
      </c>
      <c r="T823" s="18">
        <f>IF(AND(ISNUMBER(Histórico!$A823),ISNUMBER(Histórico!E823),Histórico!E823&gt;0),Histórico!E823,T822)</f>
        <v>5.3744</v>
      </c>
      <c r="U823" s="15">
        <f>IF(ISNUMBER(Histórico!A823),Histórico!A823,U822)</f>
        <v>46324</v>
      </c>
    </row>
    <row r="824" spans="17:21" ht="22.95" customHeight="1">
      <c r="Q824" s="17">
        <f>IF(AND(ISNUMBER(Histórico!$A824),ISNUMBER(Histórico!B824),Histórico!B824&gt;0),Histórico!B824,Q823)</f>
        <v>157.42</v>
      </c>
      <c r="R824" s="17">
        <f>IF(AND(ISNUMBER(Histórico!$A824),ISNUMBER(Histórico!C824),Histórico!C824&gt;0),Histórico!C824,R823)</f>
        <v>64.73</v>
      </c>
      <c r="S824" s="17">
        <f>IF(AND(ISNUMBER(Histórico!$A824),ISNUMBER(Histórico!D824),Histórico!D824&gt;0),Histórico!D824,S823)</f>
        <v>389.05</v>
      </c>
      <c r="T824" s="18">
        <f>IF(AND(ISNUMBER(Histórico!$A824),ISNUMBER(Histórico!E824),Histórico!E824&gt;0),Histórico!E824,T823)</f>
        <v>5.3744</v>
      </c>
      <c r="U824" s="15">
        <f>IF(ISNUMBER(Histórico!A824),Histórico!A824,U823)</f>
        <v>46324</v>
      </c>
    </row>
    <row r="825" spans="17:21" ht="22.95" customHeight="1">
      <c r="Q825" s="17">
        <f>IF(AND(ISNUMBER(Histórico!$A825),ISNUMBER(Histórico!B825),Histórico!B825&gt;0),Histórico!B825,Q824)</f>
        <v>157.42</v>
      </c>
      <c r="R825" s="17">
        <f>IF(AND(ISNUMBER(Histórico!$A825),ISNUMBER(Histórico!C825),Histórico!C825&gt;0),Histórico!C825,R824)</f>
        <v>64.73</v>
      </c>
      <c r="S825" s="17">
        <f>IF(AND(ISNUMBER(Histórico!$A825),ISNUMBER(Histórico!D825),Histórico!D825&gt;0),Histórico!D825,S824)</f>
        <v>389.05</v>
      </c>
      <c r="T825" s="18">
        <f>IF(AND(ISNUMBER(Histórico!$A825),ISNUMBER(Histórico!E825),Histórico!E825&gt;0),Histórico!E825,T824)</f>
        <v>5.3744</v>
      </c>
      <c r="U825" s="15">
        <f>IF(ISNUMBER(Histórico!A825),Histórico!A825,U824)</f>
        <v>46324</v>
      </c>
    </row>
    <row r="826" spans="17:21" ht="22.95" customHeight="1">
      <c r="Q826" s="17">
        <f>IF(AND(ISNUMBER(Histórico!$A826),ISNUMBER(Histórico!B826),Histórico!B826&gt;0),Histórico!B826,Q825)</f>
        <v>157.42</v>
      </c>
      <c r="R826" s="17">
        <f>IF(AND(ISNUMBER(Histórico!$A826),ISNUMBER(Histórico!C826),Histórico!C826&gt;0),Histórico!C826,R825)</f>
        <v>64.73</v>
      </c>
      <c r="S826" s="17">
        <f>IF(AND(ISNUMBER(Histórico!$A826),ISNUMBER(Histórico!D826),Histórico!D826&gt;0),Histórico!D826,S825)</f>
        <v>389.05</v>
      </c>
      <c r="T826" s="18">
        <f>IF(AND(ISNUMBER(Histórico!$A826),ISNUMBER(Histórico!E826),Histórico!E826&gt;0),Histórico!E826,T825)</f>
        <v>5.3744</v>
      </c>
      <c r="U826" s="15">
        <f>IF(ISNUMBER(Histórico!A826),Histórico!A826,U825)</f>
        <v>46324</v>
      </c>
    </row>
    <row r="827" spans="17:21" ht="22.95" customHeight="1">
      <c r="Q827" s="17">
        <f>IF(AND(ISNUMBER(Histórico!$A827),ISNUMBER(Histórico!B827),Histórico!B827&gt;0),Histórico!B827,Q826)</f>
        <v>157.42</v>
      </c>
      <c r="R827" s="17">
        <f>IF(AND(ISNUMBER(Histórico!$A827),ISNUMBER(Histórico!C827),Histórico!C827&gt;0),Histórico!C827,R826)</f>
        <v>64.73</v>
      </c>
      <c r="S827" s="17">
        <f>IF(AND(ISNUMBER(Histórico!$A827),ISNUMBER(Histórico!D827),Histórico!D827&gt;0),Histórico!D827,S826)</f>
        <v>389.05</v>
      </c>
      <c r="T827" s="18">
        <f>IF(AND(ISNUMBER(Histórico!$A827),ISNUMBER(Histórico!E827),Histórico!E827&gt;0),Histórico!E827,T826)</f>
        <v>5.3744</v>
      </c>
      <c r="U827" s="15">
        <f>IF(ISNUMBER(Histórico!A827),Histórico!A827,U826)</f>
        <v>46324</v>
      </c>
    </row>
    <row r="828" spans="17:21" ht="22.95" customHeight="1">
      <c r="Q828" s="17">
        <f>IF(AND(ISNUMBER(Histórico!$A828),ISNUMBER(Histórico!B828),Histórico!B828&gt;0),Histórico!B828,Q827)</f>
        <v>157.42</v>
      </c>
      <c r="R828" s="17">
        <f>IF(AND(ISNUMBER(Histórico!$A828),ISNUMBER(Histórico!C828),Histórico!C828&gt;0),Histórico!C828,R827)</f>
        <v>64.73</v>
      </c>
      <c r="S828" s="17">
        <f>IF(AND(ISNUMBER(Histórico!$A828),ISNUMBER(Histórico!D828),Histórico!D828&gt;0),Histórico!D828,S827)</f>
        <v>389.05</v>
      </c>
      <c r="T828" s="18">
        <f>IF(AND(ISNUMBER(Histórico!$A828),ISNUMBER(Histórico!E828),Histórico!E828&gt;0),Histórico!E828,T827)</f>
        <v>5.3744</v>
      </c>
      <c r="U828" s="15">
        <f>IF(ISNUMBER(Histórico!A828),Histórico!A828,U827)</f>
        <v>46324</v>
      </c>
    </row>
    <row r="829" spans="17:21" ht="22.95" customHeight="1">
      <c r="Q829" s="17">
        <f>IF(AND(ISNUMBER(Histórico!$A829),ISNUMBER(Histórico!B829),Histórico!B829&gt;0),Histórico!B829,Q828)</f>
        <v>157.42</v>
      </c>
      <c r="R829" s="17">
        <f>IF(AND(ISNUMBER(Histórico!$A829),ISNUMBER(Histórico!C829),Histórico!C829&gt;0),Histórico!C829,R828)</f>
        <v>64.73</v>
      </c>
      <c r="S829" s="17">
        <f>IF(AND(ISNUMBER(Histórico!$A829),ISNUMBER(Histórico!D829),Histórico!D829&gt;0),Histórico!D829,S828)</f>
        <v>389.05</v>
      </c>
      <c r="T829" s="18">
        <f>IF(AND(ISNUMBER(Histórico!$A829),ISNUMBER(Histórico!E829),Histórico!E829&gt;0),Histórico!E829,T828)</f>
        <v>5.3744</v>
      </c>
      <c r="U829" s="15">
        <f>IF(ISNUMBER(Histórico!A829),Histórico!A829,U828)</f>
        <v>46324</v>
      </c>
    </row>
    <row r="830" spans="17:21" ht="22.95" customHeight="1">
      <c r="Q830" s="17">
        <f>IF(AND(ISNUMBER(Histórico!$A830),ISNUMBER(Histórico!B830),Histórico!B830&gt;0),Histórico!B830,Q829)</f>
        <v>157.42</v>
      </c>
      <c r="R830" s="17">
        <f>IF(AND(ISNUMBER(Histórico!$A830),ISNUMBER(Histórico!C830),Histórico!C830&gt;0),Histórico!C830,R829)</f>
        <v>64.73</v>
      </c>
      <c r="S830" s="17">
        <f>IF(AND(ISNUMBER(Histórico!$A830),ISNUMBER(Histórico!D830),Histórico!D830&gt;0),Histórico!D830,S829)</f>
        <v>389.05</v>
      </c>
      <c r="T830" s="18">
        <f>IF(AND(ISNUMBER(Histórico!$A830),ISNUMBER(Histórico!E830),Histórico!E830&gt;0),Histórico!E830,T829)</f>
        <v>5.3744</v>
      </c>
      <c r="U830" s="15">
        <f>IF(ISNUMBER(Histórico!A830),Histórico!A830,U829)</f>
        <v>46324</v>
      </c>
    </row>
    <row r="831" spans="17:21" ht="22.95" customHeight="1">
      <c r="Q831" s="17">
        <f>IF(AND(ISNUMBER(Histórico!$A831),ISNUMBER(Histórico!B831),Histórico!B831&gt;0),Histórico!B831,Q830)</f>
        <v>157.42</v>
      </c>
      <c r="R831" s="17">
        <f>IF(AND(ISNUMBER(Histórico!$A831),ISNUMBER(Histórico!C831),Histórico!C831&gt;0),Histórico!C831,R830)</f>
        <v>64.73</v>
      </c>
      <c r="S831" s="17">
        <f>IF(AND(ISNUMBER(Histórico!$A831),ISNUMBER(Histórico!D831),Histórico!D831&gt;0),Histórico!D831,S830)</f>
        <v>389.05</v>
      </c>
      <c r="T831" s="18">
        <f>IF(AND(ISNUMBER(Histórico!$A831),ISNUMBER(Histórico!E831),Histórico!E831&gt;0),Histórico!E831,T830)</f>
        <v>5.3744</v>
      </c>
      <c r="U831" s="15">
        <f>IF(ISNUMBER(Histórico!A831),Histórico!A831,U830)</f>
        <v>46324</v>
      </c>
    </row>
    <row r="832" spans="17:21" ht="22.95" customHeight="1">
      <c r="Q832" s="17">
        <f>IF(AND(ISNUMBER(Histórico!$A832),ISNUMBER(Histórico!B832),Histórico!B832&gt;0),Histórico!B832,Q831)</f>
        <v>157.42</v>
      </c>
      <c r="R832" s="17">
        <f>IF(AND(ISNUMBER(Histórico!$A832),ISNUMBER(Histórico!C832),Histórico!C832&gt;0),Histórico!C832,R831)</f>
        <v>64.73</v>
      </c>
      <c r="S832" s="17">
        <f>IF(AND(ISNUMBER(Histórico!$A832),ISNUMBER(Histórico!D832),Histórico!D832&gt;0),Histórico!D832,S831)</f>
        <v>389.05</v>
      </c>
      <c r="T832" s="18">
        <f>IF(AND(ISNUMBER(Histórico!$A832),ISNUMBER(Histórico!E832),Histórico!E832&gt;0),Histórico!E832,T831)</f>
        <v>5.3744</v>
      </c>
      <c r="U832" s="15">
        <f>IF(ISNUMBER(Histórico!A832),Histórico!A832,U831)</f>
        <v>46324</v>
      </c>
    </row>
    <row r="833" spans="17:21" ht="22.95" customHeight="1">
      <c r="Q833" s="17">
        <f>IF(AND(ISNUMBER(Histórico!$A833),ISNUMBER(Histórico!B833),Histórico!B833&gt;0),Histórico!B833,Q832)</f>
        <v>157.42</v>
      </c>
      <c r="R833" s="17">
        <f>IF(AND(ISNUMBER(Histórico!$A833),ISNUMBER(Histórico!C833),Histórico!C833&gt;0),Histórico!C833,R832)</f>
        <v>64.73</v>
      </c>
      <c r="S833" s="17">
        <f>IF(AND(ISNUMBER(Histórico!$A833),ISNUMBER(Histórico!D833),Histórico!D833&gt;0),Histórico!D833,S832)</f>
        <v>389.05</v>
      </c>
      <c r="T833" s="18">
        <f>IF(AND(ISNUMBER(Histórico!$A833),ISNUMBER(Histórico!E833),Histórico!E833&gt;0),Histórico!E833,T832)</f>
        <v>5.3744</v>
      </c>
      <c r="U833" s="15">
        <f>IF(ISNUMBER(Histórico!A833),Histórico!A833,U832)</f>
        <v>46324</v>
      </c>
    </row>
    <row r="834" spans="17:21" ht="22.95" customHeight="1">
      <c r="Q834" s="17">
        <f>IF(AND(ISNUMBER(Histórico!$A834),ISNUMBER(Histórico!B834),Histórico!B834&gt;0),Histórico!B834,Q833)</f>
        <v>157.42</v>
      </c>
      <c r="R834" s="17">
        <f>IF(AND(ISNUMBER(Histórico!$A834),ISNUMBER(Histórico!C834),Histórico!C834&gt;0),Histórico!C834,R833)</f>
        <v>64.73</v>
      </c>
      <c r="S834" s="17">
        <f>IF(AND(ISNUMBER(Histórico!$A834),ISNUMBER(Histórico!D834),Histórico!D834&gt;0),Histórico!D834,S833)</f>
        <v>389.05</v>
      </c>
      <c r="T834" s="18">
        <f>IF(AND(ISNUMBER(Histórico!$A834),ISNUMBER(Histórico!E834),Histórico!E834&gt;0),Histórico!E834,T833)</f>
        <v>5.3744</v>
      </c>
      <c r="U834" s="15">
        <f>IF(ISNUMBER(Histórico!A834),Histórico!A834,U833)</f>
        <v>46324</v>
      </c>
    </row>
    <row r="835" spans="17:21" ht="22.95" customHeight="1">
      <c r="Q835" s="17">
        <f>IF(AND(ISNUMBER(Histórico!$A835),ISNUMBER(Histórico!B835),Histórico!B835&gt;0),Histórico!B835,Q834)</f>
        <v>157.42</v>
      </c>
      <c r="R835" s="17">
        <f>IF(AND(ISNUMBER(Histórico!$A835),ISNUMBER(Histórico!C835),Histórico!C835&gt;0),Histórico!C835,R834)</f>
        <v>64.73</v>
      </c>
      <c r="S835" s="17">
        <f>IF(AND(ISNUMBER(Histórico!$A835),ISNUMBER(Histórico!D835),Histórico!D835&gt;0),Histórico!D835,S834)</f>
        <v>389.05</v>
      </c>
      <c r="T835" s="18">
        <f>IF(AND(ISNUMBER(Histórico!$A835),ISNUMBER(Histórico!E835),Histórico!E835&gt;0),Histórico!E835,T834)</f>
        <v>5.3744</v>
      </c>
      <c r="U835" s="15">
        <f>IF(ISNUMBER(Histórico!A835),Histórico!A835,U834)</f>
        <v>46324</v>
      </c>
    </row>
    <row r="836" spans="17:21" ht="22.95" customHeight="1">
      <c r="Q836" s="17">
        <f>IF(AND(ISNUMBER(Histórico!$A836),ISNUMBER(Histórico!B836),Histórico!B836&gt;0),Histórico!B836,Q835)</f>
        <v>157.42</v>
      </c>
      <c r="R836" s="17">
        <f>IF(AND(ISNUMBER(Histórico!$A836),ISNUMBER(Histórico!C836),Histórico!C836&gt;0),Histórico!C836,R835)</f>
        <v>64.73</v>
      </c>
      <c r="S836" s="17">
        <f>IF(AND(ISNUMBER(Histórico!$A836),ISNUMBER(Histórico!D836),Histórico!D836&gt;0),Histórico!D836,S835)</f>
        <v>389.05</v>
      </c>
      <c r="T836" s="18">
        <f>IF(AND(ISNUMBER(Histórico!$A836),ISNUMBER(Histórico!E836),Histórico!E836&gt;0),Histórico!E836,T835)</f>
        <v>5.3744</v>
      </c>
      <c r="U836" s="15">
        <f>IF(ISNUMBER(Histórico!A836),Histórico!A836,U835)</f>
        <v>46324</v>
      </c>
    </row>
    <row r="837" spans="17:21" ht="22.95" customHeight="1">
      <c r="Q837" s="17">
        <f>IF(AND(ISNUMBER(Histórico!$A837),ISNUMBER(Histórico!B837),Histórico!B837&gt;0),Histórico!B837,Q836)</f>
        <v>157.42</v>
      </c>
      <c r="R837" s="17">
        <f>IF(AND(ISNUMBER(Histórico!$A837),ISNUMBER(Histórico!C837),Histórico!C837&gt;0),Histórico!C837,R836)</f>
        <v>64.73</v>
      </c>
      <c r="S837" s="17">
        <f>IF(AND(ISNUMBER(Histórico!$A837),ISNUMBER(Histórico!D837),Histórico!D837&gt;0),Histórico!D837,S836)</f>
        <v>389.05</v>
      </c>
      <c r="T837" s="18">
        <f>IF(AND(ISNUMBER(Histórico!$A837),ISNUMBER(Histórico!E837),Histórico!E837&gt;0),Histórico!E837,T836)</f>
        <v>5.3744</v>
      </c>
      <c r="U837" s="15">
        <f>IF(ISNUMBER(Histórico!A837),Histórico!A837,U836)</f>
        <v>46324</v>
      </c>
    </row>
    <row r="838" spans="17:21" ht="22.95" customHeight="1">
      <c r="Q838" s="17">
        <f>IF(AND(ISNUMBER(Histórico!$A838),ISNUMBER(Histórico!B838),Histórico!B838&gt;0),Histórico!B838,Q837)</f>
        <v>157.42</v>
      </c>
      <c r="R838" s="17">
        <f>IF(AND(ISNUMBER(Histórico!$A838),ISNUMBER(Histórico!C838),Histórico!C838&gt;0),Histórico!C838,R837)</f>
        <v>64.73</v>
      </c>
      <c r="S838" s="17">
        <f>IF(AND(ISNUMBER(Histórico!$A838),ISNUMBER(Histórico!D838),Histórico!D838&gt;0),Histórico!D838,S837)</f>
        <v>389.05</v>
      </c>
      <c r="T838" s="18">
        <f>IF(AND(ISNUMBER(Histórico!$A838),ISNUMBER(Histórico!E838),Histórico!E838&gt;0),Histórico!E838,T837)</f>
        <v>5.3744</v>
      </c>
      <c r="U838" s="15">
        <f>IF(ISNUMBER(Histórico!A838),Histórico!A838,U837)</f>
        <v>46324</v>
      </c>
    </row>
    <row r="839" spans="17:21" ht="22.95" customHeight="1">
      <c r="Q839" s="17">
        <f>IF(AND(ISNUMBER(Histórico!$A839),ISNUMBER(Histórico!B839),Histórico!B839&gt;0),Histórico!B839,Q838)</f>
        <v>157.42</v>
      </c>
      <c r="R839" s="17">
        <f>IF(AND(ISNUMBER(Histórico!$A839),ISNUMBER(Histórico!C839),Histórico!C839&gt;0),Histórico!C839,R838)</f>
        <v>64.73</v>
      </c>
      <c r="S839" s="17">
        <f>IF(AND(ISNUMBER(Histórico!$A839),ISNUMBER(Histórico!D839),Histórico!D839&gt;0),Histórico!D839,S838)</f>
        <v>389.05</v>
      </c>
      <c r="T839" s="18">
        <f>IF(AND(ISNUMBER(Histórico!$A839),ISNUMBER(Histórico!E839),Histórico!E839&gt;0),Histórico!E839,T838)</f>
        <v>5.3744</v>
      </c>
      <c r="U839" s="15">
        <f>IF(ISNUMBER(Histórico!A839),Histórico!A839,U838)</f>
        <v>46324</v>
      </c>
    </row>
    <row r="840" spans="17:21" ht="22.95" customHeight="1">
      <c r="Q840" s="17">
        <f>IF(AND(ISNUMBER(Histórico!$A840),ISNUMBER(Histórico!B840),Histórico!B840&gt;0),Histórico!B840,Q839)</f>
        <v>157.42</v>
      </c>
      <c r="R840" s="17">
        <f>IF(AND(ISNUMBER(Histórico!$A840),ISNUMBER(Histórico!C840),Histórico!C840&gt;0),Histórico!C840,R839)</f>
        <v>64.73</v>
      </c>
      <c r="S840" s="17">
        <f>IF(AND(ISNUMBER(Histórico!$A840),ISNUMBER(Histórico!D840),Histórico!D840&gt;0),Histórico!D840,S839)</f>
        <v>389.05</v>
      </c>
      <c r="T840" s="18">
        <f>IF(AND(ISNUMBER(Histórico!$A840),ISNUMBER(Histórico!E840),Histórico!E840&gt;0),Histórico!E840,T839)</f>
        <v>5.3744</v>
      </c>
      <c r="U840" s="15">
        <f>IF(ISNUMBER(Histórico!A840),Histórico!A840,U839)</f>
        <v>46324</v>
      </c>
    </row>
    <row r="841" spans="17:21" ht="22.95" customHeight="1">
      <c r="Q841" s="17">
        <f>IF(AND(ISNUMBER(Histórico!$A841),ISNUMBER(Histórico!B841),Histórico!B841&gt;0),Histórico!B841,Q840)</f>
        <v>157.42</v>
      </c>
      <c r="R841" s="17">
        <f>IF(AND(ISNUMBER(Histórico!$A841),ISNUMBER(Histórico!C841),Histórico!C841&gt;0),Histórico!C841,R840)</f>
        <v>64.73</v>
      </c>
      <c r="S841" s="17">
        <f>IF(AND(ISNUMBER(Histórico!$A841),ISNUMBER(Histórico!D841),Histórico!D841&gt;0),Histórico!D841,S840)</f>
        <v>389.05</v>
      </c>
      <c r="T841" s="18">
        <f>IF(AND(ISNUMBER(Histórico!$A841),ISNUMBER(Histórico!E841),Histórico!E841&gt;0),Histórico!E841,T840)</f>
        <v>5.3744</v>
      </c>
      <c r="U841" s="15">
        <f>IF(ISNUMBER(Histórico!A841),Histórico!A841,U840)</f>
        <v>46324</v>
      </c>
    </row>
    <row r="842" spans="17:21" ht="22.95" customHeight="1">
      <c r="Q842" s="17">
        <f>IF(AND(ISNUMBER(Histórico!$A842),ISNUMBER(Histórico!B842),Histórico!B842&gt;0),Histórico!B842,Q841)</f>
        <v>157.42</v>
      </c>
      <c r="R842" s="17">
        <f>IF(AND(ISNUMBER(Histórico!$A842),ISNUMBER(Histórico!C842),Histórico!C842&gt;0),Histórico!C842,R841)</f>
        <v>64.73</v>
      </c>
      <c r="S842" s="17">
        <f>IF(AND(ISNUMBER(Histórico!$A842),ISNUMBER(Histórico!D842),Histórico!D842&gt;0),Histórico!D842,S841)</f>
        <v>389.05</v>
      </c>
      <c r="T842" s="18">
        <f>IF(AND(ISNUMBER(Histórico!$A842),ISNUMBER(Histórico!E842),Histórico!E842&gt;0),Histórico!E842,T841)</f>
        <v>5.3744</v>
      </c>
      <c r="U842" s="15">
        <f>IF(ISNUMBER(Histórico!A842),Histórico!A842,U841)</f>
        <v>46324</v>
      </c>
    </row>
    <row r="843" spans="17:21" ht="22.95" customHeight="1">
      <c r="Q843" s="17">
        <f>IF(AND(ISNUMBER(Histórico!$A843),ISNUMBER(Histórico!B843),Histórico!B843&gt;0),Histórico!B843,Q842)</f>
        <v>157.42</v>
      </c>
      <c r="R843" s="17">
        <f>IF(AND(ISNUMBER(Histórico!$A843),ISNUMBER(Histórico!C843),Histórico!C843&gt;0),Histórico!C843,R842)</f>
        <v>64.73</v>
      </c>
      <c r="S843" s="17">
        <f>IF(AND(ISNUMBER(Histórico!$A843),ISNUMBER(Histórico!D843),Histórico!D843&gt;0),Histórico!D843,S842)</f>
        <v>389.05</v>
      </c>
      <c r="T843" s="18">
        <f>IF(AND(ISNUMBER(Histórico!$A843),ISNUMBER(Histórico!E843),Histórico!E843&gt;0),Histórico!E843,T842)</f>
        <v>5.3744</v>
      </c>
      <c r="U843" s="15">
        <f>IF(ISNUMBER(Histórico!A843),Histórico!A843,U842)</f>
        <v>46324</v>
      </c>
    </row>
    <row r="844" spans="17:21" ht="22.95" customHeight="1">
      <c r="Q844" s="17">
        <f>IF(AND(ISNUMBER(Histórico!$A844),ISNUMBER(Histórico!B844),Histórico!B844&gt;0),Histórico!B844,Q843)</f>
        <v>157.42</v>
      </c>
      <c r="R844" s="17">
        <f>IF(AND(ISNUMBER(Histórico!$A844),ISNUMBER(Histórico!C844),Histórico!C844&gt;0),Histórico!C844,R843)</f>
        <v>64.73</v>
      </c>
      <c r="S844" s="17">
        <f>IF(AND(ISNUMBER(Histórico!$A844),ISNUMBER(Histórico!D844),Histórico!D844&gt;0),Histórico!D844,S843)</f>
        <v>389.05</v>
      </c>
      <c r="T844" s="18">
        <f>IF(AND(ISNUMBER(Histórico!$A844),ISNUMBER(Histórico!E844),Histórico!E844&gt;0),Histórico!E844,T843)</f>
        <v>5.3744</v>
      </c>
      <c r="U844" s="15">
        <f>IF(ISNUMBER(Histórico!A844),Histórico!A844,U843)</f>
        <v>46324</v>
      </c>
    </row>
    <row r="845" spans="17:21" ht="22.95" customHeight="1">
      <c r="Q845" s="17">
        <f>IF(AND(ISNUMBER(Histórico!$A845),ISNUMBER(Histórico!B845),Histórico!B845&gt;0),Histórico!B845,Q844)</f>
        <v>157.42</v>
      </c>
      <c r="R845" s="17">
        <f>IF(AND(ISNUMBER(Histórico!$A845),ISNUMBER(Histórico!C845),Histórico!C845&gt;0),Histórico!C845,R844)</f>
        <v>64.73</v>
      </c>
      <c r="S845" s="17">
        <f>IF(AND(ISNUMBER(Histórico!$A845),ISNUMBER(Histórico!D845),Histórico!D845&gt;0),Histórico!D845,S844)</f>
        <v>389.05</v>
      </c>
      <c r="T845" s="18">
        <f>IF(AND(ISNUMBER(Histórico!$A845),ISNUMBER(Histórico!E845),Histórico!E845&gt;0),Histórico!E845,T844)</f>
        <v>5.3744</v>
      </c>
      <c r="U845" s="15">
        <f>IF(ISNUMBER(Histórico!A845),Histórico!A845,U844)</f>
        <v>46324</v>
      </c>
    </row>
    <row r="846" spans="17:21" ht="22.95" customHeight="1">
      <c r="Q846" s="17">
        <f>IF(AND(ISNUMBER(Histórico!$A846),ISNUMBER(Histórico!B846),Histórico!B846&gt;0),Histórico!B846,Q845)</f>
        <v>157.42</v>
      </c>
      <c r="R846" s="17">
        <f>IF(AND(ISNUMBER(Histórico!$A846),ISNUMBER(Histórico!C846),Histórico!C846&gt;0),Histórico!C846,R845)</f>
        <v>64.73</v>
      </c>
      <c r="S846" s="17">
        <f>IF(AND(ISNUMBER(Histórico!$A846),ISNUMBER(Histórico!D846),Histórico!D846&gt;0),Histórico!D846,S845)</f>
        <v>389.05</v>
      </c>
      <c r="T846" s="18">
        <f>IF(AND(ISNUMBER(Histórico!$A846),ISNUMBER(Histórico!E846),Histórico!E846&gt;0),Histórico!E846,T845)</f>
        <v>5.3744</v>
      </c>
      <c r="U846" s="15">
        <f>IF(ISNUMBER(Histórico!A846),Histórico!A846,U845)</f>
        <v>46324</v>
      </c>
    </row>
    <row r="847" spans="17:21" ht="22.95" customHeight="1">
      <c r="Q847" s="17">
        <f>IF(AND(ISNUMBER(Histórico!$A847),ISNUMBER(Histórico!B847),Histórico!B847&gt;0),Histórico!B847,Q846)</f>
        <v>157.42</v>
      </c>
      <c r="R847" s="17">
        <f>IF(AND(ISNUMBER(Histórico!$A847),ISNUMBER(Histórico!C847),Histórico!C847&gt;0),Histórico!C847,R846)</f>
        <v>64.73</v>
      </c>
      <c r="S847" s="17">
        <f>IF(AND(ISNUMBER(Histórico!$A847),ISNUMBER(Histórico!D847),Histórico!D847&gt;0),Histórico!D847,S846)</f>
        <v>389.05</v>
      </c>
      <c r="T847" s="18">
        <f>IF(AND(ISNUMBER(Histórico!$A847),ISNUMBER(Histórico!E847),Histórico!E847&gt;0),Histórico!E847,T846)</f>
        <v>5.3744</v>
      </c>
      <c r="U847" s="15">
        <f>IF(ISNUMBER(Histórico!A847),Histórico!A847,U846)</f>
        <v>46324</v>
      </c>
    </row>
    <row r="848" spans="17:21" ht="22.95" customHeight="1">
      <c r="Q848" s="17">
        <f>IF(AND(ISNUMBER(Histórico!$A848),ISNUMBER(Histórico!B848),Histórico!B848&gt;0),Histórico!B848,Q847)</f>
        <v>157.42</v>
      </c>
      <c r="R848" s="17">
        <f>IF(AND(ISNUMBER(Histórico!$A848),ISNUMBER(Histórico!C848),Histórico!C848&gt;0),Histórico!C848,R847)</f>
        <v>64.73</v>
      </c>
      <c r="S848" s="17">
        <f>IF(AND(ISNUMBER(Histórico!$A848),ISNUMBER(Histórico!D848),Histórico!D848&gt;0),Histórico!D848,S847)</f>
        <v>389.05</v>
      </c>
      <c r="T848" s="18">
        <f>IF(AND(ISNUMBER(Histórico!$A848),ISNUMBER(Histórico!E848),Histórico!E848&gt;0),Histórico!E848,T847)</f>
        <v>5.3744</v>
      </c>
      <c r="U848" s="15">
        <f>IF(ISNUMBER(Histórico!A848),Histórico!A848,U847)</f>
        <v>46324</v>
      </c>
    </row>
    <row r="849" spans="17:21" ht="22.95" customHeight="1">
      <c r="Q849" s="17">
        <f>IF(AND(ISNUMBER(Histórico!$A849),ISNUMBER(Histórico!B849),Histórico!B849&gt;0),Histórico!B849,Q848)</f>
        <v>157.42</v>
      </c>
      <c r="R849" s="17">
        <f>IF(AND(ISNUMBER(Histórico!$A849),ISNUMBER(Histórico!C849),Histórico!C849&gt;0),Histórico!C849,R848)</f>
        <v>64.73</v>
      </c>
      <c r="S849" s="17">
        <f>IF(AND(ISNUMBER(Histórico!$A849),ISNUMBER(Histórico!D849),Histórico!D849&gt;0),Histórico!D849,S848)</f>
        <v>389.05</v>
      </c>
      <c r="T849" s="18">
        <f>IF(AND(ISNUMBER(Histórico!$A849),ISNUMBER(Histórico!E849),Histórico!E849&gt;0),Histórico!E849,T848)</f>
        <v>5.3744</v>
      </c>
      <c r="U849" s="15">
        <f>IF(ISNUMBER(Histórico!A849),Histórico!A849,U848)</f>
        <v>46324</v>
      </c>
    </row>
    <row r="850" spans="17:21" ht="22.95" customHeight="1">
      <c r="Q850" s="17">
        <f>IF(AND(ISNUMBER(Histórico!$A850),ISNUMBER(Histórico!B850),Histórico!B850&gt;0),Histórico!B850,Q849)</f>
        <v>157.42</v>
      </c>
      <c r="R850" s="17">
        <f>IF(AND(ISNUMBER(Histórico!$A850),ISNUMBER(Histórico!C850),Histórico!C850&gt;0),Histórico!C850,R849)</f>
        <v>64.73</v>
      </c>
      <c r="S850" s="17">
        <f>IF(AND(ISNUMBER(Histórico!$A850),ISNUMBER(Histórico!D850),Histórico!D850&gt;0),Histórico!D850,S849)</f>
        <v>389.05</v>
      </c>
      <c r="T850" s="18">
        <f>IF(AND(ISNUMBER(Histórico!$A850),ISNUMBER(Histórico!E850),Histórico!E850&gt;0),Histórico!E850,T849)</f>
        <v>5.3744</v>
      </c>
      <c r="U850" s="15">
        <f>IF(ISNUMBER(Histórico!A850),Histórico!A850,U849)</f>
        <v>46324</v>
      </c>
    </row>
    <row r="851" spans="17:21" ht="22.95" customHeight="1">
      <c r="Q851" s="17">
        <f>IF(AND(ISNUMBER(Histórico!$A851),ISNUMBER(Histórico!B851),Histórico!B851&gt;0),Histórico!B851,Q850)</f>
        <v>157.42</v>
      </c>
      <c r="R851" s="17">
        <f>IF(AND(ISNUMBER(Histórico!$A851),ISNUMBER(Histórico!C851),Histórico!C851&gt;0),Histórico!C851,R850)</f>
        <v>64.73</v>
      </c>
      <c r="S851" s="17">
        <f>IF(AND(ISNUMBER(Histórico!$A851),ISNUMBER(Histórico!D851),Histórico!D851&gt;0),Histórico!D851,S850)</f>
        <v>389.05</v>
      </c>
      <c r="T851" s="18">
        <f>IF(AND(ISNUMBER(Histórico!$A851),ISNUMBER(Histórico!E851),Histórico!E851&gt;0),Histórico!E851,T850)</f>
        <v>5.3744</v>
      </c>
      <c r="U851" s="15">
        <f>IF(ISNUMBER(Histórico!A851),Histórico!A851,U850)</f>
        <v>46324</v>
      </c>
    </row>
    <row r="852" spans="17:21" ht="22.95" customHeight="1">
      <c r="Q852" s="17">
        <f>IF(AND(ISNUMBER(Histórico!$A852),ISNUMBER(Histórico!B852),Histórico!B852&gt;0),Histórico!B852,Q851)</f>
        <v>157.42</v>
      </c>
      <c r="R852" s="17">
        <f>IF(AND(ISNUMBER(Histórico!$A852),ISNUMBER(Histórico!C852),Histórico!C852&gt;0),Histórico!C852,R851)</f>
        <v>64.73</v>
      </c>
      <c r="S852" s="17">
        <f>IF(AND(ISNUMBER(Histórico!$A852),ISNUMBER(Histórico!D852),Histórico!D852&gt;0),Histórico!D852,S851)</f>
        <v>389.05</v>
      </c>
      <c r="T852" s="18">
        <f>IF(AND(ISNUMBER(Histórico!$A852),ISNUMBER(Histórico!E852),Histórico!E852&gt;0),Histórico!E852,T851)</f>
        <v>5.3744</v>
      </c>
      <c r="U852" s="15">
        <f>IF(ISNUMBER(Histórico!A852),Histórico!A852,U851)</f>
        <v>46324</v>
      </c>
    </row>
    <row r="853" spans="17:21" ht="22.95" customHeight="1">
      <c r="Q853" s="17">
        <f>IF(AND(ISNUMBER(Histórico!$A853),ISNUMBER(Histórico!B853),Histórico!B853&gt;0),Histórico!B853,Q852)</f>
        <v>157.42</v>
      </c>
      <c r="R853" s="17">
        <f>IF(AND(ISNUMBER(Histórico!$A853),ISNUMBER(Histórico!C853),Histórico!C853&gt;0),Histórico!C853,R852)</f>
        <v>64.73</v>
      </c>
      <c r="S853" s="17">
        <f>IF(AND(ISNUMBER(Histórico!$A853),ISNUMBER(Histórico!D853),Histórico!D853&gt;0),Histórico!D853,S852)</f>
        <v>389.05</v>
      </c>
      <c r="T853" s="18">
        <f>IF(AND(ISNUMBER(Histórico!$A853),ISNUMBER(Histórico!E853),Histórico!E853&gt;0),Histórico!E853,T852)</f>
        <v>5.3744</v>
      </c>
      <c r="U853" s="15">
        <f>IF(ISNUMBER(Histórico!A853),Histórico!A853,U852)</f>
        <v>46324</v>
      </c>
    </row>
    <row r="854" spans="17:21" ht="22.95" customHeight="1">
      <c r="Q854" s="17">
        <f>IF(AND(ISNUMBER(Histórico!$A854),ISNUMBER(Histórico!B854),Histórico!B854&gt;0),Histórico!B854,Q853)</f>
        <v>157.42</v>
      </c>
      <c r="R854" s="17">
        <f>IF(AND(ISNUMBER(Histórico!$A854),ISNUMBER(Histórico!C854),Histórico!C854&gt;0),Histórico!C854,R853)</f>
        <v>64.73</v>
      </c>
      <c r="S854" s="17">
        <f>IF(AND(ISNUMBER(Histórico!$A854),ISNUMBER(Histórico!D854),Histórico!D854&gt;0),Histórico!D854,S853)</f>
        <v>389.05</v>
      </c>
      <c r="T854" s="18">
        <f>IF(AND(ISNUMBER(Histórico!$A854),ISNUMBER(Histórico!E854),Histórico!E854&gt;0),Histórico!E854,T853)</f>
        <v>5.3744</v>
      </c>
      <c r="U854" s="15">
        <f>IF(ISNUMBER(Histórico!A854),Histórico!A854,U853)</f>
        <v>46324</v>
      </c>
    </row>
    <row r="855" spans="17:21" ht="22.95" customHeight="1">
      <c r="Q855" s="17">
        <f>IF(AND(ISNUMBER(Histórico!$A855),ISNUMBER(Histórico!B855),Histórico!B855&gt;0),Histórico!B855,Q854)</f>
        <v>157.42</v>
      </c>
      <c r="R855" s="17">
        <f>IF(AND(ISNUMBER(Histórico!$A855),ISNUMBER(Histórico!C855),Histórico!C855&gt;0),Histórico!C855,R854)</f>
        <v>64.73</v>
      </c>
      <c r="S855" s="17">
        <f>IF(AND(ISNUMBER(Histórico!$A855),ISNUMBER(Histórico!D855),Histórico!D855&gt;0),Histórico!D855,S854)</f>
        <v>389.05</v>
      </c>
      <c r="T855" s="18">
        <f>IF(AND(ISNUMBER(Histórico!$A855),ISNUMBER(Histórico!E855),Histórico!E855&gt;0),Histórico!E855,T854)</f>
        <v>5.3744</v>
      </c>
      <c r="U855" s="15">
        <f>IF(ISNUMBER(Histórico!A855),Histórico!A855,U854)</f>
        <v>46324</v>
      </c>
    </row>
    <row r="856" spans="17:21" ht="22.95" customHeight="1">
      <c r="Q856" s="17">
        <f>IF(AND(ISNUMBER(Histórico!$A856),ISNUMBER(Histórico!B856),Histórico!B856&gt;0),Histórico!B856,Q855)</f>
        <v>157.42</v>
      </c>
      <c r="R856" s="17">
        <f>IF(AND(ISNUMBER(Histórico!$A856),ISNUMBER(Histórico!C856),Histórico!C856&gt;0),Histórico!C856,R855)</f>
        <v>64.73</v>
      </c>
      <c r="S856" s="17">
        <f>IF(AND(ISNUMBER(Histórico!$A856),ISNUMBER(Histórico!D856),Histórico!D856&gt;0),Histórico!D856,S855)</f>
        <v>389.05</v>
      </c>
      <c r="T856" s="18">
        <f>IF(AND(ISNUMBER(Histórico!$A856),ISNUMBER(Histórico!E856),Histórico!E856&gt;0),Histórico!E856,T855)</f>
        <v>5.3744</v>
      </c>
      <c r="U856" s="15">
        <f>IF(ISNUMBER(Histórico!A856),Histórico!A856,U855)</f>
        <v>46324</v>
      </c>
    </row>
    <row r="857" spans="17:21" ht="22.95" customHeight="1">
      <c r="Q857" s="17">
        <f>IF(AND(ISNUMBER(Histórico!$A857),ISNUMBER(Histórico!B857),Histórico!B857&gt;0),Histórico!B857,Q856)</f>
        <v>157.42</v>
      </c>
      <c r="R857" s="17">
        <f>IF(AND(ISNUMBER(Histórico!$A857),ISNUMBER(Histórico!C857),Histórico!C857&gt;0),Histórico!C857,R856)</f>
        <v>64.73</v>
      </c>
      <c r="S857" s="17">
        <f>IF(AND(ISNUMBER(Histórico!$A857),ISNUMBER(Histórico!D857),Histórico!D857&gt;0),Histórico!D857,S856)</f>
        <v>389.05</v>
      </c>
      <c r="T857" s="18">
        <f>IF(AND(ISNUMBER(Histórico!$A857),ISNUMBER(Histórico!E857),Histórico!E857&gt;0),Histórico!E857,T856)</f>
        <v>5.3744</v>
      </c>
      <c r="U857" s="15">
        <f>IF(ISNUMBER(Histórico!A857),Histórico!A857,U856)</f>
        <v>46324</v>
      </c>
    </row>
    <row r="858" spans="17:21" ht="22.95" customHeight="1">
      <c r="Q858" s="17">
        <f>IF(AND(ISNUMBER(Histórico!$A858),ISNUMBER(Histórico!B858),Histórico!B858&gt;0),Histórico!B858,Q857)</f>
        <v>157.42</v>
      </c>
      <c r="R858" s="17">
        <f>IF(AND(ISNUMBER(Histórico!$A858),ISNUMBER(Histórico!C858),Histórico!C858&gt;0),Histórico!C858,R857)</f>
        <v>64.73</v>
      </c>
      <c r="S858" s="17">
        <f>IF(AND(ISNUMBER(Histórico!$A858),ISNUMBER(Histórico!D858),Histórico!D858&gt;0),Histórico!D858,S857)</f>
        <v>389.05</v>
      </c>
      <c r="T858" s="18">
        <f>IF(AND(ISNUMBER(Histórico!$A858),ISNUMBER(Histórico!E858),Histórico!E858&gt;0),Histórico!E858,T857)</f>
        <v>5.3744</v>
      </c>
      <c r="U858" s="15">
        <f>IF(ISNUMBER(Histórico!A858),Histórico!A858,U857)</f>
        <v>46324</v>
      </c>
    </row>
    <row r="859" spans="17:21" ht="22.95" customHeight="1">
      <c r="Q859" s="17">
        <f>IF(AND(ISNUMBER(Histórico!$A859),ISNUMBER(Histórico!B859),Histórico!B859&gt;0),Histórico!B859,Q858)</f>
        <v>157.42</v>
      </c>
      <c r="R859" s="17">
        <f>IF(AND(ISNUMBER(Histórico!$A859),ISNUMBER(Histórico!C859),Histórico!C859&gt;0),Histórico!C859,R858)</f>
        <v>64.73</v>
      </c>
      <c r="S859" s="17">
        <f>IF(AND(ISNUMBER(Histórico!$A859),ISNUMBER(Histórico!D859),Histórico!D859&gt;0),Histórico!D859,S858)</f>
        <v>389.05</v>
      </c>
      <c r="T859" s="18">
        <f>IF(AND(ISNUMBER(Histórico!$A859),ISNUMBER(Histórico!E859),Histórico!E859&gt;0),Histórico!E859,T858)</f>
        <v>5.3744</v>
      </c>
      <c r="U859" s="15">
        <f>IF(ISNUMBER(Histórico!A859),Histórico!A859,U858)</f>
        <v>46324</v>
      </c>
    </row>
    <row r="860" spans="17:21" ht="22.95" customHeight="1">
      <c r="Q860" s="17">
        <f>IF(AND(ISNUMBER(Histórico!$A860),ISNUMBER(Histórico!B860),Histórico!B860&gt;0),Histórico!B860,Q859)</f>
        <v>157.42</v>
      </c>
      <c r="R860" s="17">
        <f>IF(AND(ISNUMBER(Histórico!$A860),ISNUMBER(Histórico!C860),Histórico!C860&gt;0),Histórico!C860,R859)</f>
        <v>64.73</v>
      </c>
      <c r="S860" s="17">
        <f>IF(AND(ISNUMBER(Histórico!$A860),ISNUMBER(Histórico!D860),Histórico!D860&gt;0),Histórico!D860,S859)</f>
        <v>389.05</v>
      </c>
      <c r="T860" s="18">
        <f>IF(AND(ISNUMBER(Histórico!$A860),ISNUMBER(Histórico!E860),Histórico!E860&gt;0),Histórico!E860,T859)</f>
        <v>5.3744</v>
      </c>
      <c r="U860" s="15">
        <f>IF(ISNUMBER(Histórico!A860),Histórico!A860,U859)</f>
        <v>46324</v>
      </c>
    </row>
    <row r="861" spans="17:21" ht="22.95" customHeight="1">
      <c r="Q861" s="17">
        <f>IF(AND(ISNUMBER(Histórico!$A861),ISNUMBER(Histórico!B861),Histórico!B861&gt;0),Histórico!B861,Q860)</f>
        <v>157.42</v>
      </c>
      <c r="R861" s="17">
        <f>IF(AND(ISNUMBER(Histórico!$A861),ISNUMBER(Histórico!C861),Histórico!C861&gt;0),Histórico!C861,R860)</f>
        <v>64.73</v>
      </c>
      <c r="S861" s="17">
        <f>IF(AND(ISNUMBER(Histórico!$A861),ISNUMBER(Histórico!D861),Histórico!D861&gt;0),Histórico!D861,S860)</f>
        <v>389.05</v>
      </c>
      <c r="T861" s="18">
        <f>IF(AND(ISNUMBER(Histórico!$A861),ISNUMBER(Histórico!E861),Histórico!E861&gt;0),Histórico!E861,T860)</f>
        <v>5.3744</v>
      </c>
      <c r="U861" s="15">
        <f>IF(ISNUMBER(Histórico!A861),Histórico!A861,U860)</f>
        <v>46324</v>
      </c>
    </row>
    <row r="862" spans="17:21" ht="22.95" customHeight="1">
      <c r="Q862" s="17">
        <f>IF(AND(ISNUMBER(Histórico!$A862),ISNUMBER(Histórico!B862),Histórico!B862&gt;0),Histórico!B862,Q861)</f>
        <v>157.42</v>
      </c>
      <c r="R862" s="17">
        <f>IF(AND(ISNUMBER(Histórico!$A862),ISNUMBER(Histórico!C862),Histórico!C862&gt;0),Histórico!C862,R861)</f>
        <v>64.73</v>
      </c>
      <c r="S862" s="17">
        <f>IF(AND(ISNUMBER(Histórico!$A862),ISNUMBER(Histórico!D862),Histórico!D862&gt;0),Histórico!D862,S861)</f>
        <v>389.05</v>
      </c>
      <c r="T862" s="18">
        <f>IF(AND(ISNUMBER(Histórico!$A862),ISNUMBER(Histórico!E862),Histórico!E862&gt;0),Histórico!E862,T861)</f>
        <v>5.3744</v>
      </c>
      <c r="U862" s="15">
        <f>IF(ISNUMBER(Histórico!A862),Histórico!A862,U861)</f>
        <v>46324</v>
      </c>
    </row>
    <row r="863" spans="17:21" ht="22.95" customHeight="1">
      <c r="Q863" s="17">
        <f>IF(AND(ISNUMBER(Histórico!$A863),ISNUMBER(Histórico!B863),Histórico!B863&gt;0),Histórico!B863,Q862)</f>
        <v>157.42</v>
      </c>
      <c r="R863" s="17">
        <f>IF(AND(ISNUMBER(Histórico!$A863),ISNUMBER(Histórico!C863),Histórico!C863&gt;0),Histórico!C863,R862)</f>
        <v>64.73</v>
      </c>
      <c r="S863" s="17">
        <f>IF(AND(ISNUMBER(Histórico!$A863),ISNUMBER(Histórico!D863),Histórico!D863&gt;0),Histórico!D863,S862)</f>
        <v>389.05</v>
      </c>
      <c r="T863" s="18">
        <f>IF(AND(ISNUMBER(Histórico!$A863),ISNUMBER(Histórico!E863),Histórico!E863&gt;0),Histórico!E863,T862)</f>
        <v>5.3744</v>
      </c>
      <c r="U863" s="15">
        <f>IF(ISNUMBER(Histórico!A863),Histórico!A863,U862)</f>
        <v>46324</v>
      </c>
    </row>
    <row r="864" spans="17:21" ht="22.95" customHeight="1">
      <c r="Q864" s="17">
        <f>IF(AND(ISNUMBER(Histórico!$A864),ISNUMBER(Histórico!B864),Histórico!B864&gt;0),Histórico!B864,Q863)</f>
        <v>157.42</v>
      </c>
      <c r="R864" s="17">
        <f>IF(AND(ISNUMBER(Histórico!$A864),ISNUMBER(Histórico!C864),Histórico!C864&gt;0),Histórico!C864,R863)</f>
        <v>64.73</v>
      </c>
      <c r="S864" s="17">
        <f>IF(AND(ISNUMBER(Histórico!$A864),ISNUMBER(Histórico!D864),Histórico!D864&gt;0),Histórico!D864,S863)</f>
        <v>389.05</v>
      </c>
      <c r="T864" s="18">
        <f>IF(AND(ISNUMBER(Histórico!$A864),ISNUMBER(Histórico!E864),Histórico!E864&gt;0),Histórico!E864,T863)</f>
        <v>5.3744</v>
      </c>
      <c r="U864" s="15">
        <f>IF(ISNUMBER(Histórico!A864),Histórico!A864,U863)</f>
        <v>46324</v>
      </c>
    </row>
    <row r="865" spans="17:21" ht="22.95" customHeight="1">
      <c r="Q865" s="17">
        <f>IF(AND(ISNUMBER(Histórico!$A865),ISNUMBER(Histórico!B865),Histórico!B865&gt;0),Histórico!B865,Q864)</f>
        <v>157.42</v>
      </c>
      <c r="R865" s="17">
        <f>IF(AND(ISNUMBER(Histórico!$A865),ISNUMBER(Histórico!C865),Histórico!C865&gt;0),Histórico!C865,R864)</f>
        <v>64.73</v>
      </c>
      <c r="S865" s="17">
        <f>IF(AND(ISNUMBER(Histórico!$A865),ISNUMBER(Histórico!D865),Histórico!D865&gt;0),Histórico!D865,S864)</f>
        <v>389.05</v>
      </c>
      <c r="T865" s="18">
        <f>IF(AND(ISNUMBER(Histórico!$A865),ISNUMBER(Histórico!E865),Histórico!E865&gt;0),Histórico!E865,T864)</f>
        <v>5.3744</v>
      </c>
      <c r="U865" s="15">
        <f>IF(ISNUMBER(Histórico!A865),Histórico!A865,U864)</f>
        <v>46324</v>
      </c>
    </row>
    <row r="866" spans="17:21" ht="22.95" customHeight="1">
      <c r="Q866" s="17">
        <f>IF(AND(ISNUMBER(Histórico!$A866),ISNUMBER(Histórico!B866),Histórico!B866&gt;0),Histórico!B866,Q865)</f>
        <v>157.42</v>
      </c>
      <c r="R866" s="17">
        <f>IF(AND(ISNUMBER(Histórico!$A866),ISNUMBER(Histórico!C866),Histórico!C866&gt;0),Histórico!C866,R865)</f>
        <v>64.73</v>
      </c>
      <c r="S866" s="17">
        <f>IF(AND(ISNUMBER(Histórico!$A866),ISNUMBER(Histórico!D866),Histórico!D866&gt;0),Histórico!D866,S865)</f>
        <v>389.05</v>
      </c>
      <c r="T866" s="18">
        <f>IF(AND(ISNUMBER(Histórico!$A866),ISNUMBER(Histórico!E866),Histórico!E866&gt;0),Histórico!E866,T865)</f>
        <v>5.3744</v>
      </c>
      <c r="U866" s="15">
        <f>IF(ISNUMBER(Histórico!A866),Histórico!A866,U865)</f>
        <v>46324</v>
      </c>
    </row>
    <row r="867" spans="17:21" ht="22.95" customHeight="1">
      <c r="Q867" s="17">
        <f>IF(AND(ISNUMBER(Histórico!$A867),ISNUMBER(Histórico!B867),Histórico!B867&gt;0),Histórico!B867,Q866)</f>
        <v>157.42</v>
      </c>
      <c r="R867" s="17">
        <f>IF(AND(ISNUMBER(Histórico!$A867),ISNUMBER(Histórico!C867),Histórico!C867&gt;0),Histórico!C867,R866)</f>
        <v>64.73</v>
      </c>
      <c r="S867" s="17">
        <f>IF(AND(ISNUMBER(Histórico!$A867),ISNUMBER(Histórico!D867),Histórico!D867&gt;0),Histórico!D867,S866)</f>
        <v>389.05</v>
      </c>
      <c r="T867" s="18">
        <f>IF(AND(ISNUMBER(Histórico!$A867),ISNUMBER(Histórico!E867),Histórico!E867&gt;0),Histórico!E867,T866)</f>
        <v>5.3744</v>
      </c>
      <c r="U867" s="15">
        <f>IF(ISNUMBER(Histórico!A867),Histórico!A867,U866)</f>
        <v>46324</v>
      </c>
    </row>
    <row r="868" spans="17:21" ht="22.95" customHeight="1">
      <c r="Q868" s="17">
        <f>IF(AND(ISNUMBER(Histórico!$A868),ISNUMBER(Histórico!B868),Histórico!B868&gt;0),Histórico!B868,Q867)</f>
        <v>157.42</v>
      </c>
      <c r="R868" s="17">
        <f>IF(AND(ISNUMBER(Histórico!$A868),ISNUMBER(Histórico!C868),Histórico!C868&gt;0),Histórico!C868,R867)</f>
        <v>64.73</v>
      </c>
      <c r="S868" s="17">
        <f>IF(AND(ISNUMBER(Histórico!$A868),ISNUMBER(Histórico!D868),Histórico!D868&gt;0),Histórico!D868,S867)</f>
        <v>389.05</v>
      </c>
      <c r="T868" s="18">
        <f>IF(AND(ISNUMBER(Histórico!$A868),ISNUMBER(Histórico!E868),Histórico!E868&gt;0),Histórico!E868,T867)</f>
        <v>5.3744</v>
      </c>
      <c r="U868" s="15">
        <f>IF(ISNUMBER(Histórico!A868),Histórico!A868,U867)</f>
        <v>46324</v>
      </c>
    </row>
    <row r="869" spans="17:21" ht="22.95" customHeight="1">
      <c r="Q869" s="17">
        <f>IF(AND(ISNUMBER(Histórico!$A869),ISNUMBER(Histórico!B869),Histórico!B869&gt;0),Histórico!B869,Q868)</f>
        <v>157.42</v>
      </c>
      <c r="R869" s="17">
        <f>IF(AND(ISNUMBER(Histórico!$A869),ISNUMBER(Histórico!C869),Histórico!C869&gt;0),Histórico!C869,R868)</f>
        <v>64.73</v>
      </c>
      <c r="S869" s="17">
        <f>IF(AND(ISNUMBER(Histórico!$A869),ISNUMBER(Histórico!D869),Histórico!D869&gt;0),Histórico!D869,S868)</f>
        <v>389.05</v>
      </c>
      <c r="T869" s="18">
        <f>IF(AND(ISNUMBER(Histórico!$A869),ISNUMBER(Histórico!E869),Histórico!E869&gt;0),Histórico!E869,T868)</f>
        <v>5.3744</v>
      </c>
      <c r="U869" s="15">
        <f>IF(ISNUMBER(Histórico!A869),Histórico!A869,U868)</f>
        <v>46324</v>
      </c>
    </row>
    <row r="870" spans="17:21" ht="22.95" customHeight="1">
      <c r="Q870" s="17">
        <f>IF(AND(ISNUMBER(Histórico!$A870),ISNUMBER(Histórico!B870),Histórico!B870&gt;0),Histórico!B870,Q869)</f>
        <v>157.42</v>
      </c>
      <c r="R870" s="17">
        <f>IF(AND(ISNUMBER(Histórico!$A870),ISNUMBER(Histórico!C870),Histórico!C870&gt;0),Histórico!C870,R869)</f>
        <v>64.73</v>
      </c>
      <c r="S870" s="17">
        <f>IF(AND(ISNUMBER(Histórico!$A870),ISNUMBER(Histórico!D870),Histórico!D870&gt;0),Histórico!D870,S869)</f>
        <v>389.05</v>
      </c>
      <c r="T870" s="18">
        <f>IF(AND(ISNUMBER(Histórico!$A870),ISNUMBER(Histórico!E870),Histórico!E870&gt;0),Histórico!E870,T869)</f>
        <v>5.3744</v>
      </c>
      <c r="U870" s="15">
        <f>IF(ISNUMBER(Histórico!A870),Histórico!A870,U869)</f>
        <v>46324</v>
      </c>
    </row>
    <row r="871" spans="17:21" ht="22.95" customHeight="1">
      <c r="Q871" s="17">
        <f>IF(AND(ISNUMBER(Histórico!$A871),ISNUMBER(Histórico!B871),Histórico!B871&gt;0),Histórico!B871,Q870)</f>
        <v>157.42</v>
      </c>
      <c r="R871" s="17">
        <f>IF(AND(ISNUMBER(Histórico!$A871),ISNUMBER(Histórico!C871),Histórico!C871&gt;0),Histórico!C871,R870)</f>
        <v>64.73</v>
      </c>
      <c r="S871" s="17">
        <f>IF(AND(ISNUMBER(Histórico!$A871),ISNUMBER(Histórico!D871),Histórico!D871&gt;0),Histórico!D871,S870)</f>
        <v>389.05</v>
      </c>
      <c r="T871" s="18">
        <f>IF(AND(ISNUMBER(Histórico!$A871),ISNUMBER(Histórico!E871),Histórico!E871&gt;0),Histórico!E871,T870)</f>
        <v>5.3744</v>
      </c>
      <c r="U871" s="15">
        <f>IF(ISNUMBER(Histórico!A871),Histórico!A871,U870)</f>
        <v>46324</v>
      </c>
    </row>
    <row r="872" spans="17:21" ht="22.95" customHeight="1">
      <c r="Q872" s="17">
        <f>IF(AND(ISNUMBER(Histórico!$A872),ISNUMBER(Histórico!B872),Histórico!B872&gt;0),Histórico!B872,Q871)</f>
        <v>157.42</v>
      </c>
      <c r="R872" s="17">
        <f>IF(AND(ISNUMBER(Histórico!$A872),ISNUMBER(Histórico!C872),Histórico!C872&gt;0),Histórico!C872,R871)</f>
        <v>64.73</v>
      </c>
      <c r="S872" s="17">
        <f>IF(AND(ISNUMBER(Histórico!$A872),ISNUMBER(Histórico!D872),Histórico!D872&gt;0),Histórico!D872,S871)</f>
        <v>389.05</v>
      </c>
      <c r="T872" s="18">
        <f>IF(AND(ISNUMBER(Histórico!$A872),ISNUMBER(Histórico!E872),Histórico!E872&gt;0),Histórico!E872,T871)</f>
        <v>5.3744</v>
      </c>
      <c r="U872" s="15">
        <f>IF(ISNUMBER(Histórico!A872),Histórico!A872,U871)</f>
        <v>46324</v>
      </c>
    </row>
    <row r="873" spans="17:21" ht="22.95" customHeight="1">
      <c r="Q873" s="17">
        <f>IF(AND(ISNUMBER(Histórico!$A873),ISNUMBER(Histórico!B873),Histórico!B873&gt;0),Histórico!B873,Q872)</f>
        <v>157.42</v>
      </c>
      <c r="R873" s="17">
        <f>IF(AND(ISNUMBER(Histórico!$A873),ISNUMBER(Histórico!C873),Histórico!C873&gt;0),Histórico!C873,R872)</f>
        <v>64.73</v>
      </c>
      <c r="S873" s="17">
        <f>IF(AND(ISNUMBER(Histórico!$A873),ISNUMBER(Histórico!D873),Histórico!D873&gt;0),Histórico!D873,S872)</f>
        <v>389.05</v>
      </c>
      <c r="T873" s="18">
        <f>IF(AND(ISNUMBER(Histórico!$A873),ISNUMBER(Histórico!E873),Histórico!E873&gt;0),Histórico!E873,T872)</f>
        <v>5.3744</v>
      </c>
      <c r="U873" s="15">
        <f>IF(ISNUMBER(Histórico!A873),Histórico!A873,U872)</f>
        <v>46324</v>
      </c>
    </row>
    <row r="874" spans="17:21" ht="22.95" customHeight="1">
      <c r="Q874" s="17">
        <f>IF(AND(ISNUMBER(Histórico!$A874),ISNUMBER(Histórico!B874),Histórico!B874&gt;0),Histórico!B874,Q873)</f>
        <v>157.42</v>
      </c>
      <c r="R874" s="17">
        <f>IF(AND(ISNUMBER(Histórico!$A874),ISNUMBER(Histórico!C874),Histórico!C874&gt;0),Histórico!C874,R873)</f>
        <v>64.73</v>
      </c>
      <c r="S874" s="17">
        <f>IF(AND(ISNUMBER(Histórico!$A874),ISNUMBER(Histórico!D874),Histórico!D874&gt;0),Histórico!D874,S873)</f>
        <v>389.05</v>
      </c>
      <c r="T874" s="18">
        <f>IF(AND(ISNUMBER(Histórico!$A874),ISNUMBER(Histórico!E874),Histórico!E874&gt;0),Histórico!E874,T873)</f>
        <v>5.3744</v>
      </c>
      <c r="U874" s="15">
        <f>IF(ISNUMBER(Histórico!A874),Histórico!A874,U873)</f>
        <v>46324</v>
      </c>
    </row>
    <row r="875" spans="17:21" ht="22.95" customHeight="1">
      <c r="Q875" s="17">
        <f>IF(AND(ISNUMBER(Histórico!$A875),ISNUMBER(Histórico!B875),Histórico!B875&gt;0),Histórico!B875,Q874)</f>
        <v>157.42</v>
      </c>
      <c r="R875" s="17">
        <f>IF(AND(ISNUMBER(Histórico!$A875),ISNUMBER(Histórico!C875),Histórico!C875&gt;0),Histórico!C875,R874)</f>
        <v>64.73</v>
      </c>
      <c r="S875" s="17">
        <f>IF(AND(ISNUMBER(Histórico!$A875),ISNUMBER(Histórico!D875),Histórico!D875&gt;0),Histórico!D875,S874)</f>
        <v>389.05</v>
      </c>
      <c r="T875" s="18">
        <f>IF(AND(ISNUMBER(Histórico!$A875),ISNUMBER(Histórico!E875),Histórico!E875&gt;0),Histórico!E875,T874)</f>
        <v>5.3744</v>
      </c>
      <c r="U875" s="15">
        <f>IF(ISNUMBER(Histórico!A875),Histórico!A875,U874)</f>
        <v>46324</v>
      </c>
    </row>
    <row r="876" spans="17:21" ht="22.95" customHeight="1">
      <c r="Q876" s="17">
        <f>IF(AND(ISNUMBER(Histórico!$A876),ISNUMBER(Histórico!B876),Histórico!B876&gt;0),Histórico!B876,Q875)</f>
        <v>157.42</v>
      </c>
      <c r="R876" s="17">
        <f>IF(AND(ISNUMBER(Histórico!$A876),ISNUMBER(Histórico!C876),Histórico!C876&gt;0),Histórico!C876,R875)</f>
        <v>64.73</v>
      </c>
      <c r="S876" s="17">
        <f>IF(AND(ISNUMBER(Histórico!$A876),ISNUMBER(Histórico!D876),Histórico!D876&gt;0),Histórico!D876,S875)</f>
        <v>389.05</v>
      </c>
      <c r="T876" s="18">
        <f>IF(AND(ISNUMBER(Histórico!$A876),ISNUMBER(Histórico!E876),Histórico!E876&gt;0),Histórico!E876,T875)</f>
        <v>5.3744</v>
      </c>
      <c r="U876" s="15">
        <f>IF(ISNUMBER(Histórico!A876),Histórico!A876,U875)</f>
        <v>46324</v>
      </c>
    </row>
    <row r="877" spans="17:21" ht="22.95" customHeight="1">
      <c r="Q877" s="17">
        <f>IF(AND(ISNUMBER(Histórico!$A877),ISNUMBER(Histórico!B877),Histórico!B877&gt;0),Histórico!B877,Q876)</f>
        <v>157.42</v>
      </c>
      <c r="R877" s="17">
        <f>IF(AND(ISNUMBER(Histórico!$A877),ISNUMBER(Histórico!C877),Histórico!C877&gt;0),Histórico!C877,R876)</f>
        <v>64.73</v>
      </c>
      <c r="S877" s="17">
        <f>IF(AND(ISNUMBER(Histórico!$A877),ISNUMBER(Histórico!D877),Histórico!D877&gt;0),Histórico!D877,S876)</f>
        <v>389.05</v>
      </c>
      <c r="T877" s="18">
        <f>IF(AND(ISNUMBER(Histórico!$A877),ISNUMBER(Histórico!E877),Histórico!E877&gt;0),Histórico!E877,T876)</f>
        <v>5.3744</v>
      </c>
      <c r="U877" s="15">
        <f>IF(ISNUMBER(Histórico!A877),Histórico!A877,U876)</f>
        <v>46324</v>
      </c>
    </row>
    <row r="878" spans="17:21" ht="22.95" customHeight="1">
      <c r="Q878" s="17">
        <f>IF(AND(ISNUMBER(Histórico!$A878),ISNUMBER(Histórico!B878),Histórico!B878&gt;0),Histórico!B878,Q877)</f>
        <v>157.42</v>
      </c>
      <c r="R878" s="17">
        <f>IF(AND(ISNUMBER(Histórico!$A878),ISNUMBER(Histórico!C878),Histórico!C878&gt;0),Histórico!C878,R877)</f>
        <v>64.73</v>
      </c>
      <c r="S878" s="17">
        <f>IF(AND(ISNUMBER(Histórico!$A878),ISNUMBER(Histórico!D878),Histórico!D878&gt;0),Histórico!D878,S877)</f>
        <v>389.05</v>
      </c>
      <c r="T878" s="18">
        <f>IF(AND(ISNUMBER(Histórico!$A878),ISNUMBER(Histórico!E878),Histórico!E878&gt;0),Histórico!E878,T877)</f>
        <v>5.3744</v>
      </c>
      <c r="U878" s="15">
        <f>IF(ISNUMBER(Histórico!A878),Histórico!A878,U877)</f>
        <v>46324</v>
      </c>
    </row>
    <row r="879" spans="17:21" ht="22.95" customHeight="1">
      <c r="Q879" s="17">
        <f>IF(AND(ISNUMBER(Histórico!$A879),ISNUMBER(Histórico!B879),Histórico!B879&gt;0),Histórico!B879,Q878)</f>
        <v>157.42</v>
      </c>
      <c r="R879" s="17">
        <f>IF(AND(ISNUMBER(Histórico!$A879),ISNUMBER(Histórico!C879),Histórico!C879&gt;0),Histórico!C879,R878)</f>
        <v>64.73</v>
      </c>
      <c r="S879" s="17">
        <f>IF(AND(ISNUMBER(Histórico!$A879),ISNUMBER(Histórico!D879),Histórico!D879&gt;0),Histórico!D879,S878)</f>
        <v>389.05</v>
      </c>
      <c r="T879" s="18">
        <f>IF(AND(ISNUMBER(Histórico!$A879),ISNUMBER(Histórico!E879),Histórico!E879&gt;0),Histórico!E879,T878)</f>
        <v>5.3744</v>
      </c>
      <c r="U879" s="15">
        <f>IF(ISNUMBER(Histórico!A879),Histórico!A879,U878)</f>
        <v>46324</v>
      </c>
    </row>
    <row r="880" spans="17:21" ht="22.95" customHeight="1">
      <c r="Q880" s="17">
        <f>IF(AND(ISNUMBER(Histórico!$A880),ISNUMBER(Histórico!B880),Histórico!B880&gt;0),Histórico!B880,Q879)</f>
        <v>157.42</v>
      </c>
      <c r="R880" s="17">
        <f>IF(AND(ISNUMBER(Histórico!$A880),ISNUMBER(Histórico!C880),Histórico!C880&gt;0),Histórico!C880,R879)</f>
        <v>64.73</v>
      </c>
      <c r="S880" s="17">
        <f>IF(AND(ISNUMBER(Histórico!$A880),ISNUMBER(Histórico!D880),Histórico!D880&gt;0),Histórico!D880,S879)</f>
        <v>389.05</v>
      </c>
      <c r="T880" s="18">
        <f>IF(AND(ISNUMBER(Histórico!$A880),ISNUMBER(Histórico!E880),Histórico!E880&gt;0),Histórico!E880,T879)</f>
        <v>5.3744</v>
      </c>
      <c r="U880" s="15">
        <f>IF(ISNUMBER(Histórico!A880),Histórico!A880,U879)</f>
        <v>46324</v>
      </c>
    </row>
    <row r="881" spans="17:21" ht="22.95" customHeight="1">
      <c r="Q881" s="17">
        <f>IF(AND(ISNUMBER(Histórico!$A881),ISNUMBER(Histórico!B881),Histórico!B881&gt;0),Histórico!B881,Q880)</f>
        <v>157.42</v>
      </c>
      <c r="R881" s="17">
        <f>IF(AND(ISNUMBER(Histórico!$A881),ISNUMBER(Histórico!C881),Histórico!C881&gt;0),Histórico!C881,R880)</f>
        <v>64.73</v>
      </c>
      <c r="S881" s="17">
        <f>IF(AND(ISNUMBER(Histórico!$A881),ISNUMBER(Histórico!D881),Histórico!D881&gt;0),Histórico!D881,S880)</f>
        <v>389.05</v>
      </c>
      <c r="T881" s="18">
        <f>IF(AND(ISNUMBER(Histórico!$A881),ISNUMBER(Histórico!E881),Histórico!E881&gt;0),Histórico!E881,T880)</f>
        <v>5.3744</v>
      </c>
      <c r="U881" s="15">
        <f>IF(ISNUMBER(Histórico!A881),Histórico!A881,U880)</f>
        <v>46324</v>
      </c>
    </row>
    <row r="882" spans="17:21" ht="22.95" customHeight="1">
      <c r="Q882" s="17">
        <f>IF(AND(ISNUMBER(Histórico!$A882),ISNUMBER(Histórico!B882),Histórico!B882&gt;0),Histórico!B882,Q881)</f>
        <v>157.42</v>
      </c>
      <c r="R882" s="17">
        <f>IF(AND(ISNUMBER(Histórico!$A882),ISNUMBER(Histórico!C882),Histórico!C882&gt;0),Histórico!C882,R881)</f>
        <v>64.73</v>
      </c>
      <c r="S882" s="17">
        <f>IF(AND(ISNUMBER(Histórico!$A882),ISNUMBER(Histórico!D882),Histórico!D882&gt;0),Histórico!D882,S881)</f>
        <v>389.05</v>
      </c>
      <c r="T882" s="18">
        <f>IF(AND(ISNUMBER(Histórico!$A882),ISNUMBER(Histórico!E882),Histórico!E882&gt;0),Histórico!E882,T881)</f>
        <v>5.3744</v>
      </c>
      <c r="U882" s="15">
        <f>IF(ISNUMBER(Histórico!A882),Histórico!A882,U881)</f>
        <v>46324</v>
      </c>
    </row>
    <row r="883" spans="17:21" ht="22.95" customHeight="1">
      <c r="Q883" s="17">
        <f>IF(AND(ISNUMBER(Histórico!$A883),ISNUMBER(Histórico!B883),Histórico!B883&gt;0),Histórico!B883,Q882)</f>
        <v>157.42</v>
      </c>
      <c r="R883" s="17">
        <f>IF(AND(ISNUMBER(Histórico!$A883),ISNUMBER(Histórico!C883),Histórico!C883&gt;0),Histórico!C883,R882)</f>
        <v>64.73</v>
      </c>
      <c r="S883" s="17">
        <f>IF(AND(ISNUMBER(Histórico!$A883),ISNUMBER(Histórico!D883),Histórico!D883&gt;0),Histórico!D883,S882)</f>
        <v>389.05</v>
      </c>
      <c r="T883" s="18">
        <f>IF(AND(ISNUMBER(Histórico!$A883),ISNUMBER(Histórico!E883),Histórico!E883&gt;0),Histórico!E883,T882)</f>
        <v>5.3744</v>
      </c>
      <c r="U883" s="15">
        <f>IF(ISNUMBER(Histórico!A883),Histórico!A883,U882)</f>
        <v>46324</v>
      </c>
    </row>
    <row r="884" spans="17:21" ht="22.95" customHeight="1">
      <c r="Q884" s="17">
        <f>IF(AND(ISNUMBER(Histórico!$A884),ISNUMBER(Histórico!B884),Histórico!B884&gt;0),Histórico!B884,Q883)</f>
        <v>157.42</v>
      </c>
      <c r="R884" s="17">
        <f>IF(AND(ISNUMBER(Histórico!$A884),ISNUMBER(Histórico!C884),Histórico!C884&gt;0),Histórico!C884,R883)</f>
        <v>64.73</v>
      </c>
      <c r="S884" s="17">
        <f>IF(AND(ISNUMBER(Histórico!$A884),ISNUMBER(Histórico!D884),Histórico!D884&gt;0),Histórico!D884,S883)</f>
        <v>389.05</v>
      </c>
      <c r="T884" s="18">
        <f>IF(AND(ISNUMBER(Histórico!$A884),ISNUMBER(Histórico!E884),Histórico!E884&gt;0),Histórico!E884,T883)</f>
        <v>5.3744</v>
      </c>
      <c r="U884" s="15">
        <f>IF(ISNUMBER(Histórico!A884),Histórico!A884,U883)</f>
        <v>46324</v>
      </c>
    </row>
    <row r="885" spans="17:21" ht="22.95" customHeight="1">
      <c r="Q885" s="17">
        <f>IF(AND(ISNUMBER(Histórico!$A885),ISNUMBER(Histórico!B885),Histórico!B885&gt;0),Histórico!B885,Q884)</f>
        <v>157.42</v>
      </c>
      <c r="R885" s="17">
        <f>IF(AND(ISNUMBER(Histórico!$A885),ISNUMBER(Histórico!C885),Histórico!C885&gt;0),Histórico!C885,R884)</f>
        <v>64.73</v>
      </c>
      <c r="S885" s="17">
        <f>IF(AND(ISNUMBER(Histórico!$A885),ISNUMBER(Histórico!D885),Histórico!D885&gt;0),Histórico!D885,S884)</f>
        <v>389.05</v>
      </c>
      <c r="T885" s="18">
        <f>IF(AND(ISNUMBER(Histórico!$A885),ISNUMBER(Histórico!E885),Histórico!E885&gt;0),Histórico!E885,T884)</f>
        <v>5.3744</v>
      </c>
      <c r="U885" s="15">
        <f>IF(ISNUMBER(Histórico!A885),Histórico!A885,U884)</f>
        <v>46324</v>
      </c>
    </row>
    <row r="886" spans="17:21" ht="22.95" customHeight="1">
      <c r="Q886" s="17">
        <f>IF(AND(ISNUMBER(Histórico!$A886),ISNUMBER(Histórico!B886),Histórico!B886&gt;0),Histórico!B886,Q885)</f>
        <v>157.42</v>
      </c>
      <c r="R886" s="17">
        <f>IF(AND(ISNUMBER(Histórico!$A886),ISNUMBER(Histórico!C886),Histórico!C886&gt;0),Histórico!C886,R885)</f>
        <v>64.73</v>
      </c>
      <c r="S886" s="17">
        <f>IF(AND(ISNUMBER(Histórico!$A886),ISNUMBER(Histórico!D886),Histórico!D886&gt;0),Histórico!D886,S885)</f>
        <v>389.05</v>
      </c>
      <c r="T886" s="18">
        <f>IF(AND(ISNUMBER(Histórico!$A886),ISNUMBER(Histórico!E886),Histórico!E886&gt;0),Histórico!E886,T885)</f>
        <v>5.3744</v>
      </c>
      <c r="U886" s="15">
        <f>IF(ISNUMBER(Histórico!A886),Histórico!A886,U885)</f>
        <v>46324</v>
      </c>
    </row>
    <row r="887" spans="17:21" ht="22.95" customHeight="1">
      <c r="Q887" s="17">
        <f>IF(AND(ISNUMBER(Histórico!$A887),ISNUMBER(Histórico!B887),Histórico!B887&gt;0),Histórico!B887,Q886)</f>
        <v>157.42</v>
      </c>
      <c r="R887" s="17">
        <f>IF(AND(ISNUMBER(Histórico!$A887),ISNUMBER(Histórico!C887),Histórico!C887&gt;0),Histórico!C887,R886)</f>
        <v>64.73</v>
      </c>
      <c r="S887" s="17">
        <f>IF(AND(ISNUMBER(Histórico!$A887),ISNUMBER(Histórico!D887),Histórico!D887&gt;0),Histórico!D887,S886)</f>
        <v>389.05</v>
      </c>
      <c r="T887" s="18">
        <f>IF(AND(ISNUMBER(Histórico!$A887),ISNUMBER(Histórico!E887),Histórico!E887&gt;0),Histórico!E887,T886)</f>
        <v>5.3744</v>
      </c>
      <c r="U887" s="15">
        <f>IF(ISNUMBER(Histórico!A887),Histórico!A887,U886)</f>
        <v>46324</v>
      </c>
    </row>
    <row r="888" spans="17:21" ht="22.95" customHeight="1">
      <c r="Q888" s="17">
        <f>IF(AND(ISNUMBER(Histórico!$A888),ISNUMBER(Histórico!B888),Histórico!B888&gt;0),Histórico!B888,Q887)</f>
        <v>157.42</v>
      </c>
      <c r="R888" s="17">
        <f>IF(AND(ISNUMBER(Histórico!$A888),ISNUMBER(Histórico!C888),Histórico!C888&gt;0),Histórico!C888,R887)</f>
        <v>64.73</v>
      </c>
      <c r="S888" s="17">
        <f>IF(AND(ISNUMBER(Histórico!$A888),ISNUMBER(Histórico!D888),Histórico!D888&gt;0),Histórico!D888,S887)</f>
        <v>389.05</v>
      </c>
      <c r="T888" s="18">
        <f>IF(AND(ISNUMBER(Histórico!$A888),ISNUMBER(Histórico!E888),Histórico!E888&gt;0),Histórico!E888,T887)</f>
        <v>5.3744</v>
      </c>
      <c r="U888" s="15">
        <f>IF(ISNUMBER(Histórico!A888),Histórico!A888,U887)</f>
        <v>46324</v>
      </c>
    </row>
    <row r="889" spans="17:21" ht="22.95" customHeight="1">
      <c r="Q889" s="17">
        <f>IF(AND(ISNUMBER(Histórico!$A889),ISNUMBER(Histórico!B889),Histórico!B889&gt;0),Histórico!B889,Q888)</f>
        <v>157.42</v>
      </c>
      <c r="R889" s="17">
        <f>IF(AND(ISNUMBER(Histórico!$A889),ISNUMBER(Histórico!C889),Histórico!C889&gt;0),Histórico!C889,R888)</f>
        <v>64.73</v>
      </c>
      <c r="S889" s="17">
        <f>IF(AND(ISNUMBER(Histórico!$A889),ISNUMBER(Histórico!D889),Histórico!D889&gt;0),Histórico!D889,S888)</f>
        <v>389.05</v>
      </c>
      <c r="T889" s="18">
        <f>IF(AND(ISNUMBER(Histórico!$A889),ISNUMBER(Histórico!E889),Histórico!E889&gt;0),Histórico!E889,T888)</f>
        <v>5.3744</v>
      </c>
      <c r="U889" s="15">
        <f>IF(ISNUMBER(Histórico!A889),Histórico!A889,U888)</f>
        <v>46324</v>
      </c>
    </row>
    <row r="890" spans="17:21" ht="22.95" customHeight="1">
      <c r="Q890" s="17">
        <f>IF(AND(ISNUMBER(Histórico!$A890),ISNUMBER(Histórico!B890),Histórico!B890&gt;0),Histórico!B890,Q889)</f>
        <v>157.42</v>
      </c>
      <c r="R890" s="17">
        <f>IF(AND(ISNUMBER(Histórico!$A890),ISNUMBER(Histórico!C890),Histórico!C890&gt;0),Histórico!C890,R889)</f>
        <v>64.73</v>
      </c>
      <c r="S890" s="17">
        <f>IF(AND(ISNUMBER(Histórico!$A890),ISNUMBER(Histórico!D890),Histórico!D890&gt;0),Histórico!D890,S889)</f>
        <v>389.05</v>
      </c>
      <c r="T890" s="18">
        <f>IF(AND(ISNUMBER(Histórico!$A890),ISNUMBER(Histórico!E890),Histórico!E890&gt;0),Histórico!E890,T889)</f>
        <v>5.3744</v>
      </c>
      <c r="U890" s="15">
        <f>IF(ISNUMBER(Histórico!A890),Histórico!A890,U889)</f>
        <v>46324</v>
      </c>
    </row>
    <row r="891" spans="17:21" ht="22.95" customHeight="1">
      <c r="Q891" s="17">
        <f>IF(AND(ISNUMBER(Histórico!$A891),ISNUMBER(Histórico!B891),Histórico!B891&gt;0),Histórico!B891,Q890)</f>
        <v>157.42</v>
      </c>
      <c r="R891" s="17">
        <f>IF(AND(ISNUMBER(Histórico!$A891),ISNUMBER(Histórico!C891),Histórico!C891&gt;0),Histórico!C891,R890)</f>
        <v>64.73</v>
      </c>
      <c r="S891" s="17">
        <f>IF(AND(ISNUMBER(Histórico!$A891),ISNUMBER(Histórico!D891),Histórico!D891&gt;0),Histórico!D891,S890)</f>
        <v>389.05</v>
      </c>
      <c r="T891" s="18">
        <f>IF(AND(ISNUMBER(Histórico!$A891),ISNUMBER(Histórico!E891),Histórico!E891&gt;0),Histórico!E891,T890)</f>
        <v>5.3744</v>
      </c>
      <c r="U891" s="15">
        <f>IF(ISNUMBER(Histórico!A891),Histórico!A891,U890)</f>
        <v>46324</v>
      </c>
    </row>
    <row r="892" spans="17:21" ht="22.95" customHeight="1">
      <c r="Q892" s="17">
        <f>IF(AND(ISNUMBER(Histórico!$A892),ISNUMBER(Histórico!B892),Histórico!B892&gt;0),Histórico!B892,Q891)</f>
        <v>157.42</v>
      </c>
      <c r="R892" s="17">
        <f>IF(AND(ISNUMBER(Histórico!$A892),ISNUMBER(Histórico!C892),Histórico!C892&gt;0),Histórico!C892,R891)</f>
        <v>64.73</v>
      </c>
      <c r="S892" s="17">
        <f>IF(AND(ISNUMBER(Histórico!$A892),ISNUMBER(Histórico!D892),Histórico!D892&gt;0),Histórico!D892,S891)</f>
        <v>389.05</v>
      </c>
      <c r="T892" s="18">
        <f>IF(AND(ISNUMBER(Histórico!$A892),ISNUMBER(Histórico!E892),Histórico!E892&gt;0),Histórico!E892,T891)</f>
        <v>5.3744</v>
      </c>
      <c r="U892" s="15">
        <f>IF(ISNUMBER(Histórico!A892),Histórico!A892,U891)</f>
        <v>46324</v>
      </c>
    </row>
    <row r="893" spans="17:21" ht="22.95" customHeight="1">
      <c r="Q893" s="17">
        <f>IF(AND(ISNUMBER(Histórico!$A893),ISNUMBER(Histórico!B893),Histórico!B893&gt;0),Histórico!B893,Q892)</f>
        <v>157.42</v>
      </c>
      <c r="R893" s="17">
        <f>IF(AND(ISNUMBER(Histórico!$A893),ISNUMBER(Histórico!C893),Histórico!C893&gt;0),Histórico!C893,R892)</f>
        <v>64.73</v>
      </c>
      <c r="S893" s="17">
        <f>IF(AND(ISNUMBER(Histórico!$A893),ISNUMBER(Histórico!D893),Histórico!D893&gt;0),Histórico!D893,S892)</f>
        <v>389.05</v>
      </c>
      <c r="T893" s="18">
        <f>IF(AND(ISNUMBER(Histórico!$A893),ISNUMBER(Histórico!E893),Histórico!E893&gt;0),Histórico!E893,T892)</f>
        <v>5.3744</v>
      </c>
      <c r="U893" s="15">
        <f>IF(ISNUMBER(Histórico!A893),Histórico!A893,U892)</f>
        <v>46324</v>
      </c>
    </row>
    <row r="894" spans="17:21" ht="22.95" customHeight="1">
      <c r="Q894" s="17">
        <f>IF(AND(ISNUMBER(Histórico!$A894),ISNUMBER(Histórico!B894),Histórico!B894&gt;0),Histórico!B894,Q893)</f>
        <v>157.42</v>
      </c>
      <c r="R894" s="17">
        <f>IF(AND(ISNUMBER(Histórico!$A894),ISNUMBER(Histórico!C894),Histórico!C894&gt;0),Histórico!C894,R893)</f>
        <v>64.73</v>
      </c>
      <c r="S894" s="17">
        <f>IF(AND(ISNUMBER(Histórico!$A894),ISNUMBER(Histórico!D894),Histórico!D894&gt;0),Histórico!D894,S893)</f>
        <v>389.05</v>
      </c>
      <c r="T894" s="18">
        <f>IF(AND(ISNUMBER(Histórico!$A894),ISNUMBER(Histórico!E894),Histórico!E894&gt;0),Histórico!E894,T893)</f>
        <v>5.3744</v>
      </c>
      <c r="U894" s="15">
        <f>IF(ISNUMBER(Histórico!A894),Histórico!A894,U893)</f>
        <v>46324</v>
      </c>
    </row>
    <row r="895" spans="17:21" ht="22.95" customHeight="1">
      <c r="Q895" s="17">
        <f>IF(AND(ISNUMBER(Histórico!$A895),ISNUMBER(Histórico!B895),Histórico!B895&gt;0),Histórico!B895,Q894)</f>
        <v>157.42</v>
      </c>
      <c r="R895" s="17">
        <f>IF(AND(ISNUMBER(Histórico!$A895),ISNUMBER(Histórico!C895),Histórico!C895&gt;0),Histórico!C895,R894)</f>
        <v>64.73</v>
      </c>
      <c r="S895" s="17">
        <f>IF(AND(ISNUMBER(Histórico!$A895),ISNUMBER(Histórico!D895),Histórico!D895&gt;0),Histórico!D895,S894)</f>
        <v>389.05</v>
      </c>
      <c r="T895" s="18">
        <f>IF(AND(ISNUMBER(Histórico!$A895),ISNUMBER(Histórico!E895),Histórico!E895&gt;0),Histórico!E895,T894)</f>
        <v>5.3744</v>
      </c>
      <c r="U895" s="15">
        <f>IF(ISNUMBER(Histórico!A895),Histórico!A895,U894)</f>
        <v>46324</v>
      </c>
    </row>
    <row r="896" spans="17:21" ht="22.95" customHeight="1">
      <c r="Q896" s="17">
        <f>IF(AND(ISNUMBER(Histórico!$A896),ISNUMBER(Histórico!B896),Histórico!B896&gt;0),Histórico!B896,Q895)</f>
        <v>157.42</v>
      </c>
      <c r="R896" s="17">
        <f>IF(AND(ISNUMBER(Histórico!$A896),ISNUMBER(Histórico!C896),Histórico!C896&gt;0),Histórico!C896,R895)</f>
        <v>64.73</v>
      </c>
      <c r="S896" s="17">
        <f>IF(AND(ISNUMBER(Histórico!$A896),ISNUMBER(Histórico!D896),Histórico!D896&gt;0),Histórico!D896,S895)</f>
        <v>389.05</v>
      </c>
      <c r="T896" s="18">
        <f>IF(AND(ISNUMBER(Histórico!$A896),ISNUMBER(Histórico!E896),Histórico!E896&gt;0),Histórico!E896,T895)</f>
        <v>5.3744</v>
      </c>
      <c r="U896" s="15">
        <f>IF(ISNUMBER(Histórico!A896),Histórico!A896,U895)</f>
        <v>46324</v>
      </c>
    </row>
    <row r="897" spans="17:21" ht="22.95" customHeight="1">
      <c r="Q897" s="17">
        <f>IF(AND(ISNUMBER(Histórico!$A897),ISNUMBER(Histórico!B897),Histórico!B897&gt;0),Histórico!B897,Q896)</f>
        <v>157.42</v>
      </c>
      <c r="R897" s="17">
        <f>IF(AND(ISNUMBER(Histórico!$A897),ISNUMBER(Histórico!C897),Histórico!C897&gt;0),Histórico!C897,R896)</f>
        <v>64.73</v>
      </c>
      <c r="S897" s="17">
        <f>IF(AND(ISNUMBER(Histórico!$A897),ISNUMBER(Histórico!D897),Histórico!D897&gt;0),Histórico!D897,S896)</f>
        <v>389.05</v>
      </c>
      <c r="T897" s="18">
        <f>IF(AND(ISNUMBER(Histórico!$A897),ISNUMBER(Histórico!E897),Histórico!E897&gt;0),Histórico!E897,T896)</f>
        <v>5.3744</v>
      </c>
      <c r="U897" s="15">
        <f>IF(ISNUMBER(Histórico!A897),Histórico!A897,U896)</f>
        <v>46324</v>
      </c>
    </row>
    <row r="898" spans="17:21" ht="22.95" customHeight="1">
      <c r="Q898" s="17">
        <f>IF(AND(ISNUMBER(Histórico!$A898),ISNUMBER(Histórico!B898),Histórico!B898&gt;0),Histórico!B898,Q897)</f>
        <v>157.42</v>
      </c>
      <c r="R898" s="17">
        <f>IF(AND(ISNUMBER(Histórico!$A898),ISNUMBER(Histórico!C898),Histórico!C898&gt;0),Histórico!C898,R897)</f>
        <v>64.73</v>
      </c>
      <c r="S898" s="17">
        <f>IF(AND(ISNUMBER(Histórico!$A898),ISNUMBER(Histórico!D898),Histórico!D898&gt;0),Histórico!D898,S897)</f>
        <v>389.05</v>
      </c>
      <c r="T898" s="18">
        <f>IF(AND(ISNUMBER(Histórico!$A898),ISNUMBER(Histórico!E898),Histórico!E898&gt;0),Histórico!E898,T897)</f>
        <v>5.3744</v>
      </c>
      <c r="U898" s="15">
        <f>IF(ISNUMBER(Histórico!A898),Histórico!A898,U897)</f>
        <v>46324</v>
      </c>
    </row>
    <row r="899" spans="17:21" ht="22.95" customHeight="1">
      <c r="Q899" s="17">
        <f>IF(AND(ISNUMBER(Histórico!$A899),ISNUMBER(Histórico!B899),Histórico!B899&gt;0),Histórico!B899,Q898)</f>
        <v>157.42</v>
      </c>
      <c r="R899" s="17">
        <f>IF(AND(ISNUMBER(Histórico!$A899),ISNUMBER(Histórico!C899),Histórico!C899&gt;0),Histórico!C899,R898)</f>
        <v>64.73</v>
      </c>
      <c r="S899" s="17">
        <f>IF(AND(ISNUMBER(Histórico!$A899),ISNUMBER(Histórico!D899),Histórico!D899&gt;0),Histórico!D899,S898)</f>
        <v>389.05</v>
      </c>
      <c r="T899" s="18">
        <f>IF(AND(ISNUMBER(Histórico!$A899),ISNUMBER(Histórico!E899),Histórico!E899&gt;0),Histórico!E899,T898)</f>
        <v>5.3744</v>
      </c>
      <c r="U899" s="15">
        <f>IF(ISNUMBER(Histórico!A899),Histórico!A899,U898)</f>
        <v>46324</v>
      </c>
    </row>
    <row r="900" spans="17:21" ht="22.95" customHeight="1">
      <c r="Q900" s="17">
        <f>IF(AND(ISNUMBER(Histórico!$A900),ISNUMBER(Histórico!B900),Histórico!B900&gt;0),Histórico!B900,Q899)</f>
        <v>157.42</v>
      </c>
      <c r="R900" s="17">
        <f>IF(AND(ISNUMBER(Histórico!$A900),ISNUMBER(Histórico!C900),Histórico!C900&gt;0),Histórico!C900,R899)</f>
        <v>64.73</v>
      </c>
      <c r="S900" s="17">
        <f>IF(AND(ISNUMBER(Histórico!$A900),ISNUMBER(Histórico!D900),Histórico!D900&gt;0),Histórico!D900,S899)</f>
        <v>389.05</v>
      </c>
      <c r="T900" s="18">
        <f>IF(AND(ISNUMBER(Histórico!$A900),ISNUMBER(Histórico!E900),Histórico!E900&gt;0),Histórico!E900,T899)</f>
        <v>5.3744</v>
      </c>
      <c r="U900" s="15">
        <f>IF(ISNUMBER(Histórico!A900),Histórico!A900,U899)</f>
        <v>46324</v>
      </c>
    </row>
    <row r="901" spans="17:21" ht="22.95" customHeight="1">
      <c r="Q901" s="17">
        <f>IF(AND(ISNUMBER(Histórico!$A901),ISNUMBER(Histórico!B901),Histórico!B901&gt;0),Histórico!B901,Q900)</f>
        <v>157.42</v>
      </c>
      <c r="R901" s="17">
        <f>IF(AND(ISNUMBER(Histórico!$A901),ISNUMBER(Histórico!C901),Histórico!C901&gt;0),Histórico!C901,R900)</f>
        <v>64.73</v>
      </c>
      <c r="S901" s="17">
        <f>IF(AND(ISNUMBER(Histórico!$A901),ISNUMBER(Histórico!D901),Histórico!D901&gt;0),Histórico!D901,S900)</f>
        <v>389.05</v>
      </c>
      <c r="T901" s="18">
        <f>IF(AND(ISNUMBER(Histórico!$A901),ISNUMBER(Histórico!E901),Histórico!E901&gt;0),Histórico!E901,T900)</f>
        <v>5.3744</v>
      </c>
      <c r="U901" s="15">
        <f>IF(ISNUMBER(Histórico!A901),Histórico!A901,U900)</f>
        <v>46324</v>
      </c>
    </row>
    <row r="902" spans="17:21" ht="22.95" customHeight="1">
      <c r="Q902" s="17">
        <f>IF(AND(ISNUMBER(Histórico!$A902),ISNUMBER(Histórico!B902),Histórico!B902&gt;0),Histórico!B902,Q901)</f>
        <v>157.42</v>
      </c>
      <c r="R902" s="17">
        <f>IF(AND(ISNUMBER(Histórico!$A902),ISNUMBER(Histórico!C902),Histórico!C902&gt;0),Histórico!C902,R901)</f>
        <v>64.73</v>
      </c>
      <c r="S902" s="17">
        <f>IF(AND(ISNUMBER(Histórico!$A902),ISNUMBER(Histórico!D902),Histórico!D902&gt;0),Histórico!D902,S901)</f>
        <v>389.05</v>
      </c>
      <c r="T902" s="18">
        <f>IF(AND(ISNUMBER(Histórico!$A902),ISNUMBER(Histórico!E902),Histórico!E902&gt;0),Histórico!E902,T901)</f>
        <v>5.3744</v>
      </c>
      <c r="U902" s="15">
        <f>IF(ISNUMBER(Histórico!A902),Histórico!A902,U901)</f>
        <v>46324</v>
      </c>
    </row>
    <row r="903" spans="17:21" ht="22.95" customHeight="1">
      <c r="Q903" s="17">
        <f>IF(AND(ISNUMBER(Histórico!$A903),ISNUMBER(Histórico!B903),Histórico!B903&gt;0),Histórico!B903,Q902)</f>
        <v>157.42</v>
      </c>
      <c r="R903" s="17">
        <f>IF(AND(ISNUMBER(Histórico!$A903),ISNUMBER(Histórico!C903),Histórico!C903&gt;0),Histórico!C903,R902)</f>
        <v>64.73</v>
      </c>
      <c r="S903" s="17">
        <f>IF(AND(ISNUMBER(Histórico!$A903),ISNUMBER(Histórico!D903),Histórico!D903&gt;0),Histórico!D903,S902)</f>
        <v>389.05</v>
      </c>
      <c r="T903" s="18">
        <f>IF(AND(ISNUMBER(Histórico!$A903),ISNUMBER(Histórico!E903),Histórico!E903&gt;0),Histórico!E903,T902)</f>
        <v>5.3744</v>
      </c>
      <c r="U903" s="15">
        <f>IF(ISNUMBER(Histórico!A903),Histórico!A903,U902)</f>
        <v>46324</v>
      </c>
    </row>
    <row r="904" spans="17:21" ht="22.95" customHeight="1">
      <c r="Q904" s="17">
        <f>IF(AND(ISNUMBER(Histórico!$A904),ISNUMBER(Histórico!B904),Histórico!B904&gt;0),Histórico!B904,Q903)</f>
        <v>157.42</v>
      </c>
      <c r="R904" s="17">
        <f>IF(AND(ISNUMBER(Histórico!$A904),ISNUMBER(Histórico!C904),Histórico!C904&gt;0),Histórico!C904,R903)</f>
        <v>64.73</v>
      </c>
      <c r="S904" s="17">
        <f>IF(AND(ISNUMBER(Histórico!$A904),ISNUMBER(Histórico!D904),Histórico!D904&gt;0),Histórico!D904,S903)</f>
        <v>389.05</v>
      </c>
      <c r="T904" s="18">
        <f>IF(AND(ISNUMBER(Histórico!$A904),ISNUMBER(Histórico!E904),Histórico!E904&gt;0),Histórico!E904,T903)</f>
        <v>5.3744</v>
      </c>
      <c r="U904" s="15">
        <f>IF(ISNUMBER(Histórico!A904),Histórico!A904,U903)</f>
        <v>46324</v>
      </c>
    </row>
    <row r="905" spans="17:21" ht="22.95" customHeight="1">
      <c r="Q905" s="17">
        <f>IF(AND(ISNUMBER(Histórico!$A905),ISNUMBER(Histórico!B905),Histórico!B905&gt;0),Histórico!B905,Q904)</f>
        <v>157.42</v>
      </c>
      <c r="R905" s="17">
        <f>IF(AND(ISNUMBER(Histórico!$A905),ISNUMBER(Histórico!C905),Histórico!C905&gt;0),Histórico!C905,R904)</f>
        <v>64.73</v>
      </c>
      <c r="S905" s="17">
        <f>IF(AND(ISNUMBER(Histórico!$A905),ISNUMBER(Histórico!D905),Histórico!D905&gt;0),Histórico!D905,S904)</f>
        <v>389.05</v>
      </c>
      <c r="T905" s="18">
        <f>IF(AND(ISNUMBER(Histórico!$A905),ISNUMBER(Histórico!E905),Histórico!E905&gt;0),Histórico!E905,T904)</f>
        <v>5.3744</v>
      </c>
      <c r="U905" s="15">
        <f>IF(ISNUMBER(Histórico!A905),Histórico!A905,U904)</f>
        <v>46324</v>
      </c>
    </row>
    <row r="906" spans="17:21" ht="22.95" customHeight="1">
      <c r="Q906" s="17">
        <f>IF(AND(ISNUMBER(Histórico!$A906),ISNUMBER(Histórico!B906),Histórico!B906&gt;0),Histórico!B906,Q905)</f>
        <v>157.42</v>
      </c>
      <c r="R906" s="17">
        <f>IF(AND(ISNUMBER(Histórico!$A906),ISNUMBER(Histórico!C906),Histórico!C906&gt;0),Histórico!C906,R905)</f>
        <v>64.73</v>
      </c>
      <c r="S906" s="17">
        <f>IF(AND(ISNUMBER(Histórico!$A906),ISNUMBER(Histórico!D906),Histórico!D906&gt;0),Histórico!D906,S905)</f>
        <v>389.05</v>
      </c>
      <c r="T906" s="18">
        <f>IF(AND(ISNUMBER(Histórico!$A906),ISNUMBER(Histórico!E906),Histórico!E906&gt;0),Histórico!E906,T905)</f>
        <v>5.3744</v>
      </c>
      <c r="U906" s="15">
        <f>IF(ISNUMBER(Histórico!A906),Histórico!A906,U905)</f>
        <v>46324</v>
      </c>
    </row>
    <row r="907" spans="17:21" ht="22.95" customHeight="1">
      <c r="Q907" s="17">
        <f>IF(AND(ISNUMBER(Histórico!$A907),ISNUMBER(Histórico!B907),Histórico!B907&gt;0),Histórico!B907,Q906)</f>
        <v>157.42</v>
      </c>
      <c r="R907" s="17">
        <f>IF(AND(ISNUMBER(Histórico!$A907),ISNUMBER(Histórico!C907),Histórico!C907&gt;0),Histórico!C907,R906)</f>
        <v>64.73</v>
      </c>
      <c r="S907" s="17">
        <f>IF(AND(ISNUMBER(Histórico!$A907),ISNUMBER(Histórico!D907),Histórico!D907&gt;0),Histórico!D907,S906)</f>
        <v>389.05</v>
      </c>
      <c r="T907" s="18">
        <f>IF(AND(ISNUMBER(Histórico!$A907),ISNUMBER(Histórico!E907),Histórico!E907&gt;0),Histórico!E907,T906)</f>
        <v>5.3744</v>
      </c>
      <c r="U907" s="15">
        <f>IF(ISNUMBER(Histórico!A907),Histórico!A907,U906)</f>
        <v>46324</v>
      </c>
    </row>
    <row r="908" spans="17:21" ht="22.95" customHeight="1">
      <c r="Q908" s="17">
        <f>IF(AND(ISNUMBER(Histórico!$A908),ISNUMBER(Histórico!B908),Histórico!B908&gt;0),Histórico!B908,Q907)</f>
        <v>157.42</v>
      </c>
      <c r="R908" s="17">
        <f>IF(AND(ISNUMBER(Histórico!$A908),ISNUMBER(Histórico!C908),Histórico!C908&gt;0),Histórico!C908,R907)</f>
        <v>64.73</v>
      </c>
      <c r="S908" s="17">
        <f>IF(AND(ISNUMBER(Histórico!$A908),ISNUMBER(Histórico!D908),Histórico!D908&gt;0),Histórico!D908,S907)</f>
        <v>389.05</v>
      </c>
      <c r="T908" s="18">
        <f>IF(AND(ISNUMBER(Histórico!$A908),ISNUMBER(Histórico!E908),Histórico!E908&gt;0),Histórico!E908,T907)</f>
        <v>5.3744</v>
      </c>
      <c r="U908" s="15">
        <f>IF(ISNUMBER(Histórico!A908),Histórico!A908,U907)</f>
        <v>46324</v>
      </c>
    </row>
    <row r="909" spans="17:21" ht="22.95" customHeight="1">
      <c r="Q909" s="17">
        <f>IF(AND(ISNUMBER(Histórico!$A909),ISNUMBER(Histórico!B909),Histórico!B909&gt;0),Histórico!B909,Q908)</f>
        <v>157.42</v>
      </c>
      <c r="R909" s="17">
        <f>IF(AND(ISNUMBER(Histórico!$A909),ISNUMBER(Histórico!C909),Histórico!C909&gt;0),Histórico!C909,R908)</f>
        <v>64.73</v>
      </c>
      <c r="S909" s="17">
        <f>IF(AND(ISNUMBER(Histórico!$A909),ISNUMBER(Histórico!D909),Histórico!D909&gt;0),Histórico!D909,S908)</f>
        <v>389.05</v>
      </c>
      <c r="T909" s="18">
        <f>IF(AND(ISNUMBER(Histórico!$A909),ISNUMBER(Histórico!E909),Histórico!E909&gt;0),Histórico!E909,T908)</f>
        <v>5.3744</v>
      </c>
      <c r="U909" s="15">
        <f>IF(ISNUMBER(Histórico!A909),Histórico!A909,U908)</f>
        <v>46324</v>
      </c>
    </row>
    <row r="910" spans="17:21" ht="22.95" customHeight="1">
      <c r="Q910" s="17">
        <f>IF(AND(ISNUMBER(Histórico!$A910),ISNUMBER(Histórico!B910),Histórico!B910&gt;0),Histórico!B910,Q909)</f>
        <v>157.42</v>
      </c>
      <c r="R910" s="17">
        <f>IF(AND(ISNUMBER(Histórico!$A910),ISNUMBER(Histórico!C910),Histórico!C910&gt;0),Histórico!C910,R909)</f>
        <v>64.73</v>
      </c>
      <c r="S910" s="17">
        <f>IF(AND(ISNUMBER(Histórico!$A910),ISNUMBER(Histórico!D910),Histórico!D910&gt;0),Histórico!D910,S909)</f>
        <v>389.05</v>
      </c>
      <c r="T910" s="18">
        <f>IF(AND(ISNUMBER(Histórico!$A910),ISNUMBER(Histórico!E910),Histórico!E910&gt;0),Histórico!E910,T909)</f>
        <v>5.3744</v>
      </c>
      <c r="U910" s="15">
        <f>IF(ISNUMBER(Histórico!A910),Histórico!A910,U909)</f>
        <v>46324</v>
      </c>
    </row>
    <row r="911" spans="17:21" ht="22.95" customHeight="1">
      <c r="Q911" s="17">
        <f>IF(AND(ISNUMBER(Histórico!$A911),ISNUMBER(Histórico!B911),Histórico!B911&gt;0),Histórico!B911,Q910)</f>
        <v>157.42</v>
      </c>
      <c r="R911" s="17">
        <f>IF(AND(ISNUMBER(Histórico!$A911),ISNUMBER(Histórico!C911),Histórico!C911&gt;0),Histórico!C911,R910)</f>
        <v>64.73</v>
      </c>
      <c r="S911" s="17">
        <f>IF(AND(ISNUMBER(Histórico!$A911),ISNUMBER(Histórico!D911),Histórico!D911&gt;0),Histórico!D911,S910)</f>
        <v>389.05</v>
      </c>
      <c r="T911" s="18">
        <f>IF(AND(ISNUMBER(Histórico!$A911),ISNUMBER(Histórico!E911),Histórico!E911&gt;0),Histórico!E911,T910)</f>
        <v>5.3744</v>
      </c>
      <c r="U911" s="15">
        <f>IF(ISNUMBER(Histórico!A911),Histórico!A911,U910)</f>
        <v>46324</v>
      </c>
    </row>
    <row r="912" spans="17:21" ht="22.95" customHeight="1">
      <c r="Q912" s="17">
        <f>IF(AND(ISNUMBER(Histórico!$A912),ISNUMBER(Histórico!B912),Histórico!B912&gt;0),Histórico!B912,Q911)</f>
        <v>157.42</v>
      </c>
      <c r="R912" s="17">
        <f>IF(AND(ISNUMBER(Histórico!$A912),ISNUMBER(Histórico!C912),Histórico!C912&gt;0),Histórico!C912,R911)</f>
        <v>64.73</v>
      </c>
      <c r="S912" s="17">
        <f>IF(AND(ISNUMBER(Histórico!$A912),ISNUMBER(Histórico!D912),Histórico!D912&gt;0),Histórico!D912,S911)</f>
        <v>389.05</v>
      </c>
      <c r="T912" s="18">
        <f>IF(AND(ISNUMBER(Histórico!$A912),ISNUMBER(Histórico!E912),Histórico!E912&gt;0),Histórico!E912,T911)</f>
        <v>5.3744</v>
      </c>
      <c r="U912" s="15">
        <f>IF(ISNUMBER(Histórico!A912),Histórico!A912,U911)</f>
        <v>46324</v>
      </c>
    </row>
    <row r="913" spans="17:21" ht="22.95" customHeight="1">
      <c r="Q913" s="17">
        <f>IF(AND(ISNUMBER(Histórico!$A913),ISNUMBER(Histórico!B913),Histórico!B913&gt;0),Histórico!B913,Q912)</f>
        <v>157.42</v>
      </c>
      <c r="R913" s="17">
        <f>IF(AND(ISNUMBER(Histórico!$A913),ISNUMBER(Histórico!C913),Histórico!C913&gt;0),Histórico!C913,R912)</f>
        <v>64.73</v>
      </c>
      <c r="S913" s="17">
        <f>IF(AND(ISNUMBER(Histórico!$A913),ISNUMBER(Histórico!D913),Histórico!D913&gt;0),Histórico!D913,S912)</f>
        <v>389.05</v>
      </c>
      <c r="T913" s="18">
        <f>IF(AND(ISNUMBER(Histórico!$A913),ISNUMBER(Histórico!E913),Histórico!E913&gt;0),Histórico!E913,T912)</f>
        <v>5.3744</v>
      </c>
      <c r="U913" s="15">
        <f>IF(ISNUMBER(Histórico!A913),Histórico!A913,U912)</f>
        <v>46324</v>
      </c>
    </row>
    <row r="914" spans="17:21" ht="22.95" customHeight="1">
      <c r="Q914" s="17">
        <f>IF(AND(ISNUMBER(Histórico!$A914),ISNUMBER(Histórico!B914),Histórico!B914&gt;0),Histórico!B914,Q913)</f>
        <v>157.42</v>
      </c>
      <c r="R914" s="17">
        <f>IF(AND(ISNUMBER(Histórico!$A914),ISNUMBER(Histórico!C914),Histórico!C914&gt;0),Histórico!C914,R913)</f>
        <v>64.73</v>
      </c>
      <c r="S914" s="17">
        <f>IF(AND(ISNUMBER(Histórico!$A914),ISNUMBER(Histórico!D914),Histórico!D914&gt;0),Histórico!D914,S913)</f>
        <v>389.05</v>
      </c>
      <c r="T914" s="18">
        <f>IF(AND(ISNUMBER(Histórico!$A914),ISNUMBER(Histórico!E914),Histórico!E914&gt;0),Histórico!E914,T913)</f>
        <v>5.3744</v>
      </c>
      <c r="U914" s="15">
        <f>IF(ISNUMBER(Histórico!A914),Histórico!A914,U913)</f>
        <v>46324</v>
      </c>
    </row>
    <row r="915" spans="17:21" ht="22.95" customHeight="1">
      <c r="Q915" s="17">
        <f>IF(AND(ISNUMBER(Histórico!$A915),ISNUMBER(Histórico!B915),Histórico!B915&gt;0),Histórico!B915,Q914)</f>
        <v>157.42</v>
      </c>
      <c r="R915" s="17">
        <f>IF(AND(ISNUMBER(Histórico!$A915),ISNUMBER(Histórico!C915),Histórico!C915&gt;0),Histórico!C915,R914)</f>
        <v>64.73</v>
      </c>
      <c r="S915" s="17">
        <f>IF(AND(ISNUMBER(Histórico!$A915),ISNUMBER(Histórico!D915),Histórico!D915&gt;0),Histórico!D915,S914)</f>
        <v>389.05</v>
      </c>
      <c r="T915" s="18">
        <f>IF(AND(ISNUMBER(Histórico!$A915),ISNUMBER(Histórico!E915),Histórico!E915&gt;0),Histórico!E915,T914)</f>
        <v>5.3744</v>
      </c>
      <c r="U915" s="15">
        <f>IF(ISNUMBER(Histórico!A915),Histórico!A915,U914)</f>
        <v>46324</v>
      </c>
    </row>
    <row r="916" spans="17:21" ht="22.95" customHeight="1">
      <c r="Q916" s="17">
        <f>IF(AND(ISNUMBER(Histórico!$A916),ISNUMBER(Histórico!B916),Histórico!B916&gt;0),Histórico!B916,Q915)</f>
        <v>157.42</v>
      </c>
      <c r="R916" s="17">
        <f>IF(AND(ISNUMBER(Histórico!$A916),ISNUMBER(Histórico!C916),Histórico!C916&gt;0),Histórico!C916,R915)</f>
        <v>64.73</v>
      </c>
      <c r="S916" s="17">
        <f>IF(AND(ISNUMBER(Histórico!$A916),ISNUMBER(Histórico!D916),Histórico!D916&gt;0),Histórico!D916,S915)</f>
        <v>389.05</v>
      </c>
      <c r="T916" s="18">
        <f>IF(AND(ISNUMBER(Histórico!$A916),ISNUMBER(Histórico!E916),Histórico!E916&gt;0),Histórico!E916,T915)</f>
        <v>5.3744</v>
      </c>
      <c r="U916" s="15">
        <f>IF(ISNUMBER(Histórico!A916),Histórico!A916,U915)</f>
        <v>46324</v>
      </c>
    </row>
    <row r="917" spans="17:21" ht="22.95" customHeight="1">
      <c r="Q917" s="17">
        <f>IF(AND(ISNUMBER(Histórico!$A917),ISNUMBER(Histórico!B917),Histórico!B917&gt;0),Histórico!B917,Q916)</f>
        <v>157.42</v>
      </c>
      <c r="R917" s="17">
        <f>IF(AND(ISNUMBER(Histórico!$A917),ISNUMBER(Histórico!C917),Histórico!C917&gt;0),Histórico!C917,R916)</f>
        <v>64.73</v>
      </c>
      <c r="S917" s="17">
        <f>IF(AND(ISNUMBER(Histórico!$A917),ISNUMBER(Histórico!D917),Histórico!D917&gt;0),Histórico!D917,S916)</f>
        <v>389.05</v>
      </c>
      <c r="T917" s="18">
        <f>IF(AND(ISNUMBER(Histórico!$A917),ISNUMBER(Histórico!E917),Histórico!E917&gt;0),Histórico!E917,T916)</f>
        <v>5.3744</v>
      </c>
      <c r="U917" s="15">
        <f>IF(ISNUMBER(Histórico!A917),Histórico!A917,U916)</f>
        <v>46324</v>
      </c>
    </row>
    <row r="918" spans="17:21" ht="22.95" customHeight="1">
      <c r="Q918" s="17">
        <f>IF(AND(ISNUMBER(Histórico!$A918),ISNUMBER(Histórico!B918),Histórico!B918&gt;0),Histórico!B918,Q917)</f>
        <v>157.42</v>
      </c>
      <c r="R918" s="17">
        <f>IF(AND(ISNUMBER(Histórico!$A918),ISNUMBER(Histórico!C918),Histórico!C918&gt;0),Histórico!C918,R917)</f>
        <v>64.73</v>
      </c>
      <c r="S918" s="17">
        <f>IF(AND(ISNUMBER(Histórico!$A918),ISNUMBER(Histórico!D918),Histórico!D918&gt;0),Histórico!D918,S917)</f>
        <v>389.05</v>
      </c>
      <c r="T918" s="18">
        <f>IF(AND(ISNUMBER(Histórico!$A918),ISNUMBER(Histórico!E918),Histórico!E918&gt;0),Histórico!E918,T917)</f>
        <v>5.3744</v>
      </c>
      <c r="U918" s="15">
        <f>IF(ISNUMBER(Histórico!A918),Histórico!A918,U917)</f>
        <v>46324</v>
      </c>
    </row>
    <row r="919" spans="17:21" ht="22.95" customHeight="1">
      <c r="Q919" s="17">
        <f>IF(AND(ISNUMBER(Histórico!$A919),ISNUMBER(Histórico!B919),Histórico!B919&gt;0),Histórico!B919,Q918)</f>
        <v>157.42</v>
      </c>
      <c r="R919" s="17">
        <f>IF(AND(ISNUMBER(Histórico!$A919),ISNUMBER(Histórico!C919),Histórico!C919&gt;0),Histórico!C919,R918)</f>
        <v>64.73</v>
      </c>
      <c r="S919" s="17">
        <f>IF(AND(ISNUMBER(Histórico!$A919),ISNUMBER(Histórico!D919),Histórico!D919&gt;0),Histórico!D919,S918)</f>
        <v>389.05</v>
      </c>
      <c r="T919" s="18">
        <f>IF(AND(ISNUMBER(Histórico!$A919),ISNUMBER(Histórico!E919),Histórico!E919&gt;0),Histórico!E919,T918)</f>
        <v>5.3744</v>
      </c>
      <c r="U919" s="15">
        <f>IF(ISNUMBER(Histórico!A919),Histórico!A919,U918)</f>
        <v>46324</v>
      </c>
    </row>
    <row r="920" spans="17:21" ht="22.95" customHeight="1">
      <c r="Q920" s="17">
        <f>IF(AND(ISNUMBER(Histórico!$A920),ISNUMBER(Histórico!B920),Histórico!B920&gt;0),Histórico!B920,Q919)</f>
        <v>157.42</v>
      </c>
      <c r="R920" s="17">
        <f>IF(AND(ISNUMBER(Histórico!$A920),ISNUMBER(Histórico!C920),Histórico!C920&gt;0),Histórico!C920,R919)</f>
        <v>64.73</v>
      </c>
      <c r="S920" s="17">
        <f>IF(AND(ISNUMBER(Histórico!$A920),ISNUMBER(Histórico!D920),Histórico!D920&gt;0),Histórico!D920,S919)</f>
        <v>389.05</v>
      </c>
      <c r="T920" s="18">
        <f>IF(AND(ISNUMBER(Histórico!$A920),ISNUMBER(Histórico!E920),Histórico!E920&gt;0),Histórico!E920,T919)</f>
        <v>5.3744</v>
      </c>
      <c r="U920" s="15">
        <f>IF(ISNUMBER(Histórico!A920),Histórico!A920,U919)</f>
        <v>46324</v>
      </c>
    </row>
    <row r="921" spans="17:21" ht="22.95" customHeight="1">
      <c r="Q921" s="17">
        <f>IF(AND(ISNUMBER(Histórico!$A921),ISNUMBER(Histórico!B921),Histórico!B921&gt;0),Histórico!B921,Q920)</f>
        <v>157.42</v>
      </c>
      <c r="R921" s="17">
        <f>IF(AND(ISNUMBER(Histórico!$A921),ISNUMBER(Histórico!C921),Histórico!C921&gt;0),Histórico!C921,R920)</f>
        <v>64.73</v>
      </c>
      <c r="S921" s="17">
        <f>IF(AND(ISNUMBER(Histórico!$A921),ISNUMBER(Histórico!D921),Histórico!D921&gt;0),Histórico!D921,S920)</f>
        <v>389.05</v>
      </c>
      <c r="T921" s="18">
        <f>IF(AND(ISNUMBER(Histórico!$A921),ISNUMBER(Histórico!E921),Histórico!E921&gt;0),Histórico!E921,T920)</f>
        <v>5.3744</v>
      </c>
      <c r="U921" s="15">
        <f>IF(ISNUMBER(Histórico!A921),Histórico!A921,U920)</f>
        <v>46324</v>
      </c>
    </row>
    <row r="922" spans="17:21" ht="22.95" customHeight="1">
      <c r="Q922" s="17">
        <f>IF(AND(ISNUMBER(Histórico!$A922),ISNUMBER(Histórico!B922),Histórico!B922&gt;0),Histórico!B922,Q921)</f>
        <v>157.42</v>
      </c>
      <c r="R922" s="17">
        <f>IF(AND(ISNUMBER(Histórico!$A922),ISNUMBER(Histórico!C922),Histórico!C922&gt;0),Histórico!C922,R921)</f>
        <v>64.73</v>
      </c>
      <c r="S922" s="17">
        <f>IF(AND(ISNUMBER(Histórico!$A922),ISNUMBER(Histórico!D922),Histórico!D922&gt;0),Histórico!D922,S921)</f>
        <v>389.05</v>
      </c>
      <c r="T922" s="18">
        <f>IF(AND(ISNUMBER(Histórico!$A922),ISNUMBER(Histórico!E922),Histórico!E922&gt;0),Histórico!E922,T921)</f>
        <v>5.3744</v>
      </c>
      <c r="U922" s="15">
        <f>IF(ISNUMBER(Histórico!A922),Histórico!A922,U921)</f>
        <v>46324</v>
      </c>
    </row>
    <row r="923" spans="17:21" ht="22.95" customHeight="1">
      <c r="Q923" s="17">
        <f>IF(AND(ISNUMBER(Histórico!$A923),ISNUMBER(Histórico!B923),Histórico!B923&gt;0),Histórico!B923,Q922)</f>
        <v>157.42</v>
      </c>
      <c r="R923" s="17">
        <f>IF(AND(ISNUMBER(Histórico!$A923),ISNUMBER(Histórico!C923),Histórico!C923&gt;0),Histórico!C923,R922)</f>
        <v>64.73</v>
      </c>
      <c r="S923" s="17">
        <f>IF(AND(ISNUMBER(Histórico!$A923),ISNUMBER(Histórico!D923),Histórico!D923&gt;0),Histórico!D923,S922)</f>
        <v>389.05</v>
      </c>
      <c r="T923" s="18">
        <f>IF(AND(ISNUMBER(Histórico!$A923),ISNUMBER(Histórico!E923),Histórico!E923&gt;0),Histórico!E923,T922)</f>
        <v>5.3744</v>
      </c>
      <c r="U923" s="15">
        <f>IF(ISNUMBER(Histórico!A923),Histórico!A923,U922)</f>
        <v>46324</v>
      </c>
    </row>
    <row r="924" spans="17:21" ht="22.95" customHeight="1">
      <c r="Q924" s="17">
        <f>IF(AND(ISNUMBER(Histórico!$A924),ISNUMBER(Histórico!B924),Histórico!B924&gt;0),Histórico!B924,Q923)</f>
        <v>157.42</v>
      </c>
      <c r="R924" s="17">
        <f>IF(AND(ISNUMBER(Histórico!$A924),ISNUMBER(Histórico!C924),Histórico!C924&gt;0),Histórico!C924,R923)</f>
        <v>64.73</v>
      </c>
      <c r="S924" s="17">
        <f>IF(AND(ISNUMBER(Histórico!$A924),ISNUMBER(Histórico!D924),Histórico!D924&gt;0),Histórico!D924,S923)</f>
        <v>389.05</v>
      </c>
      <c r="T924" s="18">
        <f>IF(AND(ISNUMBER(Histórico!$A924),ISNUMBER(Histórico!E924),Histórico!E924&gt;0),Histórico!E924,T923)</f>
        <v>5.3744</v>
      </c>
      <c r="U924" s="15">
        <f>IF(ISNUMBER(Histórico!A924),Histórico!A924,U923)</f>
        <v>46324</v>
      </c>
    </row>
    <row r="925" spans="17:21" ht="22.95" customHeight="1">
      <c r="Q925" s="17">
        <f>IF(AND(ISNUMBER(Histórico!$A925),ISNUMBER(Histórico!B925),Histórico!B925&gt;0),Histórico!B925,Q924)</f>
        <v>157.42</v>
      </c>
      <c r="R925" s="17">
        <f>IF(AND(ISNUMBER(Histórico!$A925),ISNUMBER(Histórico!C925),Histórico!C925&gt;0),Histórico!C925,R924)</f>
        <v>64.73</v>
      </c>
      <c r="S925" s="17">
        <f>IF(AND(ISNUMBER(Histórico!$A925),ISNUMBER(Histórico!D925),Histórico!D925&gt;0),Histórico!D925,S924)</f>
        <v>389.05</v>
      </c>
      <c r="T925" s="18">
        <f>IF(AND(ISNUMBER(Histórico!$A925),ISNUMBER(Histórico!E925),Histórico!E925&gt;0),Histórico!E925,T924)</f>
        <v>5.3744</v>
      </c>
      <c r="U925" s="15">
        <f>IF(ISNUMBER(Histórico!A925),Histórico!A925,U924)</f>
        <v>46324</v>
      </c>
    </row>
    <row r="926" spans="17:21" ht="22.95" customHeight="1">
      <c r="Q926" s="17">
        <f>IF(AND(ISNUMBER(Histórico!$A926),ISNUMBER(Histórico!B926),Histórico!B926&gt;0),Histórico!B926,Q925)</f>
        <v>157.42</v>
      </c>
      <c r="R926" s="17">
        <f>IF(AND(ISNUMBER(Histórico!$A926),ISNUMBER(Histórico!C926),Histórico!C926&gt;0),Histórico!C926,R925)</f>
        <v>64.73</v>
      </c>
      <c r="S926" s="17">
        <f>IF(AND(ISNUMBER(Histórico!$A926),ISNUMBER(Histórico!D926),Histórico!D926&gt;0),Histórico!D926,S925)</f>
        <v>389.05</v>
      </c>
      <c r="T926" s="18">
        <f>IF(AND(ISNUMBER(Histórico!$A926),ISNUMBER(Histórico!E926),Histórico!E926&gt;0),Histórico!E926,T925)</f>
        <v>5.3744</v>
      </c>
      <c r="U926" s="15">
        <f>IF(ISNUMBER(Histórico!A926),Histórico!A926,U925)</f>
        <v>46324</v>
      </c>
    </row>
    <row r="927" spans="17:21" ht="22.95" customHeight="1">
      <c r="Q927" s="17">
        <f>IF(AND(ISNUMBER(Histórico!$A927),ISNUMBER(Histórico!B927),Histórico!B927&gt;0),Histórico!B927,Q926)</f>
        <v>157.42</v>
      </c>
      <c r="R927" s="17">
        <f>IF(AND(ISNUMBER(Histórico!$A927),ISNUMBER(Histórico!C927),Histórico!C927&gt;0),Histórico!C927,R926)</f>
        <v>64.73</v>
      </c>
      <c r="S927" s="17">
        <f>IF(AND(ISNUMBER(Histórico!$A927),ISNUMBER(Histórico!D927),Histórico!D927&gt;0),Histórico!D927,S926)</f>
        <v>389.05</v>
      </c>
      <c r="T927" s="18">
        <f>IF(AND(ISNUMBER(Histórico!$A927),ISNUMBER(Histórico!E927),Histórico!E927&gt;0),Histórico!E927,T926)</f>
        <v>5.3744</v>
      </c>
      <c r="U927" s="15">
        <f>IF(ISNUMBER(Histórico!A927),Histórico!A927,U926)</f>
        <v>46324</v>
      </c>
    </row>
    <row r="928" spans="17:21" ht="22.95" customHeight="1">
      <c r="Q928" s="17">
        <f>IF(AND(ISNUMBER(Histórico!$A928),ISNUMBER(Histórico!B928),Histórico!B928&gt;0),Histórico!B928,Q927)</f>
        <v>157.42</v>
      </c>
      <c r="R928" s="17">
        <f>IF(AND(ISNUMBER(Histórico!$A928),ISNUMBER(Histórico!C928),Histórico!C928&gt;0),Histórico!C928,R927)</f>
        <v>64.73</v>
      </c>
      <c r="S928" s="17">
        <f>IF(AND(ISNUMBER(Histórico!$A928),ISNUMBER(Histórico!D928),Histórico!D928&gt;0),Histórico!D928,S927)</f>
        <v>389.05</v>
      </c>
      <c r="T928" s="18">
        <f>IF(AND(ISNUMBER(Histórico!$A928),ISNUMBER(Histórico!E928),Histórico!E928&gt;0),Histórico!E928,T927)</f>
        <v>5.3744</v>
      </c>
      <c r="U928" s="15">
        <f>IF(ISNUMBER(Histórico!A928),Histórico!A928,U927)</f>
        <v>46324</v>
      </c>
    </row>
    <row r="929" spans="17:21" ht="22.95" customHeight="1">
      <c r="Q929" s="17">
        <f>IF(AND(ISNUMBER(Histórico!$A929),ISNUMBER(Histórico!B929),Histórico!B929&gt;0),Histórico!B929,Q928)</f>
        <v>157.42</v>
      </c>
      <c r="R929" s="17">
        <f>IF(AND(ISNUMBER(Histórico!$A929),ISNUMBER(Histórico!C929),Histórico!C929&gt;0),Histórico!C929,R928)</f>
        <v>64.73</v>
      </c>
      <c r="S929" s="17">
        <f>IF(AND(ISNUMBER(Histórico!$A929),ISNUMBER(Histórico!D929),Histórico!D929&gt;0),Histórico!D929,S928)</f>
        <v>389.05</v>
      </c>
      <c r="T929" s="18">
        <f>IF(AND(ISNUMBER(Histórico!$A929),ISNUMBER(Histórico!E929),Histórico!E929&gt;0),Histórico!E929,T928)</f>
        <v>5.3744</v>
      </c>
      <c r="U929" s="15">
        <f>IF(ISNUMBER(Histórico!A929),Histórico!A929,U928)</f>
        <v>46324</v>
      </c>
    </row>
    <row r="930" spans="17:21" ht="22.95" customHeight="1">
      <c r="Q930" s="17">
        <f>IF(AND(ISNUMBER(Histórico!$A930),ISNUMBER(Histórico!B930),Histórico!B930&gt;0),Histórico!B930,Q929)</f>
        <v>157.42</v>
      </c>
      <c r="R930" s="17">
        <f>IF(AND(ISNUMBER(Histórico!$A930),ISNUMBER(Histórico!C930),Histórico!C930&gt;0),Histórico!C930,R929)</f>
        <v>64.73</v>
      </c>
      <c r="S930" s="17">
        <f>IF(AND(ISNUMBER(Histórico!$A930),ISNUMBER(Histórico!D930),Histórico!D930&gt;0),Histórico!D930,S929)</f>
        <v>389.05</v>
      </c>
      <c r="T930" s="18">
        <f>IF(AND(ISNUMBER(Histórico!$A930),ISNUMBER(Histórico!E930),Histórico!E930&gt;0),Histórico!E930,T929)</f>
        <v>5.3744</v>
      </c>
      <c r="U930" s="15">
        <f>IF(ISNUMBER(Histórico!A930),Histórico!A930,U929)</f>
        <v>46324</v>
      </c>
    </row>
    <row r="931" spans="17:21" ht="22.95" customHeight="1">
      <c r="Q931" s="17">
        <f>IF(AND(ISNUMBER(Histórico!$A931),ISNUMBER(Histórico!B931),Histórico!B931&gt;0),Histórico!B931,Q930)</f>
        <v>157.42</v>
      </c>
      <c r="R931" s="17">
        <f>IF(AND(ISNUMBER(Histórico!$A931),ISNUMBER(Histórico!C931),Histórico!C931&gt;0),Histórico!C931,R930)</f>
        <v>64.73</v>
      </c>
      <c r="S931" s="17">
        <f>IF(AND(ISNUMBER(Histórico!$A931),ISNUMBER(Histórico!D931),Histórico!D931&gt;0),Histórico!D931,S930)</f>
        <v>389.05</v>
      </c>
      <c r="T931" s="18">
        <f>IF(AND(ISNUMBER(Histórico!$A931),ISNUMBER(Histórico!E931),Histórico!E931&gt;0),Histórico!E931,T930)</f>
        <v>5.3744</v>
      </c>
      <c r="U931" s="15">
        <f>IF(ISNUMBER(Histórico!A931),Histórico!A931,U930)</f>
        <v>46324</v>
      </c>
    </row>
    <row r="932" spans="17:21" ht="22.95" customHeight="1">
      <c r="Q932" s="17">
        <f>IF(AND(ISNUMBER(Histórico!$A932),ISNUMBER(Histórico!B932),Histórico!B932&gt;0),Histórico!B932,Q931)</f>
        <v>157.42</v>
      </c>
      <c r="R932" s="17">
        <f>IF(AND(ISNUMBER(Histórico!$A932),ISNUMBER(Histórico!C932),Histórico!C932&gt;0),Histórico!C932,R931)</f>
        <v>64.73</v>
      </c>
      <c r="S932" s="17">
        <f>IF(AND(ISNUMBER(Histórico!$A932),ISNUMBER(Histórico!D932),Histórico!D932&gt;0),Histórico!D932,S931)</f>
        <v>389.05</v>
      </c>
      <c r="T932" s="18">
        <f>IF(AND(ISNUMBER(Histórico!$A932),ISNUMBER(Histórico!E932),Histórico!E932&gt;0),Histórico!E932,T931)</f>
        <v>5.3744</v>
      </c>
      <c r="U932" s="15">
        <f>IF(ISNUMBER(Histórico!A932),Histórico!A932,U931)</f>
        <v>46324</v>
      </c>
    </row>
    <row r="933" spans="17:21" ht="22.95" customHeight="1">
      <c r="Q933" s="17">
        <f>IF(AND(ISNUMBER(Histórico!$A933),ISNUMBER(Histórico!B933),Histórico!B933&gt;0),Histórico!B933,Q932)</f>
        <v>157.42</v>
      </c>
      <c r="R933" s="17">
        <f>IF(AND(ISNUMBER(Histórico!$A933),ISNUMBER(Histórico!C933),Histórico!C933&gt;0),Histórico!C933,R932)</f>
        <v>64.73</v>
      </c>
      <c r="S933" s="17">
        <f>IF(AND(ISNUMBER(Histórico!$A933),ISNUMBER(Histórico!D933),Histórico!D933&gt;0),Histórico!D933,S932)</f>
        <v>389.05</v>
      </c>
      <c r="T933" s="18">
        <f>IF(AND(ISNUMBER(Histórico!$A933),ISNUMBER(Histórico!E933),Histórico!E933&gt;0),Histórico!E933,T932)</f>
        <v>5.3744</v>
      </c>
      <c r="U933" s="15">
        <f>IF(ISNUMBER(Histórico!A933),Histórico!A933,U932)</f>
        <v>46324</v>
      </c>
    </row>
    <row r="934" spans="17:21" ht="22.95" customHeight="1">
      <c r="Q934" s="17">
        <f>IF(AND(ISNUMBER(Histórico!$A934),ISNUMBER(Histórico!B934),Histórico!B934&gt;0),Histórico!B934,Q933)</f>
        <v>157.42</v>
      </c>
      <c r="R934" s="17">
        <f>IF(AND(ISNUMBER(Histórico!$A934),ISNUMBER(Histórico!C934),Histórico!C934&gt;0),Histórico!C934,R933)</f>
        <v>64.73</v>
      </c>
      <c r="S934" s="17">
        <f>IF(AND(ISNUMBER(Histórico!$A934),ISNUMBER(Histórico!D934),Histórico!D934&gt;0),Histórico!D934,S933)</f>
        <v>389.05</v>
      </c>
      <c r="T934" s="18">
        <f>IF(AND(ISNUMBER(Histórico!$A934),ISNUMBER(Histórico!E934),Histórico!E934&gt;0),Histórico!E934,T933)</f>
        <v>5.3744</v>
      </c>
      <c r="U934" s="15">
        <f>IF(ISNUMBER(Histórico!A934),Histórico!A934,U933)</f>
        <v>46324</v>
      </c>
    </row>
    <row r="935" spans="17:21" ht="22.95" customHeight="1">
      <c r="Q935" s="17">
        <f>IF(AND(ISNUMBER(Histórico!$A935),ISNUMBER(Histórico!B935),Histórico!B935&gt;0),Histórico!B935,Q934)</f>
        <v>157.42</v>
      </c>
      <c r="R935" s="17">
        <f>IF(AND(ISNUMBER(Histórico!$A935),ISNUMBER(Histórico!C935),Histórico!C935&gt;0),Histórico!C935,R934)</f>
        <v>64.73</v>
      </c>
      <c r="S935" s="17">
        <f>IF(AND(ISNUMBER(Histórico!$A935),ISNUMBER(Histórico!D935),Histórico!D935&gt;0),Histórico!D935,S934)</f>
        <v>389.05</v>
      </c>
      <c r="T935" s="18">
        <f>IF(AND(ISNUMBER(Histórico!$A935),ISNUMBER(Histórico!E935),Histórico!E935&gt;0),Histórico!E935,T934)</f>
        <v>5.3744</v>
      </c>
      <c r="U935" s="15">
        <f>IF(ISNUMBER(Histórico!A935),Histórico!A935,U934)</f>
        <v>46324</v>
      </c>
    </row>
    <row r="936" spans="17:21" ht="22.95" customHeight="1">
      <c r="Q936" s="17">
        <f>IF(AND(ISNUMBER(Histórico!$A936),ISNUMBER(Histórico!B936),Histórico!B936&gt;0),Histórico!B936,Q935)</f>
        <v>157.42</v>
      </c>
      <c r="R936" s="17">
        <f>IF(AND(ISNUMBER(Histórico!$A936),ISNUMBER(Histórico!C936),Histórico!C936&gt;0),Histórico!C936,R935)</f>
        <v>64.73</v>
      </c>
      <c r="S936" s="17">
        <f>IF(AND(ISNUMBER(Histórico!$A936),ISNUMBER(Histórico!D936),Histórico!D936&gt;0),Histórico!D936,S935)</f>
        <v>389.05</v>
      </c>
      <c r="T936" s="18">
        <f>IF(AND(ISNUMBER(Histórico!$A936),ISNUMBER(Histórico!E936),Histórico!E936&gt;0),Histórico!E936,T935)</f>
        <v>5.3744</v>
      </c>
      <c r="U936" s="15">
        <f>IF(ISNUMBER(Histórico!A936),Histórico!A936,U935)</f>
        <v>46324</v>
      </c>
    </row>
    <row r="937" spans="17:21" ht="22.95" customHeight="1">
      <c r="Q937" s="17">
        <f>IF(AND(ISNUMBER(Histórico!$A937),ISNUMBER(Histórico!B937),Histórico!B937&gt;0),Histórico!B937,Q936)</f>
        <v>157.42</v>
      </c>
      <c r="R937" s="17">
        <f>IF(AND(ISNUMBER(Histórico!$A937),ISNUMBER(Histórico!C937),Histórico!C937&gt;0),Histórico!C937,R936)</f>
        <v>64.73</v>
      </c>
      <c r="S937" s="17">
        <f>IF(AND(ISNUMBER(Histórico!$A937),ISNUMBER(Histórico!D937),Histórico!D937&gt;0),Histórico!D937,S936)</f>
        <v>389.05</v>
      </c>
      <c r="T937" s="18">
        <f>IF(AND(ISNUMBER(Histórico!$A937),ISNUMBER(Histórico!E937),Histórico!E937&gt;0),Histórico!E937,T936)</f>
        <v>5.3744</v>
      </c>
      <c r="U937" s="15">
        <f>IF(ISNUMBER(Histórico!A937),Histórico!A937,U936)</f>
        <v>46324</v>
      </c>
    </row>
    <row r="938" spans="17:21" ht="22.95" customHeight="1">
      <c r="Q938" s="17">
        <f>IF(AND(ISNUMBER(Histórico!$A938),ISNUMBER(Histórico!B938),Histórico!B938&gt;0),Histórico!B938,Q937)</f>
        <v>157.42</v>
      </c>
      <c r="R938" s="17">
        <f>IF(AND(ISNUMBER(Histórico!$A938),ISNUMBER(Histórico!C938),Histórico!C938&gt;0),Histórico!C938,R937)</f>
        <v>64.73</v>
      </c>
      <c r="S938" s="17">
        <f>IF(AND(ISNUMBER(Histórico!$A938),ISNUMBER(Histórico!D938),Histórico!D938&gt;0),Histórico!D938,S937)</f>
        <v>389.05</v>
      </c>
      <c r="T938" s="18">
        <f>IF(AND(ISNUMBER(Histórico!$A938),ISNUMBER(Histórico!E938),Histórico!E938&gt;0),Histórico!E938,T937)</f>
        <v>5.3744</v>
      </c>
      <c r="U938" s="15">
        <f>IF(ISNUMBER(Histórico!A938),Histórico!A938,U937)</f>
        <v>46324</v>
      </c>
    </row>
    <row r="939" spans="17:21" ht="22.95" customHeight="1">
      <c r="Q939" s="17">
        <f>IF(AND(ISNUMBER(Histórico!$A939),ISNUMBER(Histórico!B939),Histórico!B939&gt;0),Histórico!B939,Q938)</f>
        <v>157.42</v>
      </c>
      <c r="R939" s="17">
        <f>IF(AND(ISNUMBER(Histórico!$A939),ISNUMBER(Histórico!C939),Histórico!C939&gt;0),Histórico!C939,R938)</f>
        <v>64.73</v>
      </c>
      <c r="S939" s="17">
        <f>IF(AND(ISNUMBER(Histórico!$A939),ISNUMBER(Histórico!D939),Histórico!D939&gt;0),Histórico!D939,S938)</f>
        <v>389.05</v>
      </c>
      <c r="T939" s="18">
        <f>IF(AND(ISNUMBER(Histórico!$A939),ISNUMBER(Histórico!E939),Histórico!E939&gt;0),Histórico!E939,T938)</f>
        <v>5.3744</v>
      </c>
      <c r="U939" s="15">
        <f>IF(ISNUMBER(Histórico!A939),Histórico!A939,U938)</f>
        <v>46324</v>
      </c>
    </row>
    <row r="940" spans="17:21" ht="22.95" customHeight="1">
      <c r="Q940" s="17">
        <f>IF(AND(ISNUMBER(Histórico!$A940),ISNUMBER(Histórico!B940),Histórico!B940&gt;0),Histórico!B940,Q939)</f>
        <v>157.42</v>
      </c>
      <c r="R940" s="17">
        <f>IF(AND(ISNUMBER(Histórico!$A940),ISNUMBER(Histórico!C940),Histórico!C940&gt;0),Histórico!C940,R939)</f>
        <v>64.73</v>
      </c>
      <c r="S940" s="17">
        <f>IF(AND(ISNUMBER(Histórico!$A940),ISNUMBER(Histórico!D940),Histórico!D940&gt;0),Histórico!D940,S939)</f>
        <v>389.05</v>
      </c>
      <c r="T940" s="18">
        <f>IF(AND(ISNUMBER(Histórico!$A940),ISNUMBER(Histórico!E940),Histórico!E940&gt;0),Histórico!E940,T939)</f>
        <v>5.3744</v>
      </c>
      <c r="U940" s="15">
        <f>IF(ISNUMBER(Histórico!A940),Histórico!A940,U939)</f>
        <v>46324</v>
      </c>
    </row>
    <row r="941" spans="17:21" ht="22.95" customHeight="1">
      <c r="Q941" s="17">
        <f>IF(AND(ISNUMBER(Histórico!$A941),ISNUMBER(Histórico!B941),Histórico!B941&gt;0),Histórico!B941,Q940)</f>
        <v>157.42</v>
      </c>
      <c r="R941" s="17">
        <f>IF(AND(ISNUMBER(Histórico!$A941),ISNUMBER(Histórico!C941),Histórico!C941&gt;0),Histórico!C941,R940)</f>
        <v>64.73</v>
      </c>
      <c r="S941" s="17">
        <f>IF(AND(ISNUMBER(Histórico!$A941),ISNUMBER(Histórico!D941),Histórico!D941&gt;0),Histórico!D941,S940)</f>
        <v>389.05</v>
      </c>
      <c r="T941" s="18">
        <f>IF(AND(ISNUMBER(Histórico!$A941),ISNUMBER(Histórico!E941),Histórico!E941&gt;0),Histórico!E941,T940)</f>
        <v>5.3744</v>
      </c>
      <c r="U941" s="15">
        <f>IF(ISNUMBER(Histórico!A941),Histórico!A941,U940)</f>
        <v>46324</v>
      </c>
    </row>
    <row r="942" spans="17:21" ht="22.95" customHeight="1">
      <c r="Q942" s="17">
        <f>IF(AND(ISNUMBER(Histórico!$A942),ISNUMBER(Histórico!B942),Histórico!B942&gt;0),Histórico!B942,Q941)</f>
        <v>157.42</v>
      </c>
      <c r="R942" s="17">
        <f>IF(AND(ISNUMBER(Histórico!$A942),ISNUMBER(Histórico!C942),Histórico!C942&gt;0),Histórico!C942,R941)</f>
        <v>64.73</v>
      </c>
      <c r="S942" s="17">
        <f>IF(AND(ISNUMBER(Histórico!$A942),ISNUMBER(Histórico!D942),Histórico!D942&gt;0),Histórico!D942,S941)</f>
        <v>389.05</v>
      </c>
      <c r="T942" s="18">
        <f>IF(AND(ISNUMBER(Histórico!$A942),ISNUMBER(Histórico!E942),Histórico!E942&gt;0),Histórico!E942,T941)</f>
        <v>5.3744</v>
      </c>
      <c r="U942" s="15">
        <f>IF(ISNUMBER(Histórico!A942),Histórico!A942,U941)</f>
        <v>46324</v>
      </c>
    </row>
    <row r="943" spans="17:21" ht="22.95" customHeight="1">
      <c r="Q943" s="17">
        <f>IF(AND(ISNUMBER(Histórico!$A943),ISNUMBER(Histórico!B943),Histórico!B943&gt;0),Histórico!B943,Q942)</f>
        <v>157.42</v>
      </c>
      <c r="R943" s="17">
        <f>IF(AND(ISNUMBER(Histórico!$A943),ISNUMBER(Histórico!C943),Histórico!C943&gt;0),Histórico!C943,R942)</f>
        <v>64.73</v>
      </c>
      <c r="S943" s="17">
        <f>IF(AND(ISNUMBER(Histórico!$A943),ISNUMBER(Histórico!D943),Histórico!D943&gt;0),Histórico!D943,S942)</f>
        <v>389.05</v>
      </c>
      <c r="T943" s="18">
        <f>IF(AND(ISNUMBER(Histórico!$A943),ISNUMBER(Histórico!E943),Histórico!E943&gt;0),Histórico!E943,T942)</f>
        <v>5.3744</v>
      </c>
      <c r="U943" s="15">
        <f>IF(ISNUMBER(Histórico!A943),Histórico!A943,U942)</f>
        <v>46324</v>
      </c>
    </row>
    <row r="944" spans="17:21" ht="22.95" customHeight="1">
      <c r="Q944" s="17">
        <f>IF(AND(ISNUMBER(Histórico!$A944),ISNUMBER(Histórico!B944),Histórico!B944&gt;0),Histórico!B944,Q943)</f>
        <v>157.42</v>
      </c>
      <c r="R944" s="17">
        <f>IF(AND(ISNUMBER(Histórico!$A944),ISNUMBER(Histórico!C944),Histórico!C944&gt;0),Histórico!C944,R943)</f>
        <v>64.73</v>
      </c>
      <c r="S944" s="17">
        <f>IF(AND(ISNUMBER(Histórico!$A944),ISNUMBER(Histórico!D944),Histórico!D944&gt;0),Histórico!D944,S943)</f>
        <v>389.05</v>
      </c>
      <c r="T944" s="18">
        <f>IF(AND(ISNUMBER(Histórico!$A944),ISNUMBER(Histórico!E944),Histórico!E944&gt;0),Histórico!E944,T943)</f>
        <v>5.3744</v>
      </c>
      <c r="U944" s="15">
        <f>IF(ISNUMBER(Histórico!A944),Histórico!A944,U943)</f>
        <v>46324</v>
      </c>
    </row>
    <row r="945" spans="17:21" ht="22.95" customHeight="1">
      <c r="Q945" s="17">
        <f>IF(AND(ISNUMBER(Histórico!$A945),ISNUMBER(Histórico!B945),Histórico!B945&gt;0),Histórico!B945,Q944)</f>
        <v>157.42</v>
      </c>
      <c r="R945" s="17">
        <f>IF(AND(ISNUMBER(Histórico!$A945),ISNUMBER(Histórico!C945),Histórico!C945&gt;0),Histórico!C945,R944)</f>
        <v>64.73</v>
      </c>
      <c r="S945" s="17">
        <f>IF(AND(ISNUMBER(Histórico!$A945),ISNUMBER(Histórico!D945),Histórico!D945&gt;0),Histórico!D945,S944)</f>
        <v>389.05</v>
      </c>
      <c r="T945" s="18">
        <f>IF(AND(ISNUMBER(Histórico!$A945),ISNUMBER(Histórico!E945),Histórico!E945&gt;0),Histórico!E945,T944)</f>
        <v>5.3744</v>
      </c>
      <c r="U945" s="15">
        <f>IF(ISNUMBER(Histórico!A945),Histórico!A945,U944)</f>
        <v>46324</v>
      </c>
    </row>
    <row r="946" spans="17:21" ht="22.95" customHeight="1">
      <c r="Q946" s="17">
        <f>IF(AND(ISNUMBER(Histórico!$A946),ISNUMBER(Histórico!B946),Histórico!B946&gt;0),Histórico!B946,Q945)</f>
        <v>157.42</v>
      </c>
      <c r="R946" s="17">
        <f>IF(AND(ISNUMBER(Histórico!$A946),ISNUMBER(Histórico!C946),Histórico!C946&gt;0),Histórico!C946,R945)</f>
        <v>64.73</v>
      </c>
      <c r="S946" s="17">
        <f>IF(AND(ISNUMBER(Histórico!$A946),ISNUMBER(Histórico!D946),Histórico!D946&gt;0),Histórico!D946,S945)</f>
        <v>389.05</v>
      </c>
      <c r="T946" s="18">
        <f>IF(AND(ISNUMBER(Histórico!$A946),ISNUMBER(Histórico!E946),Histórico!E946&gt;0),Histórico!E946,T945)</f>
        <v>5.3744</v>
      </c>
      <c r="U946" s="15">
        <f>IF(ISNUMBER(Histórico!A946),Histórico!A946,U945)</f>
        <v>46324</v>
      </c>
    </row>
    <row r="947" spans="17:21" ht="22.95" customHeight="1">
      <c r="Q947" s="17">
        <f>IF(AND(ISNUMBER(Histórico!$A947),ISNUMBER(Histórico!B947),Histórico!B947&gt;0),Histórico!B947,Q946)</f>
        <v>157.42</v>
      </c>
      <c r="R947" s="17">
        <f>IF(AND(ISNUMBER(Histórico!$A947),ISNUMBER(Histórico!C947),Histórico!C947&gt;0),Histórico!C947,R946)</f>
        <v>64.73</v>
      </c>
      <c r="S947" s="17">
        <f>IF(AND(ISNUMBER(Histórico!$A947),ISNUMBER(Histórico!D947),Histórico!D947&gt;0),Histórico!D947,S946)</f>
        <v>389.05</v>
      </c>
      <c r="T947" s="18">
        <f>IF(AND(ISNUMBER(Histórico!$A947),ISNUMBER(Histórico!E947),Histórico!E947&gt;0),Histórico!E947,T946)</f>
        <v>5.3744</v>
      </c>
      <c r="U947" s="15">
        <f>IF(ISNUMBER(Histórico!A947),Histórico!A947,U946)</f>
        <v>46324</v>
      </c>
    </row>
    <row r="948" spans="17:21" ht="22.95" customHeight="1">
      <c r="Q948" s="17">
        <f>IF(AND(ISNUMBER(Histórico!$A948),ISNUMBER(Histórico!B948),Histórico!B948&gt;0),Histórico!B948,Q947)</f>
        <v>157.42</v>
      </c>
      <c r="R948" s="17">
        <f>IF(AND(ISNUMBER(Histórico!$A948),ISNUMBER(Histórico!C948),Histórico!C948&gt;0),Histórico!C948,R947)</f>
        <v>64.73</v>
      </c>
      <c r="S948" s="17">
        <f>IF(AND(ISNUMBER(Histórico!$A948),ISNUMBER(Histórico!D948),Histórico!D948&gt;0),Histórico!D948,S947)</f>
        <v>389.05</v>
      </c>
      <c r="T948" s="18">
        <f>IF(AND(ISNUMBER(Histórico!$A948),ISNUMBER(Histórico!E948),Histórico!E948&gt;0),Histórico!E948,T947)</f>
        <v>5.3744</v>
      </c>
      <c r="U948" s="15">
        <f>IF(ISNUMBER(Histórico!A948),Histórico!A948,U947)</f>
        <v>46324</v>
      </c>
    </row>
    <row r="949" spans="17:21" ht="22.95" customHeight="1">
      <c r="Q949" s="17">
        <f>IF(AND(ISNUMBER(Histórico!$A949),ISNUMBER(Histórico!B949),Histórico!B949&gt;0),Histórico!B949,Q948)</f>
        <v>157.42</v>
      </c>
      <c r="R949" s="17">
        <f>IF(AND(ISNUMBER(Histórico!$A949),ISNUMBER(Histórico!C949),Histórico!C949&gt;0),Histórico!C949,R948)</f>
        <v>64.73</v>
      </c>
      <c r="S949" s="17">
        <f>IF(AND(ISNUMBER(Histórico!$A949),ISNUMBER(Histórico!D949),Histórico!D949&gt;0),Histórico!D949,S948)</f>
        <v>389.05</v>
      </c>
      <c r="T949" s="18">
        <f>IF(AND(ISNUMBER(Histórico!$A949),ISNUMBER(Histórico!E949),Histórico!E949&gt;0),Histórico!E949,T948)</f>
        <v>5.3744</v>
      </c>
      <c r="U949" s="15">
        <f>IF(ISNUMBER(Histórico!A949),Histórico!A949,U948)</f>
        <v>46324</v>
      </c>
    </row>
    <row r="950" spans="17:21" ht="22.95" customHeight="1">
      <c r="Q950" s="17">
        <f>IF(AND(ISNUMBER(Histórico!$A950),ISNUMBER(Histórico!B950),Histórico!B950&gt;0),Histórico!B950,Q949)</f>
        <v>157.42</v>
      </c>
      <c r="R950" s="17">
        <f>IF(AND(ISNUMBER(Histórico!$A950),ISNUMBER(Histórico!C950),Histórico!C950&gt;0),Histórico!C950,R949)</f>
        <v>64.73</v>
      </c>
      <c r="S950" s="17">
        <f>IF(AND(ISNUMBER(Histórico!$A950),ISNUMBER(Histórico!D950),Histórico!D950&gt;0),Histórico!D950,S949)</f>
        <v>389.05</v>
      </c>
      <c r="T950" s="18">
        <f>IF(AND(ISNUMBER(Histórico!$A950),ISNUMBER(Histórico!E950),Histórico!E950&gt;0),Histórico!E950,T949)</f>
        <v>5.3744</v>
      </c>
      <c r="U950" s="15">
        <f>IF(ISNUMBER(Histórico!A950),Histórico!A950,U949)</f>
        <v>46324</v>
      </c>
    </row>
    <row r="951" spans="17:21" ht="22.95" customHeight="1">
      <c r="Q951" s="17">
        <f>IF(AND(ISNUMBER(Histórico!$A951),ISNUMBER(Histórico!B951),Histórico!B951&gt;0),Histórico!B951,Q950)</f>
        <v>157.42</v>
      </c>
      <c r="R951" s="17">
        <f>IF(AND(ISNUMBER(Histórico!$A951),ISNUMBER(Histórico!C951),Histórico!C951&gt;0),Histórico!C951,R950)</f>
        <v>64.73</v>
      </c>
      <c r="S951" s="17">
        <f>IF(AND(ISNUMBER(Histórico!$A951),ISNUMBER(Histórico!D951),Histórico!D951&gt;0),Histórico!D951,S950)</f>
        <v>389.05</v>
      </c>
      <c r="T951" s="18">
        <f>IF(AND(ISNUMBER(Histórico!$A951),ISNUMBER(Histórico!E951),Histórico!E951&gt;0),Histórico!E951,T950)</f>
        <v>5.3744</v>
      </c>
      <c r="U951" s="15">
        <f>IF(ISNUMBER(Histórico!A951),Histórico!A951,U950)</f>
        <v>46324</v>
      </c>
    </row>
    <row r="952" spans="17:21" ht="22.95" customHeight="1">
      <c r="Q952" s="17">
        <f>IF(AND(ISNUMBER(Histórico!$A952),ISNUMBER(Histórico!B952),Histórico!B952&gt;0),Histórico!B952,Q951)</f>
        <v>157.42</v>
      </c>
      <c r="R952" s="17">
        <f>IF(AND(ISNUMBER(Histórico!$A952),ISNUMBER(Histórico!C952),Histórico!C952&gt;0),Histórico!C952,R951)</f>
        <v>64.73</v>
      </c>
      <c r="S952" s="17">
        <f>IF(AND(ISNUMBER(Histórico!$A952),ISNUMBER(Histórico!D952),Histórico!D952&gt;0),Histórico!D952,S951)</f>
        <v>389.05</v>
      </c>
      <c r="T952" s="18">
        <f>IF(AND(ISNUMBER(Histórico!$A952),ISNUMBER(Histórico!E952),Histórico!E952&gt;0),Histórico!E952,T951)</f>
        <v>5.3744</v>
      </c>
      <c r="U952" s="15">
        <f>IF(ISNUMBER(Histórico!A952),Histórico!A952,U951)</f>
        <v>46324</v>
      </c>
    </row>
    <row r="953" spans="17:21" ht="22.95" customHeight="1">
      <c r="Q953" s="17">
        <f>IF(AND(ISNUMBER(Histórico!$A953),ISNUMBER(Histórico!B953),Histórico!B953&gt;0),Histórico!B953,Q952)</f>
        <v>157.42</v>
      </c>
      <c r="R953" s="17">
        <f>IF(AND(ISNUMBER(Histórico!$A953),ISNUMBER(Histórico!C953),Histórico!C953&gt;0),Histórico!C953,R952)</f>
        <v>64.73</v>
      </c>
      <c r="S953" s="17">
        <f>IF(AND(ISNUMBER(Histórico!$A953),ISNUMBER(Histórico!D953),Histórico!D953&gt;0),Histórico!D953,S952)</f>
        <v>389.05</v>
      </c>
      <c r="T953" s="18">
        <f>IF(AND(ISNUMBER(Histórico!$A953),ISNUMBER(Histórico!E953),Histórico!E953&gt;0),Histórico!E953,T952)</f>
        <v>5.3744</v>
      </c>
      <c r="U953" s="15">
        <f>IF(ISNUMBER(Histórico!A953),Histórico!A953,U952)</f>
        <v>46324</v>
      </c>
    </row>
    <row r="954" spans="17:21" ht="22.95" customHeight="1">
      <c r="Q954" s="17">
        <f>IF(AND(ISNUMBER(Histórico!$A954),ISNUMBER(Histórico!B954),Histórico!B954&gt;0),Histórico!B954,Q953)</f>
        <v>157.42</v>
      </c>
      <c r="R954" s="17">
        <f>IF(AND(ISNUMBER(Histórico!$A954),ISNUMBER(Histórico!C954),Histórico!C954&gt;0),Histórico!C954,R953)</f>
        <v>64.73</v>
      </c>
      <c r="S954" s="17">
        <f>IF(AND(ISNUMBER(Histórico!$A954),ISNUMBER(Histórico!D954),Histórico!D954&gt;0),Histórico!D954,S953)</f>
        <v>389.05</v>
      </c>
      <c r="T954" s="18">
        <f>IF(AND(ISNUMBER(Histórico!$A954),ISNUMBER(Histórico!E954),Histórico!E954&gt;0),Histórico!E954,T953)</f>
        <v>5.3744</v>
      </c>
      <c r="U954" s="15">
        <f>IF(ISNUMBER(Histórico!A954),Histórico!A954,U953)</f>
        <v>46324</v>
      </c>
    </row>
    <row r="955" spans="17:21" ht="22.95" customHeight="1">
      <c r="Q955" s="17">
        <f>IF(AND(ISNUMBER(Histórico!$A955),ISNUMBER(Histórico!B955),Histórico!B955&gt;0),Histórico!B955,Q954)</f>
        <v>157.42</v>
      </c>
      <c r="R955" s="17">
        <f>IF(AND(ISNUMBER(Histórico!$A955),ISNUMBER(Histórico!C955),Histórico!C955&gt;0),Histórico!C955,R954)</f>
        <v>64.73</v>
      </c>
      <c r="S955" s="17">
        <f>IF(AND(ISNUMBER(Histórico!$A955),ISNUMBER(Histórico!D955),Histórico!D955&gt;0),Histórico!D955,S954)</f>
        <v>389.05</v>
      </c>
      <c r="T955" s="18">
        <f>IF(AND(ISNUMBER(Histórico!$A955),ISNUMBER(Histórico!E955),Histórico!E955&gt;0),Histórico!E955,T954)</f>
        <v>5.3744</v>
      </c>
      <c r="U955" s="15">
        <f>IF(ISNUMBER(Histórico!A955),Histórico!A955,U954)</f>
        <v>46324</v>
      </c>
    </row>
    <row r="956" spans="17:21" ht="22.95" customHeight="1">
      <c r="Q956" s="17">
        <f>IF(AND(ISNUMBER(Histórico!$A956),ISNUMBER(Histórico!B956),Histórico!B956&gt;0),Histórico!B956,Q955)</f>
        <v>157.42</v>
      </c>
      <c r="R956" s="17">
        <f>IF(AND(ISNUMBER(Histórico!$A956),ISNUMBER(Histórico!C956),Histórico!C956&gt;0),Histórico!C956,R955)</f>
        <v>64.73</v>
      </c>
      <c r="S956" s="17">
        <f>IF(AND(ISNUMBER(Histórico!$A956),ISNUMBER(Histórico!D956),Histórico!D956&gt;0),Histórico!D956,S955)</f>
        <v>389.05</v>
      </c>
      <c r="T956" s="18">
        <f>IF(AND(ISNUMBER(Histórico!$A956),ISNUMBER(Histórico!E956),Histórico!E956&gt;0),Histórico!E956,T955)</f>
        <v>5.3744</v>
      </c>
      <c r="U956" s="15">
        <f>IF(ISNUMBER(Histórico!A956),Histórico!A956,U955)</f>
        <v>46324</v>
      </c>
    </row>
    <row r="957" spans="17:21" ht="22.95" customHeight="1">
      <c r="Q957" s="17">
        <f>IF(AND(ISNUMBER(Histórico!$A957),ISNUMBER(Histórico!B957),Histórico!B957&gt;0),Histórico!B957,Q956)</f>
        <v>157.42</v>
      </c>
      <c r="R957" s="17">
        <f>IF(AND(ISNUMBER(Histórico!$A957),ISNUMBER(Histórico!C957),Histórico!C957&gt;0),Histórico!C957,R956)</f>
        <v>64.73</v>
      </c>
      <c r="S957" s="17">
        <f>IF(AND(ISNUMBER(Histórico!$A957),ISNUMBER(Histórico!D957),Histórico!D957&gt;0),Histórico!D957,S956)</f>
        <v>389.05</v>
      </c>
      <c r="T957" s="18">
        <f>IF(AND(ISNUMBER(Histórico!$A957),ISNUMBER(Histórico!E957),Histórico!E957&gt;0),Histórico!E957,T956)</f>
        <v>5.3744</v>
      </c>
      <c r="U957" s="15">
        <f>IF(ISNUMBER(Histórico!A957),Histórico!A957,U956)</f>
        <v>46324</v>
      </c>
    </row>
    <row r="958" spans="17:21" ht="22.95" customHeight="1">
      <c r="Q958" s="17">
        <f>IF(AND(ISNUMBER(Histórico!$A958),ISNUMBER(Histórico!B958),Histórico!B958&gt;0),Histórico!B958,Q957)</f>
        <v>157.42</v>
      </c>
      <c r="R958" s="17">
        <f>IF(AND(ISNUMBER(Histórico!$A958),ISNUMBER(Histórico!C958),Histórico!C958&gt;0),Histórico!C958,R957)</f>
        <v>64.73</v>
      </c>
      <c r="S958" s="17">
        <f>IF(AND(ISNUMBER(Histórico!$A958),ISNUMBER(Histórico!D958),Histórico!D958&gt;0),Histórico!D958,S957)</f>
        <v>389.05</v>
      </c>
      <c r="T958" s="18">
        <f>IF(AND(ISNUMBER(Histórico!$A958),ISNUMBER(Histórico!E958),Histórico!E958&gt;0),Histórico!E958,T957)</f>
        <v>5.3744</v>
      </c>
      <c r="U958" s="15">
        <f>IF(ISNUMBER(Histórico!A958),Histórico!A958,U957)</f>
        <v>46324</v>
      </c>
    </row>
    <row r="959" spans="17:21" ht="22.95" customHeight="1">
      <c r="Q959" s="17">
        <f>IF(AND(ISNUMBER(Histórico!$A959),ISNUMBER(Histórico!B959),Histórico!B959&gt;0),Histórico!B959,Q958)</f>
        <v>157.42</v>
      </c>
      <c r="R959" s="17">
        <f>IF(AND(ISNUMBER(Histórico!$A959),ISNUMBER(Histórico!C959),Histórico!C959&gt;0),Histórico!C959,R958)</f>
        <v>64.73</v>
      </c>
      <c r="S959" s="17">
        <f>IF(AND(ISNUMBER(Histórico!$A959),ISNUMBER(Histórico!D959),Histórico!D959&gt;0),Histórico!D959,S958)</f>
        <v>389.05</v>
      </c>
      <c r="T959" s="18">
        <f>IF(AND(ISNUMBER(Histórico!$A959),ISNUMBER(Histórico!E959),Histórico!E959&gt;0),Histórico!E959,T958)</f>
        <v>5.3744</v>
      </c>
      <c r="U959" s="15">
        <f>IF(ISNUMBER(Histórico!A959),Histórico!A959,U958)</f>
        <v>46324</v>
      </c>
    </row>
    <row r="960" spans="17:21" ht="22.95" customHeight="1">
      <c r="Q960" s="17">
        <f>IF(AND(ISNUMBER(Histórico!$A960),ISNUMBER(Histórico!B960),Histórico!B960&gt;0),Histórico!B960,Q959)</f>
        <v>157.42</v>
      </c>
      <c r="R960" s="17">
        <f>IF(AND(ISNUMBER(Histórico!$A960),ISNUMBER(Histórico!C960),Histórico!C960&gt;0),Histórico!C960,R959)</f>
        <v>64.73</v>
      </c>
      <c r="S960" s="17">
        <f>IF(AND(ISNUMBER(Histórico!$A960),ISNUMBER(Histórico!D960),Histórico!D960&gt;0),Histórico!D960,S959)</f>
        <v>389.05</v>
      </c>
      <c r="T960" s="18">
        <f>IF(AND(ISNUMBER(Histórico!$A960),ISNUMBER(Histórico!E960),Histórico!E960&gt;0),Histórico!E960,T959)</f>
        <v>5.3744</v>
      </c>
      <c r="U960" s="15">
        <f>IF(ISNUMBER(Histórico!A960),Histórico!A960,U959)</f>
        <v>46324</v>
      </c>
    </row>
    <row r="961" spans="17:21" ht="22.95" customHeight="1">
      <c r="Q961" s="17">
        <f>IF(AND(ISNUMBER(Histórico!$A961),ISNUMBER(Histórico!B961),Histórico!B961&gt;0),Histórico!B961,Q960)</f>
        <v>157.42</v>
      </c>
      <c r="R961" s="17">
        <f>IF(AND(ISNUMBER(Histórico!$A961),ISNUMBER(Histórico!C961),Histórico!C961&gt;0),Histórico!C961,R960)</f>
        <v>64.73</v>
      </c>
      <c r="S961" s="17">
        <f>IF(AND(ISNUMBER(Histórico!$A961),ISNUMBER(Histórico!D961),Histórico!D961&gt;0),Histórico!D961,S960)</f>
        <v>389.05</v>
      </c>
      <c r="T961" s="18">
        <f>IF(AND(ISNUMBER(Histórico!$A961),ISNUMBER(Histórico!E961),Histórico!E961&gt;0),Histórico!E961,T960)</f>
        <v>5.3744</v>
      </c>
      <c r="U961" s="15">
        <f>IF(ISNUMBER(Histórico!A961),Histórico!A961,U960)</f>
        <v>46324</v>
      </c>
    </row>
    <row r="962" spans="17:21" ht="22.95" customHeight="1">
      <c r="Q962" s="17">
        <f>IF(AND(ISNUMBER(Histórico!$A962),ISNUMBER(Histórico!B962),Histórico!B962&gt;0),Histórico!B962,Q961)</f>
        <v>157.42</v>
      </c>
      <c r="R962" s="17">
        <f>IF(AND(ISNUMBER(Histórico!$A962),ISNUMBER(Histórico!C962),Histórico!C962&gt;0),Histórico!C962,R961)</f>
        <v>64.73</v>
      </c>
      <c r="S962" s="17">
        <f>IF(AND(ISNUMBER(Histórico!$A962),ISNUMBER(Histórico!D962),Histórico!D962&gt;0),Histórico!D962,S961)</f>
        <v>389.05</v>
      </c>
      <c r="T962" s="18">
        <f>IF(AND(ISNUMBER(Histórico!$A962),ISNUMBER(Histórico!E962),Histórico!E962&gt;0),Histórico!E962,T961)</f>
        <v>5.3744</v>
      </c>
      <c r="U962" s="15">
        <f>IF(ISNUMBER(Histórico!A962),Histórico!A962,U961)</f>
        <v>46324</v>
      </c>
    </row>
    <row r="963" spans="17:21" ht="22.95" customHeight="1">
      <c r="Q963" s="17">
        <f>IF(AND(ISNUMBER(Histórico!$A963),ISNUMBER(Histórico!B963),Histórico!B963&gt;0),Histórico!B963,Q962)</f>
        <v>157.42</v>
      </c>
      <c r="R963" s="17">
        <f>IF(AND(ISNUMBER(Histórico!$A963),ISNUMBER(Histórico!C963),Histórico!C963&gt;0),Histórico!C963,R962)</f>
        <v>64.73</v>
      </c>
      <c r="S963" s="17">
        <f>IF(AND(ISNUMBER(Histórico!$A963),ISNUMBER(Histórico!D963),Histórico!D963&gt;0),Histórico!D963,S962)</f>
        <v>389.05</v>
      </c>
      <c r="T963" s="18">
        <f>IF(AND(ISNUMBER(Histórico!$A963),ISNUMBER(Histórico!E963),Histórico!E963&gt;0),Histórico!E963,T962)</f>
        <v>5.3744</v>
      </c>
      <c r="U963" s="15">
        <f>IF(ISNUMBER(Histórico!A963),Histórico!A963,U962)</f>
        <v>46324</v>
      </c>
    </row>
    <row r="964" spans="17:21" ht="22.95" customHeight="1">
      <c r="Q964" s="17">
        <f>IF(AND(ISNUMBER(Histórico!$A964),ISNUMBER(Histórico!B964),Histórico!B964&gt;0),Histórico!B964,Q963)</f>
        <v>157.42</v>
      </c>
      <c r="R964" s="17">
        <f>IF(AND(ISNUMBER(Histórico!$A964),ISNUMBER(Histórico!C964),Histórico!C964&gt;0),Histórico!C964,R963)</f>
        <v>64.73</v>
      </c>
      <c r="S964" s="17">
        <f>IF(AND(ISNUMBER(Histórico!$A964),ISNUMBER(Histórico!D964),Histórico!D964&gt;0),Histórico!D964,S963)</f>
        <v>389.05</v>
      </c>
      <c r="T964" s="18">
        <f>IF(AND(ISNUMBER(Histórico!$A964),ISNUMBER(Histórico!E964),Histórico!E964&gt;0),Histórico!E964,T963)</f>
        <v>5.3744</v>
      </c>
      <c r="U964" s="15">
        <f>IF(ISNUMBER(Histórico!A964),Histórico!A964,U963)</f>
        <v>46324</v>
      </c>
    </row>
    <row r="965" spans="17:21" ht="22.95" customHeight="1">
      <c r="Q965" s="17">
        <f>IF(AND(ISNUMBER(Histórico!$A965),ISNUMBER(Histórico!B965),Histórico!B965&gt;0),Histórico!B965,Q964)</f>
        <v>157.42</v>
      </c>
      <c r="R965" s="17">
        <f>IF(AND(ISNUMBER(Histórico!$A965),ISNUMBER(Histórico!C965),Histórico!C965&gt;0),Histórico!C965,R964)</f>
        <v>64.73</v>
      </c>
      <c r="S965" s="17">
        <f>IF(AND(ISNUMBER(Histórico!$A965),ISNUMBER(Histórico!D965),Histórico!D965&gt;0),Histórico!D965,S964)</f>
        <v>389.05</v>
      </c>
      <c r="T965" s="18">
        <f>IF(AND(ISNUMBER(Histórico!$A965),ISNUMBER(Histórico!E965),Histórico!E965&gt;0),Histórico!E965,T964)</f>
        <v>5.3744</v>
      </c>
      <c r="U965" s="15">
        <f>IF(ISNUMBER(Histórico!A965),Histórico!A965,U964)</f>
        <v>46324</v>
      </c>
    </row>
    <row r="966" spans="17:21" ht="22.95" customHeight="1">
      <c r="Q966" s="17">
        <f>IF(AND(ISNUMBER(Histórico!$A966),ISNUMBER(Histórico!B966),Histórico!B966&gt;0),Histórico!B966,Q965)</f>
        <v>157.42</v>
      </c>
      <c r="R966" s="17">
        <f>IF(AND(ISNUMBER(Histórico!$A966),ISNUMBER(Histórico!C966),Histórico!C966&gt;0),Histórico!C966,R965)</f>
        <v>64.73</v>
      </c>
      <c r="S966" s="17">
        <f>IF(AND(ISNUMBER(Histórico!$A966),ISNUMBER(Histórico!D966),Histórico!D966&gt;0),Histórico!D966,S965)</f>
        <v>389.05</v>
      </c>
      <c r="T966" s="18">
        <f>IF(AND(ISNUMBER(Histórico!$A966),ISNUMBER(Histórico!E966),Histórico!E966&gt;0),Histórico!E966,T965)</f>
        <v>5.3744</v>
      </c>
      <c r="U966" s="15">
        <f>IF(ISNUMBER(Histórico!A966),Histórico!A966,U965)</f>
        <v>46324</v>
      </c>
    </row>
    <row r="967" spans="17:21" ht="22.95" customHeight="1">
      <c r="Q967" s="17">
        <f>IF(AND(ISNUMBER(Histórico!$A967),ISNUMBER(Histórico!B967),Histórico!B967&gt;0),Histórico!B967,Q966)</f>
        <v>157.42</v>
      </c>
      <c r="R967" s="17">
        <f>IF(AND(ISNUMBER(Histórico!$A967),ISNUMBER(Histórico!C967),Histórico!C967&gt;0),Histórico!C967,R966)</f>
        <v>64.73</v>
      </c>
      <c r="S967" s="17">
        <f>IF(AND(ISNUMBER(Histórico!$A967),ISNUMBER(Histórico!D967),Histórico!D967&gt;0),Histórico!D967,S966)</f>
        <v>389.05</v>
      </c>
      <c r="T967" s="18">
        <f>IF(AND(ISNUMBER(Histórico!$A967),ISNUMBER(Histórico!E967),Histórico!E967&gt;0),Histórico!E967,T966)</f>
        <v>5.3744</v>
      </c>
      <c r="U967" s="15">
        <f>IF(ISNUMBER(Histórico!A967),Histórico!A967,U966)</f>
        <v>46324</v>
      </c>
    </row>
    <row r="968" spans="17:21" ht="22.95" customHeight="1">
      <c r="Q968" s="17">
        <f>IF(AND(ISNUMBER(Histórico!$A968),ISNUMBER(Histórico!B968),Histórico!B968&gt;0),Histórico!B968,Q967)</f>
        <v>157.42</v>
      </c>
      <c r="R968" s="17">
        <f>IF(AND(ISNUMBER(Histórico!$A968),ISNUMBER(Histórico!C968),Histórico!C968&gt;0),Histórico!C968,R967)</f>
        <v>64.73</v>
      </c>
      <c r="S968" s="17">
        <f>IF(AND(ISNUMBER(Histórico!$A968),ISNUMBER(Histórico!D968),Histórico!D968&gt;0),Histórico!D968,S967)</f>
        <v>389.05</v>
      </c>
      <c r="T968" s="18">
        <f>IF(AND(ISNUMBER(Histórico!$A968),ISNUMBER(Histórico!E968),Histórico!E968&gt;0),Histórico!E968,T967)</f>
        <v>5.3744</v>
      </c>
      <c r="U968" s="15">
        <f>IF(ISNUMBER(Histórico!A968),Histórico!A968,U967)</f>
        <v>46324</v>
      </c>
    </row>
    <row r="969" spans="17:21" ht="22.95" customHeight="1">
      <c r="Q969" s="17">
        <f>IF(AND(ISNUMBER(Histórico!$A969),ISNUMBER(Histórico!B969),Histórico!B969&gt;0),Histórico!B969,Q968)</f>
        <v>157.42</v>
      </c>
      <c r="R969" s="17">
        <f>IF(AND(ISNUMBER(Histórico!$A969),ISNUMBER(Histórico!C969),Histórico!C969&gt;0),Histórico!C969,R968)</f>
        <v>64.73</v>
      </c>
      <c r="S969" s="17">
        <f>IF(AND(ISNUMBER(Histórico!$A969),ISNUMBER(Histórico!D969),Histórico!D969&gt;0),Histórico!D969,S968)</f>
        <v>389.05</v>
      </c>
      <c r="T969" s="18">
        <f>IF(AND(ISNUMBER(Histórico!$A969),ISNUMBER(Histórico!E969),Histórico!E969&gt;0),Histórico!E969,T968)</f>
        <v>5.3744</v>
      </c>
      <c r="U969" s="15">
        <f>IF(ISNUMBER(Histórico!A969),Histórico!A969,U968)</f>
        <v>46324</v>
      </c>
    </row>
    <row r="970" spans="17:21" ht="22.95" customHeight="1">
      <c r="Q970" s="17">
        <f>IF(AND(ISNUMBER(Histórico!$A970),ISNUMBER(Histórico!B970),Histórico!B970&gt;0),Histórico!B970,Q969)</f>
        <v>157.42</v>
      </c>
      <c r="R970" s="17">
        <f>IF(AND(ISNUMBER(Histórico!$A970),ISNUMBER(Histórico!C970),Histórico!C970&gt;0),Histórico!C970,R969)</f>
        <v>64.73</v>
      </c>
      <c r="S970" s="17">
        <f>IF(AND(ISNUMBER(Histórico!$A970),ISNUMBER(Histórico!D970),Histórico!D970&gt;0),Histórico!D970,S969)</f>
        <v>389.05</v>
      </c>
      <c r="T970" s="18">
        <f>IF(AND(ISNUMBER(Histórico!$A970),ISNUMBER(Histórico!E970),Histórico!E970&gt;0),Histórico!E970,T969)</f>
        <v>5.3744</v>
      </c>
      <c r="U970" s="15">
        <f>IF(ISNUMBER(Histórico!A970),Histórico!A970,U969)</f>
        <v>46324</v>
      </c>
    </row>
    <row r="971" spans="17:21" ht="22.95" customHeight="1">
      <c r="Q971" s="17">
        <f>IF(AND(ISNUMBER(Histórico!$A971),ISNUMBER(Histórico!B971),Histórico!B971&gt;0),Histórico!B971,Q970)</f>
        <v>157.42</v>
      </c>
      <c r="R971" s="17">
        <f>IF(AND(ISNUMBER(Histórico!$A971),ISNUMBER(Histórico!C971),Histórico!C971&gt;0),Histórico!C971,R970)</f>
        <v>64.73</v>
      </c>
      <c r="S971" s="17">
        <f>IF(AND(ISNUMBER(Histórico!$A971),ISNUMBER(Histórico!D971),Histórico!D971&gt;0),Histórico!D971,S970)</f>
        <v>389.05</v>
      </c>
      <c r="T971" s="18">
        <f>IF(AND(ISNUMBER(Histórico!$A971),ISNUMBER(Histórico!E971),Histórico!E971&gt;0),Histórico!E971,T970)</f>
        <v>5.3744</v>
      </c>
      <c r="U971" s="15">
        <f>IF(ISNUMBER(Histórico!A971),Histórico!A971,U970)</f>
        <v>46324</v>
      </c>
    </row>
    <row r="972" spans="17:21" ht="22.95" customHeight="1">
      <c r="Q972" s="17">
        <f>IF(AND(ISNUMBER(Histórico!$A972),ISNUMBER(Histórico!B972),Histórico!B972&gt;0),Histórico!B972,Q971)</f>
        <v>157.42</v>
      </c>
      <c r="R972" s="17">
        <f>IF(AND(ISNUMBER(Histórico!$A972),ISNUMBER(Histórico!C972),Histórico!C972&gt;0),Histórico!C972,R971)</f>
        <v>64.73</v>
      </c>
      <c r="S972" s="17">
        <f>IF(AND(ISNUMBER(Histórico!$A972),ISNUMBER(Histórico!D972),Histórico!D972&gt;0),Histórico!D972,S971)</f>
        <v>389.05</v>
      </c>
      <c r="T972" s="18">
        <f>IF(AND(ISNUMBER(Histórico!$A972),ISNUMBER(Histórico!E972),Histórico!E972&gt;0),Histórico!E972,T971)</f>
        <v>5.3744</v>
      </c>
      <c r="U972" s="15">
        <f>IF(ISNUMBER(Histórico!A972),Histórico!A972,U971)</f>
        <v>46324</v>
      </c>
    </row>
    <row r="973" spans="17:21" ht="22.95" customHeight="1">
      <c r="Q973" s="17">
        <f>IF(AND(ISNUMBER(Histórico!$A973),ISNUMBER(Histórico!B973),Histórico!B973&gt;0),Histórico!B973,Q972)</f>
        <v>157.42</v>
      </c>
      <c r="R973" s="17">
        <f>IF(AND(ISNUMBER(Histórico!$A973),ISNUMBER(Histórico!C973),Histórico!C973&gt;0),Histórico!C973,R972)</f>
        <v>64.73</v>
      </c>
      <c r="S973" s="17">
        <f>IF(AND(ISNUMBER(Histórico!$A973),ISNUMBER(Histórico!D973),Histórico!D973&gt;0),Histórico!D973,S972)</f>
        <v>389.05</v>
      </c>
      <c r="T973" s="18">
        <f>IF(AND(ISNUMBER(Histórico!$A973),ISNUMBER(Histórico!E973),Histórico!E973&gt;0),Histórico!E973,T972)</f>
        <v>5.3744</v>
      </c>
      <c r="U973" s="15">
        <f>IF(ISNUMBER(Histórico!A973),Histórico!A973,U972)</f>
        <v>46324</v>
      </c>
    </row>
    <row r="974" spans="17:21" ht="22.95" customHeight="1">
      <c r="Q974" s="17">
        <f>IF(AND(ISNUMBER(Histórico!$A974),ISNUMBER(Histórico!B974),Histórico!B974&gt;0),Histórico!B974,Q973)</f>
        <v>157.42</v>
      </c>
      <c r="R974" s="17">
        <f>IF(AND(ISNUMBER(Histórico!$A974),ISNUMBER(Histórico!C974),Histórico!C974&gt;0),Histórico!C974,R973)</f>
        <v>64.73</v>
      </c>
      <c r="S974" s="17">
        <f>IF(AND(ISNUMBER(Histórico!$A974),ISNUMBER(Histórico!D974),Histórico!D974&gt;0),Histórico!D974,S973)</f>
        <v>389.05</v>
      </c>
      <c r="T974" s="18">
        <f>IF(AND(ISNUMBER(Histórico!$A974),ISNUMBER(Histórico!E974),Histórico!E974&gt;0),Histórico!E974,T973)</f>
        <v>5.3744</v>
      </c>
      <c r="U974" s="15">
        <f>IF(ISNUMBER(Histórico!A974),Histórico!A974,U973)</f>
        <v>46324</v>
      </c>
    </row>
    <row r="975" spans="17:21" ht="22.95" customHeight="1">
      <c r="Q975" s="17">
        <f>IF(AND(ISNUMBER(Histórico!$A975),ISNUMBER(Histórico!B975),Histórico!B975&gt;0),Histórico!B975,Q974)</f>
        <v>157.42</v>
      </c>
      <c r="R975" s="17">
        <f>IF(AND(ISNUMBER(Histórico!$A975),ISNUMBER(Histórico!C975),Histórico!C975&gt;0),Histórico!C975,R974)</f>
        <v>64.73</v>
      </c>
      <c r="S975" s="17">
        <f>IF(AND(ISNUMBER(Histórico!$A975),ISNUMBER(Histórico!D975),Histórico!D975&gt;0),Histórico!D975,S974)</f>
        <v>389.05</v>
      </c>
      <c r="T975" s="18">
        <f>IF(AND(ISNUMBER(Histórico!$A975),ISNUMBER(Histórico!E975),Histórico!E975&gt;0),Histórico!E975,T974)</f>
        <v>5.3744</v>
      </c>
      <c r="U975" s="15">
        <f>IF(ISNUMBER(Histórico!A975),Histórico!A975,U974)</f>
        <v>46324</v>
      </c>
    </row>
    <row r="976" spans="17:21" ht="22.95" customHeight="1">
      <c r="Q976" s="17">
        <f>IF(AND(ISNUMBER(Histórico!$A976),ISNUMBER(Histórico!B976),Histórico!B976&gt;0),Histórico!B976,Q975)</f>
        <v>157.42</v>
      </c>
      <c r="R976" s="17">
        <f>IF(AND(ISNUMBER(Histórico!$A976),ISNUMBER(Histórico!C976),Histórico!C976&gt;0),Histórico!C976,R975)</f>
        <v>64.73</v>
      </c>
      <c r="S976" s="17">
        <f>IF(AND(ISNUMBER(Histórico!$A976),ISNUMBER(Histórico!D976),Histórico!D976&gt;0),Histórico!D976,S975)</f>
        <v>389.05</v>
      </c>
      <c r="T976" s="18">
        <f>IF(AND(ISNUMBER(Histórico!$A976),ISNUMBER(Histórico!E976),Histórico!E976&gt;0),Histórico!E976,T975)</f>
        <v>5.3744</v>
      </c>
      <c r="U976" s="15">
        <f>IF(ISNUMBER(Histórico!A976),Histórico!A976,U975)</f>
        <v>46324</v>
      </c>
    </row>
    <row r="977" spans="17:21" ht="22.95" customHeight="1">
      <c r="Q977" s="17">
        <f>IF(AND(ISNUMBER(Histórico!$A977),ISNUMBER(Histórico!B977),Histórico!B977&gt;0),Histórico!B977,Q976)</f>
        <v>157.42</v>
      </c>
      <c r="R977" s="17">
        <f>IF(AND(ISNUMBER(Histórico!$A977),ISNUMBER(Histórico!C977),Histórico!C977&gt;0),Histórico!C977,R976)</f>
        <v>64.73</v>
      </c>
      <c r="S977" s="17">
        <f>IF(AND(ISNUMBER(Histórico!$A977),ISNUMBER(Histórico!D977),Histórico!D977&gt;0),Histórico!D977,S976)</f>
        <v>389.05</v>
      </c>
      <c r="T977" s="18">
        <f>IF(AND(ISNUMBER(Histórico!$A977),ISNUMBER(Histórico!E977),Histórico!E977&gt;0),Histórico!E977,T976)</f>
        <v>5.3744</v>
      </c>
      <c r="U977" s="15">
        <f>IF(ISNUMBER(Histórico!A977),Histórico!A977,U976)</f>
        <v>46324</v>
      </c>
    </row>
    <row r="978" spans="17:21" ht="22.95" customHeight="1">
      <c r="Q978" s="17">
        <f>IF(AND(ISNUMBER(Histórico!$A978),ISNUMBER(Histórico!B978),Histórico!B978&gt;0),Histórico!B978,Q977)</f>
        <v>157.42</v>
      </c>
      <c r="R978" s="17">
        <f>IF(AND(ISNUMBER(Histórico!$A978),ISNUMBER(Histórico!C978),Histórico!C978&gt;0),Histórico!C978,R977)</f>
        <v>64.73</v>
      </c>
      <c r="S978" s="17">
        <f>IF(AND(ISNUMBER(Histórico!$A978),ISNUMBER(Histórico!D978),Histórico!D978&gt;0),Histórico!D978,S977)</f>
        <v>389.05</v>
      </c>
      <c r="T978" s="18">
        <f>IF(AND(ISNUMBER(Histórico!$A978),ISNUMBER(Histórico!E978),Histórico!E978&gt;0),Histórico!E978,T977)</f>
        <v>5.3744</v>
      </c>
      <c r="U978" s="15">
        <f>IF(ISNUMBER(Histórico!A978),Histórico!A978,U977)</f>
        <v>46324</v>
      </c>
    </row>
    <row r="979" spans="17:21" ht="22.95" customHeight="1">
      <c r="Q979" s="17">
        <f>IF(AND(ISNUMBER(Histórico!$A979),ISNUMBER(Histórico!B979),Histórico!B979&gt;0),Histórico!B979,Q978)</f>
        <v>157.42</v>
      </c>
      <c r="R979" s="17">
        <f>IF(AND(ISNUMBER(Histórico!$A979),ISNUMBER(Histórico!C979),Histórico!C979&gt;0),Histórico!C979,R978)</f>
        <v>64.73</v>
      </c>
      <c r="S979" s="17">
        <f>IF(AND(ISNUMBER(Histórico!$A979),ISNUMBER(Histórico!D979),Histórico!D979&gt;0),Histórico!D979,S978)</f>
        <v>389.05</v>
      </c>
      <c r="T979" s="18">
        <f>IF(AND(ISNUMBER(Histórico!$A979),ISNUMBER(Histórico!E979),Histórico!E979&gt;0),Histórico!E979,T978)</f>
        <v>5.3744</v>
      </c>
      <c r="U979" s="15">
        <f>IF(ISNUMBER(Histórico!A979),Histórico!A979,U978)</f>
        <v>46324</v>
      </c>
    </row>
    <row r="980" spans="17:21" ht="22.95" customHeight="1">
      <c r="Q980" s="17">
        <f>IF(AND(ISNUMBER(Histórico!$A980),ISNUMBER(Histórico!B980),Histórico!B980&gt;0),Histórico!B980,Q979)</f>
        <v>157.42</v>
      </c>
      <c r="R980" s="17">
        <f>IF(AND(ISNUMBER(Histórico!$A980),ISNUMBER(Histórico!C980),Histórico!C980&gt;0),Histórico!C980,R979)</f>
        <v>64.73</v>
      </c>
      <c r="S980" s="17">
        <f>IF(AND(ISNUMBER(Histórico!$A980),ISNUMBER(Histórico!D980),Histórico!D980&gt;0),Histórico!D980,S979)</f>
        <v>389.05</v>
      </c>
      <c r="T980" s="18">
        <f>IF(AND(ISNUMBER(Histórico!$A980),ISNUMBER(Histórico!E980),Histórico!E980&gt;0),Histórico!E980,T979)</f>
        <v>5.3744</v>
      </c>
      <c r="U980" s="15">
        <f>IF(ISNUMBER(Histórico!A980),Histórico!A980,U979)</f>
        <v>46324</v>
      </c>
    </row>
    <row r="981" spans="17:21" ht="22.95" customHeight="1">
      <c r="Q981" s="17">
        <f>IF(AND(ISNUMBER(Histórico!$A981),ISNUMBER(Histórico!B981),Histórico!B981&gt;0),Histórico!B981,Q980)</f>
        <v>157.42</v>
      </c>
      <c r="R981" s="17">
        <f>IF(AND(ISNUMBER(Histórico!$A981),ISNUMBER(Histórico!C981),Histórico!C981&gt;0),Histórico!C981,R980)</f>
        <v>64.73</v>
      </c>
      <c r="S981" s="17">
        <f>IF(AND(ISNUMBER(Histórico!$A981),ISNUMBER(Histórico!D981),Histórico!D981&gt;0),Histórico!D981,S980)</f>
        <v>389.05</v>
      </c>
      <c r="T981" s="18">
        <f>IF(AND(ISNUMBER(Histórico!$A981),ISNUMBER(Histórico!E981),Histórico!E981&gt;0),Histórico!E981,T980)</f>
        <v>5.3744</v>
      </c>
      <c r="U981" s="15">
        <f>IF(ISNUMBER(Histórico!A981),Histórico!A981,U980)</f>
        <v>46324</v>
      </c>
    </row>
    <row r="982" spans="17:21" ht="22.95" customHeight="1">
      <c r="Q982" s="17">
        <f>IF(AND(ISNUMBER(Histórico!$A982),ISNUMBER(Histórico!B982),Histórico!B982&gt;0),Histórico!B982,Q981)</f>
        <v>157.42</v>
      </c>
      <c r="R982" s="17">
        <f>IF(AND(ISNUMBER(Histórico!$A982),ISNUMBER(Histórico!C982),Histórico!C982&gt;0),Histórico!C982,R981)</f>
        <v>64.73</v>
      </c>
      <c r="S982" s="17">
        <f>IF(AND(ISNUMBER(Histórico!$A982),ISNUMBER(Histórico!D982),Histórico!D982&gt;0),Histórico!D982,S981)</f>
        <v>389.05</v>
      </c>
      <c r="T982" s="18">
        <f>IF(AND(ISNUMBER(Histórico!$A982),ISNUMBER(Histórico!E982),Histórico!E982&gt;0),Histórico!E982,T981)</f>
        <v>5.3744</v>
      </c>
      <c r="U982" s="15">
        <f>IF(ISNUMBER(Histórico!A982),Histórico!A982,U981)</f>
        <v>46324</v>
      </c>
    </row>
    <row r="983" spans="17:21" ht="22.95" customHeight="1">
      <c r="Q983" s="17">
        <f>IF(AND(ISNUMBER(Histórico!$A983),ISNUMBER(Histórico!B983),Histórico!B983&gt;0),Histórico!B983,Q982)</f>
        <v>157.42</v>
      </c>
      <c r="R983" s="17">
        <f>IF(AND(ISNUMBER(Histórico!$A983),ISNUMBER(Histórico!C983),Histórico!C983&gt;0),Histórico!C983,R982)</f>
        <v>64.73</v>
      </c>
      <c r="S983" s="17">
        <f>IF(AND(ISNUMBER(Histórico!$A983),ISNUMBER(Histórico!D983),Histórico!D983&gt;0),Histórico!D983,S982)</f>
        <v>389.05</v>
      </c>
      <c r="T983" s="18">
        <f>IF(AND(ISNUMBER(Histórico!$A983),ISNUMBER(Histórico!E983),Histórico!E983&gt;0),Histórico!E983,T982)</f>
        <v>5.3744</v>
      </c>
      <c r="U983" s="15">
        <f>IF(ISNUMBER(Histórico!A983),Histórico!A983,U982)</f>
        <v>46324</v>
      </c>
    </row>
    <row r="984" spans="17:21" ht="22.95" customHeight="1">
      <c r="Q984" s="17">
        <f>IF(AND(ISNUMBER(Histórico!$A984),ISNUMBER(Histórico!B984),Histórico!B984&gt;0),Histórico!B984,Q983)</f>
        <v>157.42</v>
      </c>
      <c r="R984" s="17">
        <f>IF(AND(ISNUMBER(Histórico!$A984),ISNUMBER(Histórico!C984),Histórico!C984&gt;0),Histórico!C984,R983)</f>
        <v>64.73</v>
      </c>
      <c r="S984" s="17">
        <f>IF(AND(ISNUMBER(Histórico!$A984),ISNUMBER(Histórico!D984),Histórico!D984&gt;0),Histórico!D984,S983)</f>
        <v>389.05</v>
      </c>
      <c r="T984" s="18">
        <f>IF(AND(ISNUMBER(Histórico!$A984),ISNUMBER(Histórico!E984),Histórico!E984&gt;0),Histórico!E984,T983)</f>
        <v>5.3744</v>
      </c>
      <c r="U984" s="15">
        <f>IF(ISNUMBER(Histórico!A984),Histórico!A984,U983)</f>
        <v>46324</v>
      </c>
    </row>
    <row r="985" spans="17:21" ht="22.95" customHeight="1">
      <c r="Q985" s="17">
        <f>IF(AND(ISNUMBER(Histórico!$A985),ISNUMBER(Histórico!B985),Histórico!B985&gt;0),Histórico!B985,Q984)</f>
        <v>157.42</v>
      </c>
      <c r="R985" s="17">
        <f>IF(AND(ISNUMBER(Histórico!$A985),ISNUMBER(Histórico!C985),Histórico!C985&gt;0),Histórico!C985,R984)</f>
        <v>64.73</v>
      </c>
      <c r="S985" s="17">
        <f>IF(AND(ISNUMBER(Histórico!$A985),ISNUMBER(Histórico!D985),Histórico!D985&gt;0),Histórico!D985,S984)</f>
        <v>389.05</v>
      </c>
      <c r="T985" s="18">
        <f>IF(AND(ISNUMBER(Histórico!$A985),ISNUMBER(Histórico!E985),Histórico!E985&gt;0),Histórico!E985,T984)</f>
        <v>5.3744</v>
      </c>
      <c r="U985" s="15">
        <f>IF(ISNUMBER(Histórico!A985),Histórico!A985,U984)</f>
        <v>46324</v>
      </c>
    </row>
    <row r="986" spans="17:21" ht="22.95" customHeight="1">
      <c r="Q986" s="17">
        <f>IF(AND(ISNUMBER(Histórico!$A986),ISNUMBER(Histórico!B986),Histórico!B986&gt;0),Histórico!B986,Q985)</f>
        <v>157.42</v>
      </c>
      <c r="R986" s="17">
        <f>IF(AND(ISNUMBER(Histórico!$A986),ISNUMBER(Histórico!C986),Histórico!C986&gt;0),Histórico!C986,R985)</f>
        <v>64.73</v>
      </c>
      <c r="S986" s="17">
        <f>IF(AND(ISNUMBER(Histórico!$A986),ISNUMBER(Histórico!D986),Histórico!D986&gt;0),Histórico!D986,S985)</f>
        <v>389.05</v>
      </c>
      <c r="T986" s="18">
        <f>IF(AND(ISNUMBER(Histórico!$A986),ISNUMBER(Histórico!E986),Histórico!E986&gt;0),Histórico!E986,T985)</f>
        <v>5.3744</v>
      </c>
      <c r="U986" s="15">
        <f>IF(ISNUMBER(Histórico!A986),Histórico!A986,U985)</f>
        <v>46324</v>
      </c>
    </row>
    <row r="987" spans="17:21" ht="22.95" customHeight="1">
      <c r="Q987" s="17">
        <f>IF(AND(ISNUMBER(Histórico!$A987),ISNUMBER(Histórico!B987),Histórico!B987&gt;0),Histórico!B987,Q986)</f>
        <v>157.42</v>
      </c>
      <c r="R987" s="17">
        <f>IF(AND(ISNUMBER(Histórico!$A987),ISNUMBER(Histórico!C987),Histórico!C987&gt;0),Histórico!C987,R986)</f>
        <v>64.73</v>
      </c>
      <c r="S987" s="17">
        <f>IF(AND(ISNUMBER(Histórico!$A987),ISNUMBER(Histórico!D987),Histórico!D987&gt;0),Histórico!D987,S986)</f>
        <v>389.05</v>
      </c>
      <c r="T987" s="18">
        <f>IF(AND(ISNUMBER(Histórico!$A987),ISNUMBER(Histórico!E987),Histórico!E987&gt;0),Histórico!E987,T986)</f>
        <v>5.3744</v>
      </c>
      <c r="U987" s="15">
        <f>IF(ISNUMBER(Histórico!A987),Histórico!A987,U986)</f>
        <v>46324</v>
      </c>
    </row>
    <row r="988" spans="17:21" ht="22.95" customHeight="1">
      <c r="Q988" s="17">
        <f>IF(AND(ISNUMBER(Histórico!$A988),ISNUMBER(Histórico!B988),Histórico!B988&gt;0),Histórico!B988,Q987)</f>
        <v>157.42</v>
      </c>
      <c r="R988" s="17">
        <f>IF(AND(ISNUMBER(Histórico!$A988),ISNUMBER(Histórico!C988),Histórico!C988&gt;0),Histórico!C988,R987)</f>
        <v>64.73</v>
      </c>
      <c r="S988" s="17">
        <f>IF(AND(ISNUMBER(Histórico!$A988),ISNUMBER(Histórico!D988),Histórico!D988&gt;0),Histórico!D988,S987)</f>
        <v>389.05</v>
      </c>
      <c r="T988" s="18">
        <f>IF(AND(ISNUMBER(Histórico!$A988),ISNUMBER(Histórico!E988),Histórico!E988&gt;0),Histórico!E988,T987)</f>
        <v>5.3744</v>
      </c>
      <c r="U988" s="15">
        <f>IF(ISNUMBER(Histórico!A988),Histórico!A988,U987)</f>
        <v>46324</v>
      </c>
    </row>
    <row r="989" spans="17:21" ht="22.95" customHeight="1">
      <c r="Q989" s="17">
        <f>IF(AND(ISNUMBER(Histórico!$A989),ISNUMBER(Histórico!B989),Histórico!B989&gt;0),Histórico!B989,Q988)</f>
        <v>157.42</v>
      </c>
      <c r="R989" s="17">
        <f>IF(AND(ISNUMBER(Histórico!$A989),ISNUMBER(Histórico!C989),Histórico!C989&gt;0),Histórico!C989,R988)</f>
        <v>64.73</v>
      </c>
      <c r="S989" s="17">
        <f>IF(AND(ISNUMBER(Histórico!$A989),ISNUMBER(Histórico!D989),Histórico!D989&gt;0),Histórico!D989,S988)</f>
        <v>389.05</v>
      </c>
      <c r="T989" s="18">
        <f>IF(AND(ISNUMBER(Histórico!$A989),ISNUMBER(Histórico!E989),Histórico!E989&gt;0),Histórico!E989,T988)</f>
        <v>5.3744</v>
      </c>
      <c r="U989" s="15">
        <f>IF(ISNUMBER(Histórico!A989),Histórico!A989,U988)</f>
        <v>46324</v>
      </c>
    </row>
    <row r="990" spans="17:21" ht="22.95" customHeight="1">
      <c r="Q990" s="17">
        <f>IF(AND(ISNUMBER(Histórico!$A990),ISNUMBER(Histórico!B990),Histórico!B990&gt;0),Histórico!B990,Q989)</f>
        <v>157.42</v>
      </c>
      <c r="R990" s="17">
        <f>IF(AND(ISNUMBER(Histórico!$A990),ISNUMBER(Histórico!C990),Histórico!C990&gt;0),Histórico!C990,R989)</f>
        <v>64.73</v>
      </c>
      <c r="S990" s="17">
        <f>IF(AND(ISNUMBER(Histórico!$A990),ISNUMBER(Histórico!D990),Histórico!D990&gt;0),Histórico!D990,S989)</f>
        <v>389.05</v>
      </c>
      <c r="T990" s="18">
        <f>IF(AND(ISNUMBER(Histórico!$A990),ISNUMBER(Histórico!E990),Histórico!E990&gt;0),Histórico!E990,T989)</f>
        <v>5.3744</v>
      </c>
      <c r="U990" s="15">
        <f>IF(ISNUMBER(Histórico!A990),Histórico!A990,U989)</f>
        <v>46324</v>
      </c>
    </row>
    <row r="991" spans="17:21" ht="22.95" customHeight="1">
      <c r="Q991" s="17">
        <f>IF(AND(ISNUMBER(Histórico!$A991),ISNUMBER(Histórico!B991),Histórico!B991&gt;0),Histórico!B991,Q990)</f>
        <v>157.42</v>
      </c>
      <c r="R991" s="17">
        <f>IF(AND(ISNUMBER(Histórico!$A991),ISNUMBER(Histórico!C991),Histórico!C991&gt;0),Histórico!C991,R990)</f>
        <v>64.73</v>
      </c>
      <c r="S991" s="17">
        <f>IF(AND(ISNUMBER(Histórico!$A991),ISNUMBER(Histórico!D991),Histórico!D991&gt;0),Histórico!D991,S990)</f>
        <v>389.05</v>
      </c>
      <c r="T991" s="18">
        <f>IF(AND(ISNUMBER(Histórico!$A991),ISNUMBER(Histórico!E991),Histórico!E991&gt;0),Histórico!E991,T990)</f>
        <v>5.3744</v>
      </c>
      <c r="U991" s="15">
        <f>IF(ISNUMBER(Histórico!A991),Histórico!A991,U990)</f>
        <v>46324</v>
      </c>
    </row>
    <row r="992" spans="17:21" ht="22.95" customHeight="1">
      <c r="Q992" s="17">
        <f>IF(AND(ISNUMBER(Histórico!$A992),ISNUMBER(Histórico!B992),Histórico!B992&gt;0),Histórico!B992,Q991)</f>
        <v>157.42</v>
      </c>
      <c r="R992" s="17">
        <f>IF(AND(ISNUMBER(Histórico!$A992),ISNUMBER(Histórico!C992),Histórico!C992&gt;0),Histórico!C992,R991)</f>
        <v>64.73</v>
      </c>
      <c r="S992" s="17">
        <f>IF(AND(ISNUMBER(Histórico!$A992),ISNUMBER(Histórico!D992),Histórico!D992&gt;0),Histórico!D992,S991)</f>
        <v>389.05</v>
      </c>
      <c r="T992" s="18">
        <f>IF(AND(ISNUMBER(Histórico!$A992),ISNUMBER(Histórico!E992),Histórico!E992&gt;0),Histórico!E992,T991)</f>
        <v>5.3744</v>
      </c>
      <c r="U992" s="15">
        <f>IF(ISNUMBER(Histórico!A992),Histórico!A992,U991)</f>
        <v>46324</v>
      </c>
    </row>
    <row r="993" spans="17:21" ht="22.95" customHeight="1">
      <c r="Q993" s="17">
        <f>IF(AND(ISNUMBER(Histórico!$A993),ISNUMBER(Histórico!B993),Histórico!B993&gt;0),Histórico!B993,Q992)</f>
        <v>157.42</v>
      </c>
      <c r="R993" s="17">
        <f>IF(AND(ISNUMBER(Histórico!$A993),ISNUMBER(Histórico!C993),Histórico!C993&gt;0),Histórico!C993,R992)</f>
        <v>64.73</v>
      </c>
      <c r="S993" s="17">
        <f>IF(AND(ISNUMBER(Histórico!$A993),ISNUMBER(Histórico!D993),Histórico!D993&gt;0),Histórico!D993,S992)</f>
        <v>389.05</v>
      </c>
      <c r="T993" s="18">
        <f>IF(AND(ISNUMBER(Histórico!$A993),ISNUMBER(Histórico!E993),Histórico!E993&gt;0),Histórico!E993,T992)</f>
        <v>5.3744</v>
      </c>
      <c r="U993" s="15">
        <f>IF(ISNUMBER(Histórico!A993),Histórico!A993,U992)</f>
        <v>46324</v>
      </c>
    </row>
    <row r="994" spans="17:21" ht="22.95" customHeight="1">
      <c r="Q994" s="17">
        <f>IF(AND(ISNUMBER(Histórico!$A994),ISNUMBER(Histórico!B994),Histórico!B994&gt;0),Histórico!B994,Q993)</f>
        <v>157.42</v>
      </c>
      <c r="R994" s="17">
        <f>IF(AND(ISNUMBER(Histórico!$A994),ISNUMBER(Histórico!C994),Histórico!C994&gt;0),Histórico!C994,R993)</f>
        <v>64.73</v>
      </c>
      <c r="S994" s="17">
        <f>IF(AND(ISNUMBER(Histórico!$A994),ISNUMBER(Histórico!D994),Histórico!D994&gt;0),Histórico!D994,S993)</f>
        <v>389.05</v>
      </c>
      <c r="T994" s="18">
        <f>IF(AND(ISNUMBER(Histórico!$A994),ISNUMBER(Histórico!E994),Histórico!E994&gt;0),Histórico!E994,T993)</f>
        <v>5.3744</v>
      </c>
      <c r="U994" s="15">
        <f>IF(ISNUMBER(Histórico!A994),Histórico!A994,U993)</f>
        <v>46324</v>
      </c>
    </row>
    <row r="995" spans="17:21" ht="22.95" customHeight="1">
      <c r="Q995" s="17">
        <f>IF(AND(ISNUMBER(Histórico!$A995),ISNUMBER(Histórico!B995),Histórico!B995&gt;0),Histórico!B995,Q994)</f>
        <v>157.42</v>
      </c>
      <c r="R995" s="17">
        <f>IF(AND(ISNUMBER(Histórico!$A995),ISNUMBER(Histórico!C995),Histórico!C995&gt;0),Histórico!C995,R994)</f>
        <v>64.73</v>
      </c>
      <c r="S995" s="17">
        <f>IF(AND(ISNUMBER(Histórico!$A995),ISNUMBER(Histórico!D995),Histórico!D995&gt;0),Histórico!D995,S994)</f>
        <v>389.05</v>
      </c>
      <c r="T995" s="18">
        <f>IF(AND(ISNUMBER(Histórico!$A995),ISNUMBER(Histórico!E995),Histórico!E995&gt;0),Histórico!E995,T994)</f>
        <v>5.3744</v>
      </c>
      <c r="U995" s="15">
        <f>IF(ISNUMBER(Histórico!A995),Histórico!A995,U994)</f>
        <v>46324</v>
      </c>
    </row>
    <row r="996" spans="17:21" ht="22.95" customHeight="1">
      <c r="Q996" s="17">
        <f>IF(AND(ISNUMBER(Histórico!$A996),ISNUMBER(Histórico!B996),Histórico!B996&gt;0),Histórico!B996,Q995)</f>
        <v>157.42</v>
      </c>
      <c r="R996" s="17">
        <f>IF(AND(ISNUMBER(Histórico!$A996),ISNUMBER(Histórico!C996),Histórico!C996&gt;0),Histórico!C996,R995)</f>
        <v>64.73</v>
      </c>
      <c r="S996" s="17">
        <f>IF(AND(ISNUMBER(Histórico!$A996),ISNUMBER(Histórico!D996),Histórico!D996&gt;0),Histórico!D996,S995)</f>
        <v>389.05</v>
      </c>
      <c r="T996" s="18">
        <f>IF(AND(ISNUMBER(Histórico!$A996),ISNUMBER(Histórico!E996),Histórico!E996&gt;0),Histórico!E996,T995)</f>
        <v>5.3744</v>
      </c>
      <c r="U996" s="15">
        <f>IF(ISNUMBER(Histórico!A996),Histórico!A996,U995)</f>
        <v>46324</v>
      </c>
    </row>
    <row r="997" spans="17:21" ht="22.95" customHeight="1">
      <c r="Q997" s="17">
        <f>IF(AND(ISNUMBER(Histórico!$A997),ISNUMBER(Histórico!B997),Histórico!B997&gt;0),Histórico!B997,Q996)</f>
        <v>157.42</v>
      </c>
      <c r="R997" s="17">
        <f>IF(AND(ISNUMBER(Histórico!$A997),ISNUMBER(Histórico!C997),Histórico!C997&gt;0),Histórico!C997,R996)</f>
        <v>64.73</v>
      </c>
      <c r="S997" s="17">
        <f>IF(AND(ISNUMBER(Histórico!$A997),ISNUMBER(Histórico!D997),Histórico!D997&gt;0),Histórico!D997,S996)</f>
        <v>389.05</v>
      </c>
      <c r="T997" s="18">
        <f>IF(AND(ISNUMBER(Histórico!$A997),ISNUMBER(Histórico!E997),Histórico!E997&gt;0),Histórico!E997,T996)</f>
        <v>5.3744</v>
      </c>
      <c r="U997" s="15">
        <f>IF(ISNUMBER(Histórico!A997),Histórico!A997,U996)</f>
        <v>46324</v>
      </c>
    </row>
    <row r="998" spans="17:21" ht="22.95" customHeight="1">
      <c r="Q998" s="17">
        <f>IF(AND(ISNUMBER(Histórico!$A998),ISNUMBER(Histórico!B998),Histórico!B998&gt;0),Histórico!B998,Q997)</f>
        <v>157.42</v>
      </c>
      <c r="R998" s="17">
        <f>IF(AND(ISNUMBER(Histórico!$A998),ISNUMBER(Histórico!C998),Histórico!C998&gt;0),Histórico!C998,R997)</f>
        <v>64.73</v>
      </c>
      <c r="S998" s="17">
        <f>IF(AND(ISNUMBER(Histórico!$A998),ISNUMBER(Histórico!D998),Histórico!D998&gt;0),Histórico!D998,S997)</f>
        <v>389.05</v>
      </c>
      <c r="T998" s="18">
        <f>IF(AND(ISNUMBER(Histórico!$A998),ISNUMBER(Histórico!E998),Histórico!E998&gt;0),Histórico!E998,T997)</f>
        <v>5.3744</v>
      </c>
      <c r="U998" s="15">
        <f>IF(ISNUMBER(Histórico!A998),Histórico!A998,U997)</f>
        <v>46324</v>
      </c>
    </row>
    <row r="999" spans="17:21" ht="22.95" customHeight="1">
      <c r="Q999" s="17">
        <f>IF(AND(ISNUMBER(Histórico!$A999),ISNUMBER(Histórico!B999),Histórico!B999&gt;0),Histórico!B999,Q998)</f>
        <v>157.42</v>
      </c>
      <c r="R999" s="17">
        <f>IF(AND(ISNUMBER(Histórico!$A999),ISNUMBER(Histórico!C999),Histórico!C999&gt;0),Histórico!C999,R998)</f>
        <v>64.73</v>
      </c>
      <c r="S999" s="17">
        <f>IF(AND(ISNUMBER(Histórico!$A999),ISNUMBER(Histórico!D999),Histórico!D999&gt;0),Histórico!D999,S998)</f>
        <v>389.05</v>
      </c>
      <c r="T999" s="18">
        <f>IF(AND(ISNUMBER(Histórico!$A999),ISNUMBER(Histórico!E999),Histórico!E999&gt;0),Histórico!E999,T998)</f>
        <v>5.3744</v>
      </c>
      <c r="U999" s="15">
        <f>IF(ISNUMBER(Histórico!A999),Histórico!A999,U998)</f>
        <v>46324</v>
      </c>
    </row>
    <row r="1000" spans="17:21" ht="22.95" customHeight="1">
      <c r="Q1000" s="17">
        <f>IF(AND(ISNUMBER(Histórico!$A1000),ISNUMBER(Histórico!B1000),Histórico!B1000&gt;0),Histórico!B1000,Q999)</f>
        <v>157.42</v>
      </c>
      <c r="R1000" s="17">
        <f>IF(AND(ISNUMBER(Histórico!$A1000),ISNUMBER(Histórico!C1000),Histórico!C1000&gt;0),Histórico!C1000,R999)</f>
        <v>64.73</v>
      </c>
      <c r="S1000" s="17">
        <f>IF(AND(ISNUMBER(Histórico!$A1000),ISNUMBER(Histórico!D1000),Histórico!D1000&gt;0),Histórico!D1000,S999)</f>
        <v>389.05</v>
      </c>
      <c r="T1000" s="18">
        <f>IF(AND(ISNUMBER(Histórico!$A1000),ISNUMBER(Histórico!E1000),Histórico!E1000&gt;0),Histórico!E1000,T999)</f>
        <v>5.3744</v>
      </c>
      <c r="U1000" s="15">
        <f>IF(ISNUMBER(Histórico!A1000),Histórico!A1000,U999)</f>
        <v>46324</v>
      </c>
    </row>
    <row r="1001" spans="17:21" ht="22.95" customHeight="1">
      <c r="Q1001" s="17">
        <f>IF(AND(ISNUMBER(Histórico!$A1001),ISNUMBER(Histórico!B1001),Histórico!B1001&gt;0),Histórico!B1001,Q1000)</f>
        <v>157.42</v>
      </c>
      <c r="R1001" s="17">
        <f>IF(AND(ISNUMBER(Histórico!$A1001),ISNUMBER(Histórico!C1001),Histórico!C1001&gt;0),Histórico!C1001,R1000)</f>
        <v>64.73</v>
      </c>
      <c r="S1001" s="17">
        <f>IF(AND(ISNUMBER(Histórico!$A1001),ISNUMBER(Histórico!D1001),Histórico!D1001&gt;0),Histórico!D1001,S1000)</f>
        <v>389.05</v>
      </c>
      <c r="T1001" s="18">
        <f>IF(AND(ISNUMBER(Histórico!$A1001),ISNUMBER(Histórico!E1001),Histórico!E1001&gt;0),Histórico!E1001,T1000)</f>
        <v>5.3744</v>
      </c>
      <c r="U1001" s="15">
        <f>IF(ISNUMBER(Histórico!A1001),Histórico!A1001,U1000)</f>
        <v>46324</v>
      </c>
    </row>
    <row r="1002" spans="17:21" ht="22.95" customHeight="1">
      <c r="Q1002" s="17">
        <f>IF(AND(ISNUMBER(Histórico!$A1002),ISNUMBER(Histórico!B1002),Histórico!B1002&gt;0),Histórico!B1002,Q1001)</f>
        <v>157.42</v>
      </c>
      <c r="R1002" s="17">
        <f>IF(AND(ISNUMBER(Histórico!$A1002),ISNUMBER(Histórico!C1002),Histórico!C1002&gt;0),Histórico!C1002,R1001)</f>
        <v>64.73</v>
      </c>
      <c r="S1002" s="17">
        <f>IF(AND(ISNUMBER(Histórico!$A1002),ISNUMBER(Histórico!D1002),Histórico!D1002&gt;0),Histórico!D1002,S1001)</f>
        <v>389.05</v>
      </c>
      <c r="T1002" s="18">
        <f>IF(AND(ISNUMBER(Histórico!$A1002),ISNUMBER(Histórico!E1002),Histórico!E1002&gt;0),Histórico!E1002,T1001)</f>
        <v>5.3744</v>
      </c>
      <c r="U1002" s="15">
        <f>IF(ISNUMBER(Histórico!A1002),Histórico!A1002,U1001)</f>
        <v>46324</v>
      </c>
    </row>
    <row r="1003" spans="17:21" ht="22.95" customHeight="1">
      <c r="Q1003" s="17">
        <f>IF(AND(ISNUMBER(Histórico!$A1003),ISNUMBER(Histórico!B1003),Histórico!B1003&gt;0),Histórico!B1003,Q1002)</f>
        <v>157.42</v>
      </c>
      <c r="R1003" s="17">
        <f>IF(AND(ISNUMBER(Histórico!$A1003),ISNUMBER(Histórico!C1003),Histórico!C1003&gt;0),Histórico!C1003,R1002)</f>
        <v>64.73</v>
      </c>
      <c r="S1003" s="17">
        <f>IF(AND(ISNUMBER(Histórico!$A1003),ISNUMBER(Histórico!D1003),Histórico!D1003&gt;0),Histórico!D1003,S1002)</f>
        <v>389.05</v>
      </c>
      <c r="T1003" s="18">
        <f>IF(AND(ISNUMBER(Histórico!$A1003),ISNUMBER(Histórico!E1003),Histórico!E1003&gt;0),Histórico!E1003,T1002)</f>
        <v>5.3744</v>
      </c>
      <c r="U1003" s="15">
        <f>IF(ISNUMBER(Histórico!A1003),Histórico!A1003,U1002)</f>
        <v>46324</v>
      </c>
    </row>
    <row r="1004" spans="17:21" ht="22.95" customHeight="1">
      <c r="Q1004" s="17">
        <f>IF(AND(ISNUMBER(Histórico!$A1004),ISNUMBER(Histórico!B1004),Histórico!B1004&gt;0),Histórico!B1004,Q1003)</f>
        <v>157.42</v>
      </c>
      <c r="R1004" s="17">
        <f>IF(AND(ISNUMBER(Histórico!$A1004),ISNUMBER(Histórico!C1004),Histórico!C1004&gt;0),Histórico!C1004,R1003)</f>
        <v>64.73</v>
      </c>
      <c r="S1004" s="17">
        <f>IF(AND(ISNUMBER(Histórico!$A1004),ISNUMBER(Histórico!D1004),Histórico!D1004&gt;0),Histórico!D1004,S1003)</f>
        <v>389.05</v>
      </c>
      <c r="T1004" s="18">
        <f>IF(AND(ISNUMBER(Histórico!$A1004),ISNUMBER(Histórico!E1004),Histórico!E1004&gt;0),Histórico!E1004,T1003)</f>
        <v>5.3744</v>
      </c>
      <c r="U1004" s="15">
        <f>IF(ISNUMBER(Histórico!A1004),Histórico!A1004,U1003)</f>
        <v>46324</v>
      </c>
    </row>
    <row r="1005" spans="17:21" ht="22.95" customHeight="1">
      <c r="Q1005" s="17">
        <f>IF(AND(ISNUMBER(Histórico!$A1005),ISNUMBER(Histórico!B1005),Histórico!B1005&gt;0),Histórico!B1005,Q1004)</f>
        <v>157.42</v>
      </c>
      <c r="R1005" s="17">
        <f>IF(AND(ISNUMBER(Histórico!$A1005),ISNUMBER(Histórico!C1005),Histórico!C1005&gt;0),Histórico!C1005,R1004)</f>
        <v>64.73</v>
      </c>
      <c r="S1005" s="17">
        <f>IF(AND(ISNUMBER(Histórico!$A1005),ISNUMBER(Histórico!D1005),Histórico!D1005&gt;0),Histórico!D1005,S1004)</f>
        <v>389.05</v>
      </c>
      <c r="T1005" s="18">
        <f>IF(AND(ISNUMBER(Histórico!$A1005),ISNUMBER(Histórico!E1005),Histórico!E1005&gt;0),Histórico!E1005,T1004)</f>
        <v>5.3744</v>
      </c>
      <c r="U1005" s="15">
        <f>IF(ISNUMBER(Histórico!A1005),Histórico!A1005,U1004)</f>
        <v>46324</v>
      </c>
    </row>
    <row r="1006" spans="17:21" ht="22.95" customHeight="1">
      <c r="Q1006" s="17">
        <f>IF(AND(ISNUMBER(Histórico!$A1006),ISNUMBER(Histórico!B1006),Histórico!B1006&gt;0),Histórico!B1006,Q1005)</f>
        <v>157.42</v>
      </c>
      <c r="R1006" s="17">
        <f>IF(AND(ISNUMBER(Histórico!$A1006),ISNUMBER(Histórico!C1006),Histórico!C1006&gt;0),Histórico!C1006,R1005)</f>
        <v>64.73</v>
      </c>
      <c r="S1006" s="17">
        <f>IF(AND(ISNUMBER(Histórico!$A1006),ISNUMBER(Histórico!D1006),Histórico!D1006&gt;0),Histórico!D1006,S1005)</f>
        <v>389.05</v>
      </c>
      <c r="T1006" s="18">
        <f>IF(AND(ISNUMBER(Histórico!$A1006),ISNUMBER(Histórico!E1006),Histórico!E1006&gt;0),Histórico!E1006,T1005)</f>
        <v>5.3744</v>
      </c>
      <c r="U1006" s="15">
        <f>IF(ISNUMBER(Histórico!A1006),Histórico!A1006,U1005)</f>
        <v>46324</v>
      </c>
    </row>
    <row r="1007" spans="17:21" ht="22.95" customHeight="1">
      <c r="Q1007" s="17">
        <f>IF(AND(ISNUMBER(Histórico!$A1007),ISNUMBER(Histórico!B1007),Histórico!B1007&gt;0),Histórico!B1007,Q1006)</f>
        <v>157.42</v>
      </c>
      <c r="R1007" s="17">
        <f>IF(AND(ISNUMBER(Histórico!$A1007),ISNUMBER(Histórico!C1007),Histórico!C1007&gt;0),Histórico!C1007,R1006)</f>
        <v>64.73</v>
      </c>
      <c r="S1007" s="17">
        <f>IF(AND(ISNUMBER(Histórico!$A1007),ISNUMBER(Histórico!D1007),Histórico!D1007&gt;0),Histórico!D1007,S1006)</f>
        <v>389.05</v>
      </c>
      <c r="T1007" s="18">
        <f>IF(AND(ISNUMBER(Histórico!$A1007),ISNUMBER(Histórico!E1007),Histórico!E1007&gt;0),Histórico!E1007,T1006)</f>
        <v>5.3744</v>
      </c>
      <c r="U1007" s="15">
        <f>IF(ISNUMBER(Histórico!A1007),Histórico!A1007,U1006)</f>
        <v>46324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J37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3.8"/>
  <cols>
    <col min="1" max="1" width="13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0" customWidth="1"/>
    <col min="10" max="10" width="17" customWidth="1"/>
    <col min="11" max="11" width="17" customWidth="1"/>
    <col min="12" max="12" width="10" customWidth="1"/>
    <col min="13" max="13" width="17" customWidth="1"/>
    <col min="14" max="14" width="10" customWidth="1"/>
    <col min="15" max="15" width="17" customWidth="1"/>
    <col min="16" max="16" width="10" customWidth="1"/>
    <col min="17" max="17" width="17" customWidth="1"/>
    <col min="18" max="18" width="10" customWidth="1"/>
    <col min="19" max="19" width="17" customWidth="1"/>
    <col min="20" max="20" width="10" customWidth="1"/>
    <col min="21" max="21" width="17" customWidth="1"/>
    <col min="22" max="22" width="10" customWidth="1"/>
    <col min="23" max="23" width="17" customWidth="1"/>
    <col min="24" max="24" width="10" customWidth="1"/>
    <col min="25" max="25" width="17" customWidth="1"/>
    <col min="26" max="26" width="10" customWidth="1"/>
    <col min="27" max="27" width="17" customWidth="1"/>
    <col min="28" max="28" width="17" customWidth="1"/>
    <col min="29" max="29" width="17" customWidth="1"/>
    <col min="30" max="30" width="17" customWidth="1"/>
    <col min="31" max="31" width="17" customWidth="1"/>
    <col min="32" max="32" width="17" customWidth="1"/>
    <col min="33" max="33" width="17" customWidth="1"/>
    <col min="34" max="34" width="17" customWidth="1"/>
    <col min="35" max="35" width="17" customWidth="1"/>
    <col min="36" max="36" width="17" customWidth="1"/>
    <col min="37" max="37" width="17" customWidth="1"/>
    <col min="38" max="38" width="17" customWidth="1"/>
    <col min="39" max="39" width="17" customWidth="1"/>
    <col min="40" max="40" width="17" customWidth="1"/>
    <col min="41" max="41" width="17" customWidth="1"/>
    <col min="42" max="42" width="17" customWidth="1"/>
    <col min="43" max="43" width="17" customWidth="1"/>
    <col min="44" max="44" width="17" customWidth="1"/>
    <col min="45" max="45" width="17" customWidth="1"/>
    <col min="46" max="46" width="17" customWidth="1"/>
    <col min="47" max="47" width="17" customWidth="1"/>
    <col min="48" max="48" width="17" customWidth="1"/>
    <col min="49" max="49" width="17" customWidth="1"/>
    <col min="50" max="50" width="17" customWidth="1"/>
    <col min="51" max="51" width="17" customWidth="1"/>
    <col min="52" max="52" width="17" customWidth="1"/>
    <col min="53" max="53" width="17" customWidth="1"/>
    <col min="54" max="54" width="17" customWidth="1"/>
    <col min="55" max="55" width="17" customWidth="1"/>
    <col min="56" max="56" width="17" customWidth="1"/>
    <col min="57" max="57" width="17" customWidth="1"/>
    <col min="58" max="58" width="17" customWidth="1"/>
    <col min="59" max="59" width="17" customWidth="1"/>
    <col min="60" max="60" width="17" customWidth="1"/>
    <col min="61" max="61" width="17" customWidth="1"/>
    <col min="62" max="62" width="17" customWidth="1"/>
    <col min="63" max="63" width="17" customWidth="1"/>
    <col min="64" max="64" width="17" customWidth="1"/>
    <col min="65" max="65" width="17" customWidth="1"/>
    <col min="66" max="66" width="17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17" customWidth="1"/>
    <col min="75" max="75" width="17" customWidth="1"/>
    <col min="76" max="76" width="17" customWidth="1"/>
    <col min="77" max="77" width="17" customWidth="1"/>
    <col min="78" max="78" width="17" customWidth="1"/>
    <col min="79" max="79" width="17" customWidth="1"/>
    <col min="80" max="80" width="17" customWidth="1"/>
    <col min="81" max="81" width="17" customWidth="1"/>
    <col min="82" max="82" width="17" customWidth="1"/>
    <col min="83" max="83" width="17" customWidth="1"/>
    <col min="84" max="84" width="17" customWidth="1"/>
    <col min="85" max="85" width="17" customWidth="1"/>
    <col min="86" max="86" width="17" customWidth="1"/>
    <col min="87" max="87" width="17" customWidth="1"/>
    <col min="88" max="88" width="10" customWidth="1"/>
  </cols>
  <sheetData>
    <row r="1" ht="33" customHeight="1">
      <c r="A1" s="2" t="inlineStr">
        <is>
          <t xml:space="preserve">Novas cotações — série diária</t>
        </is>
      </c>
    </row>
    <row r="2" ht="22.95" customHeight="1">
      <c r="A2" s="4" t="inlineStr">
        <is>
          <t xml:space="preserve">Uma linha por data, uma coluna por série. Célula vazia = valor não publicado na data (nada é estimado). Futuros: contrato de referência = 1º vencimento após o mês corrente; a troca de contrato aparece na coluna "contrato". Fontes: CEPEA/ESALQ, B3, Datagro, CBOT/CME via Notícias Agrícolas. Atualizada automaticamente pelo daily.py.</t>
        </is>
      </c>
    </row>
    <row r="4" ht="48" customHeight="1">
      <c r="A4" s="6" t="inlineStr">
        <is>
          <t xml:space="preserve">Data</t>
        </is>
      </c>
      <c r="B4" s="7" t="inlineStr">
        <is>
          <t xml:space="preserve">Trigo – Paraná (R$/t)</t>
        </is>
      </c>
      <c r="C4" s="7" t="inlineStr">
        <is>
          <t xml:space="preserve">Bezerro – Mato Grosso do Sul (R$/cabeça)</t>
        </is>
      </c>
      <c r="D4" s="7" t="inlineStr">
        <is>
          <t xml:space="preserve">Frango congelado – São Paulo (R$/kg)</t>
        </is>
      </c>
      <c r="E4" s="7" t="inlineStr">
        <is>
          <t xml:space="preserve">Suíno vivo – São Paulo (posto) (R$/kg)</t>
        </is>
      </c>
      <c r="F4" s="7" t="inlineStr">
        <is>
          <t xml:space="preserve">Café arábica – Indicador CEPEA (R$/sc 60 kg)</t>
        </is>
      </c>
      <c r="G4" s="7" t="inlineStr">
        <is>
          <t xml:space="preserve">Café conilon – Indicador CEPEA (robusta) (R$/sc 60 kg)</t>
        </is>
      </c>
      <c r="H4" s="7" t="inlineStr">
        <is>
          <t xml:space="preserve">Café arábica futuro – B3 (US$/sc 60 kg)</t>
        </is>
      </c>
      <c r="I4" s="7" t="inlineStr">
        <is>
          <t xml:space="preserve">Café arábica futuro B3 – contrato</t>
        </is>
      </c>
      <c r="J4" s="7" t="inlineStr">
        <is>
          <t xml:space="preserve">Ibovespa – B3 (pontos)</t>
        </is>
      </c>
      <c r="K4" s="7" t="inlineStr">
        <is>
          <t xml:space="preserve">Dólar futuro – B3 (R$/US$ 1.000)</t>
        </is>
      </c>
      <c r="L4" s="7" t="inlineStr">
        <is>
          <t xml:space="preserve">Dólar futuro B3 – contrato</t>
        </is>
      </c>
      <c r="M4" s="7" t="inlineStr">
        <is>
          <t xml:space="preserve">Boi gordo futuro – B3 (R$/@)</t>
        </is>
      </c>
      <c r="N4" s="7" t="inlineStr">
        <is>
          <t xml:space="preserve">Boi gordo futuro B3 – contrato</t>
        </is>
      </c>
      <c r="O4" s="7" t="inlineStr">
        <is>
          <t xml:space="preserve">Milho futuro – B3 (R$/sc 60 kg)</t>
        </is>
      </c>
      <c r="P4" s="7" t="inlineStr">
        <is>
          <t xml:space="preserve">Milho futuro B3 – contrato</t>
        </is>
      </c>
      <c r="Q4" s="7" t="inlineStr">
        <is>
          <t xml:space="preserve">Soja futuro – B3 (US$/sc 60 kg)</t>
        </is>
      </c>
      <c r="R4" s="7" t="inlineStr">
        <is>
          <t xml:space="preserve">Soja futuro B3 – contrato</t>
        </is>
      </c>
      <c r="S4" s="7" t="inlineStr">
        <is>
          <t xml:space="preserve">Soja – Chicago (US$/bushel)</t>
        </is>
      </c>
      <c r="T4" s="7" t="inlineStr">
        <is>
          <t xml:space="preserve">Soja Chicago – contrato</t>
        </is>
      </c>
      <c r="U4" s="7" t="inlineStr">
        <is>
          <t xml:space="preserve">Milho – Chicago (US$/bushel)</t>
        </is>
      </c>
      <c r="V4" s="7" t="inlineStr">
        <is>
          <t xml:space="preserve">Milho Chicago – contrato</t>
        </is>
      </c>
      <c r="W4" s="7" t="inlineStr">
        <is>
          <t xml:space="preserve">Farelo de soja – Chicago (US$/t curta)</t>
        </is>
      </c>
      <c r="X4" s="7" t="inlineStr">
        <is>
          <t xml:space="preserve">Farelo de soja Chicago – contrato</t>
        </is>
      </c>
      <c r="Y4" s="7" t="inlineStr">
        <is>
          <t xml:space="preserve">Óleo de soja – Chicago (US$/libra-peso)</t>
        </is>
      </c>
      <c r="Z4" s="7" t="inlineStr">
        <is>
          <t xml:space="preserve">Óleo de soja Chicago – contrato</t>
        </is>
      </c>
      <c r="AA4" s="7" t="inlineStr">
        <is>
          <t xml:space="preserve">Algodão em pluma – prazo 8 dias (centavos de R$/lp)</t>
        </is>
      </c>
      <c r="AB4" s="7" t="inlineStr">
        <is>
          <t xml:space="preserve">Açúcar cristal – São Paulo (R$/sc 50 kg)</t>
        </is>
      </c>
      <c r="AC4" s="7" t="inlineStr">
        <is>
          <t xml:space="preserve">Boi gordo SP (R$/@)</t>
        </is>
      </c>
      <c r="AD4" s="7" t="inlineStr">
        <is>
          <t xml:space="preserve">Boi gordo MS (R$/@)</t>
        </is>
      </c>
      <c r="AE4" s="7" t="inlineStr">
        <is>
          <t xml:space="preserve">Boi gordo MG (R$/@)</t>
        </is>
      </c>
      <c r="AF4" s="7" t="inlineStr">
        <is>
          <t xml:space="preserve">Boi gordo PA (R$/@)</t>
        </is>
      </c>
      <c r="AG4" s="7" t="inlineStr">
        <is>
          <t xml:space="preserve">Boi gordo GO (R$/@)</t>
        </is>
      </c>
      <c r="AH4" s="7" t="inlineStr">
        <is>
          <t xml:space="preserve">Boi gordo TO (R$/@)</t>
        </is>
      </c>
      <c r="AI4" s="7" t="inlineStr">
        <is>
          <t xml:space="preserve">Boi gordo MT (R$/@)</t>
        </is>
      </c>
      <c r="AJ4" s="7" t="inlineStr">
        <is>
          <t xml:space="preserve">Boi gordo RO (R$/@)</t>
        </is>
      </c>
      <c r="AK4" s="7" t="inlineStr">
        <is>
          <t xml:space="preserve">Boi gordo BA (R$/@)</t>
        </is>
      </c>
      <c r="AL4" s="7" t="inlineStr">
        <is>
          <t xml:space="preserve">Suíno vivo – Minas Gerais (posto) (R$/kg)</t>
        </is>
      </c>
      <c r="AM4" s="7" t="inlineStr">
        <is>
          <t xml:space="preserve">Suíno vivo – Paraná (a retirar) (R$/kg)</t>
        </is>
      </c>
      <c r="AN4" s="7" t="inlineStr">
        <is>
          <t xml:space="preserve">Suíno vivo – Rio Grande do Sul (a retirar) (R$/kg)</t>
        </is>
      </c>
      <c r="AO4" s="7" t="inlineStr">
        <is>
          <t xml:space="preserve">Suíno vivo – Santa Catarina (a retirar) (R$/kg)</t>
        </is>
      </c>
      <c r="AP4" s="7" t="inlineStr">
        <is>
          <t xml:space="preserve">Frango resfriado – São Paulo (R$/kg)</t>
        </is>
      </c>
      <c r="AQ4" s="7" t="inlineStr">
        <is>
          <t xml:space="preserve">Ovos brancos – Bastos (SP) · FOB (R$/cx 30 dz)</t>
        </is>
      </c>
      <c r="AR4" s="7" t="inlineStr">
        <is>
          <t xml:space="preserve">Ovos vermelhos – Bastos (SP) · FOB (R$/cx 30 dz)</t>
        </is>
      </c>
      <c r="AS4" s="7" t="inlineStr">
        <is>
          <t xml:space="preserve">Leite ao produtor – Média Brasil (R$/litro)</t>
        </is>
      </c>
      <c r="AT4" s="7" t="inlineStr">
        <is>
          <t xml:space="preserve">Leite ao produtor – Minas Gerais (R$/litro)</t>
        </is>
      </c>
      <c r="AU4" s="7" t="inlineStr">
        <is>
          <t xml:space="preserve">Leite ao produtor – Goiás (R$/litro)</t>
        </is>
      </c>
      <c r="AV4" s="7" t="inlineStr">
        <is>
          <t xml:space="preserve">Leite ao produtor – São Paulo (R$/litro)</t>
        </is>
      </c>
      <c r="AW4" s="7" t="inlineStr">
        <is>
          <t xml:space="preserve">Leite ao produtor – Paraná (R$/litro)</t>
        </is>
      </c>
      <c r="AX4" s="7" t="inlineStr">
        <is>
          <t xml:space="preserve">Leite ao produtor – Santa Catarina (R$/litro)</t>
        </is>
      </c>
      <c r="AY4" s="7" t="inlineStr">
        <is>
          <t xml:space="preserve">Leite ao produtor – Rio Grande do Sul (R$/litro)</t>
        </is>
      </c>
      <c r="AZ4" s="7" t="inlineStr">
        <is>
          <t xml:space="preserve">Leite ao produtor – Bahia (R$/litro)</t>
        </is>
      </c>
      <c r="BA4" s="7" t="inlineStr">
        <is>
          <t xml:space="preserve">Leite ao produtor – Rio de Janeiro (R$/litro)</t>
        </is>
      </c>
      <c r="BB4" s="7" t="inlineStr">
        <is>
          <t xml:space="preserve">Leite ao produtor – Espírito Santo (R$/litro)</t>
        </is>
      </c>
      <c r="BC4" s="7" t="inlineStr">
        <is>
          <t xml:space="preserve">Tilápia – Grandes Lagos (R$/kg)</t>
        </is>
      </c>
      <c r="BD4" s="7" t="inlineStr">
        <is>
          <t xml:space="preserve">Tilápia – Morada Nova de Minas (R$/kg)</t>
        </is>
      </c>
      <c r="BE4" s="7" t="inlineStr">
        <is>
          <t xml:space="preserve">Tilápia – Norte do Paraná (R$/kg)</t>
        </is>
      </c>
      <c r="BF4" s="7" t="inlineStr">
        <is>
          <t xml:space="preserve">Tilápia – Oeste do Paraná (R$/kg)</t>
        </is>
      </c>
      <c r="BG4" s="7" t="inlineStr">
        <is>
          <t xml:space="preserve">Tilápia – Triângulo Mineiro/Alto Paranaíba (R$/kg)</t>
        </is>
      </c>
      <c r="BH4" s="7" t="inlineStr">
        <is>
          <t xml:space="preserve">Trigo – Rio Grande do Sul (R$/t)</t>
        </is>
      </c>
      <c r="BI4" s="7" t="inlineStr">
        <is>
          <t xml:space="preserve">Arroz em casca – RS · CEPEA/IRGA (58% inteiros) (R$/sc 50 kg)</t>
        </is>
      </c>
      <c r="BJ4" s="7" t="inlineStr">
        <is>
          <t xml:space="preserve">Feijão carioca – São Paulo · nota 9+ (R$/sc 60 kg)</t>
        </is>
      </c>
      <c r="BK4" s="7" t="inlineStr">
        <is>
          <t xml:space="preserve">Feijão carioca – Itapeva · nota 9+ (R$/sc 60 kg)</t>
        </is>
      </c>
      <c r="BL4" s="7" t="inlineStr">
        <is>
          <t xml:space="preserve">Feijão carioca – Leste Goiano · nota 9+ (R$/sc 60 kg)</t>
        </is>
      </c>
      <c r="BM4" s="7" t="inlineStr">
        <is>
          <t xml:space="preserve">Feijão carioca – Noroeste de Minas · nota 9+ (R$/sc 60 kg)</t>
        </is>
      </c>
      <c r="BN4" s="7" t="inlineStr">
        <is>
          <t xml:space="preserve">Feijão carioca – Sorriso · nota 9+ (R$/sc 60 kg)</t>
        </is>
      </c>
      <c r="BO4" s="7" t="inlineStr">
        <is>
          <t xml:space="preserve">Feijão preto – Curitiba · tipo 1 (R$/sc 60 kg)</t>
        </is>
      </c>
      <c r="BP4" s="7" t="inlineStr">
        <is>
          <t xml:space="preserve">Feijão preto – Itapeva · tipo 1 (R$/sc 60 kg)</t>
        </is>
      </c>
      <c r="BQ4" s="7" t="inlineStr">
        <is>
          <t xml:space="preserve">Feijão preto – Metade Sul do Paraná · tipo 1 (R$/sc 60 kg)</t>
        </is>
      </c>
      <c r="BR4" s="7" t="inlineStr">
        <is>
          <t xml:space="preserve">Feijão preto – Oeste Catarinense · tipo 1 (R$/sc 60 kg)</t>
        </is>
      </c>
      <c r="BS4" s="7" t="inlineStr">
        <is>
          <t xml:space="preserve">Etanol hidratado – São Paulo · usinas · semanal (R$/litro)</t>
        </is>
      </c>
      <c r="BT4" s="7" t="inlineStr">
        <is>
          <t xml:space="preserve">Etanol anidro – São Paulo · usinas · semanal (R$/litro)</t>
        </is>
      </c>
      <c r="BU4" s="7" t="inlineStr">
        <is>
          <t xml:space="preserve">Mandioca (raiz) – Noroeste do Paraná · posto fecularia (R$/t)</t>
        </is>
      </c>
      <c r="BV4" s="7" t="inlineStr">
        <is>
          <t xml:space="preserve">Mandioca (raiz) – Assis (SP) · posto fecularia (R$/t)</t>
        </is>
      </c>
      <c r="BW4" s="7" t="inlineStr">
        <is>
          <t xml:space="preserve">Mandioca (raiz) – Extremo Sul do MS · posto fecularia (R$/t)</t>
        </is>
      </c>
      <c r="BX4" s="7" t="inlineStr">
        <is>
          <t xml:space="preserve">Sorgo – Rio Verde (GO) · Comigo (R$/sc 60 kg)</t>
        </is>
      </c>
      <c r="BY4" s="7" t="inlineStr">
        <is>
          <t xml:space="preserve">Sorgo – Média RS · Clicmercado (R$/sc 60 kg)</t>
        </is>
      </c>
      <c r="BZ4" s="7" t="inlineStr">
        <is>
          <t xml:space="preserve">Sorgo – Oeste da Bahia · AIBA (R$/sc 60 kg)</t>
        </is>
      </c>
      <c r="CA4" s="7" t="inlineStr">
        <is>
          <t xml:space="preserve">Sorgo – Cândido Mota (SP) · Coopermota (R$/sc 60 kg)</t>
        </is>
      </c>
      <c r="CB4" s="7" t="inlineStr">
        <is>
          <t xml:space="preserve">Sorgo – Dourados (MS) (R$/sc 60 kg)</t>
        </is>
      </c>
      <c r="CC4" s="7" t="inlineStr">
        <is>
          <t xml:space="preserve">Sorgo – Campo Grande (MS) (R$/sc 60 kg)</t>
        </is>
      </c>
      <c r="CD4" s="7" t="inlineStr">
        <is>
          <t xml:space="preserve">Laranja indústria – SP · a prazo · média 5 dias (R$/cx 40,8 kg)</t>
        </is>
      </c>
      <c r="CE4" s="7" t="inlineStr">
        <is>
          <t xml:space="preserve">Laranja pera in natura – SP · a prazo (R$/cx 40,8 kg)</t>
        </is>
      </c>
      <c r="CF4" s="7" t="inlineStr">
        <is>
          <t xml:space="preserve">Cacau – Bahia · convencional (R$/@)</t>
        </is>
      </c>
      <c r="CG4" s="7" t="inlineStr">
        <is>
          <t xml:space="preserve">Cacau – Espírito Santo · convencional (R$/sc)</t>
        </is>
      </c>
      <c r="CH4" s="7" t="inlineStr">
        <is>
          <t xml:space="preserve">Cacau – Pará · convencional (R$/kg)</t>
        </is>
      </c>
      <c r="CI4" s="7" t="inlineStr">
        <is>
          <t xml:space="preserve">Cacau – ICE Nova York (US$/t)</t>
        </is>
      </c>
      <c r="CJ4" s="7" t="inlineStr">
        <is>
          <t xml:space="preserve">Cacau ICE Nova York – contrato</t>
        </is>
      </c>
    </row>
    <row r="5">
      <c r="A5" s="28">
        <v>45810</v>
      </c>
      <c r="B5" s="29">
        <v>1529.99</v>
      </c>
      <c r="C5" s="29">
        <v>2877.24</v>
      </c>
      <c r="D5" s="29">
        <v>8.08</v>
      </c>
      <c r="E5" s="29">
        <v>8.29</v>
      </c>
      <c r="F5" s="29">
        <v>2316.4</v>
      </c>
      <c r="G5" s="29">
        <v>1358.37</v>
      </c>
      <c r="H5" s="29">
        <v>409.55</v>
      </c>
      <c r="I5" s="27" t="inlineStr">
        <is>
          <t xml:space="preserve">dez/25</t>
        </is>
      </c>
      <c r="J5" s="29">
        <v>136786.65</v>
      </c>
      <c r="K5" s="30">
        <v>5717.5</v>
      </c>
      <c r="L5" s="27" t="inlineStr">
        <is>
          <t xml:space="preserve">jul/25</t>
        </is>
      </c>
      <c r="M5" s="29">
        <v>329.1</v>
      </c>
      <c r="N5" s="27" t="inlineStr">
        <is>
          <t xml:space="preserve">jul/25</t>
        </is>
      </c>
      <c r="O5" s="29">
        <v>62.78</v>
      </c>
      <c r="P5" s="27" t="inlineStr">
        <is>
          <t xml:space="preserve">jul/25</t>
        </is>
      </c>
      <c r="Q5" s="29">
        <v>22.81</v>
      </c>
      <c r="R5" s="27" t="inlineStr">
        <is>
          <t xml:space="preserve">jul/25</t>
        </is>
      </c>
      <c r="S5" s="30">
        <v>10.335</v>
      </c>
      <c r="T5" s="27" t="inlineStr">
        <is>
          <t xml:space="preserve">jul/25</t>
        </is>
      </c>
      <c r="U5" s="30">
        <v>4.3825</v>
      </c>
      <c r="V5" s="27" t="inlineStr">
        <is>
          <t xml:space="preserve">jul/25</t>
        </is>
      </c>
      <c r="W5" s="29">
        <v>293.9</v>
      </c>
      <c r="X5" s="27" t="inlineStr">
        <is>
          <t xml:space="preserve">jul/25</t>
        </is>
      </c>
      <c r="Y5" s="30">
        <v>0.4628</v>
      </c>
      <c r="Z5" s="27" t="inlineStr">
        <is>
          <t xml:space="preserve">jul/25</t>
        </is>
      </c>
      <c r="AA5" s="29">
        <v>446.08</v>
      </c>
      <c r="AB5" s="29">
        <v>134.01</v>
      </c>
      <c r="AC5" s="29">
        <v>302.0</v>
      </c>
      <c r="AD5" s="29">
        <v>302.32</v>
      </c>
      <c r="AE5" s="29">
        <v>292.13</v>
      </c>
      <c r="AF5" s="29">
        <v>279.94</v>
      </c>
      <c r="AG5" s="29">
        <v>288.15</v>
      </c>
      <c r="AH5" s="29">
        <v>276.73</v>
      </c>
      <c r="AI5" s="29">
        <v>307.38</v>
      </c>
      <c r="AJ5" s="29">
        <v>267.24</v>
      </c>
      <c r="AK5" s="29">
        <v>275.85</v>
      </c>
      <c r="AL5" s="29">
        <v>8.12</v>
      </c>
      <c r="AM5" s="29">
        <v>7.9</v>
      </c>
      <c r="AN5" s="29">
        <v>7.94</v>
      </c>
      <c r="AO5" s="29">
        <v>7.69</v>
      </c>
      <c r="AP5" s="29">
        <v>8.18</v>
      </c>
      <c r="AQ5" s="29">
        <v>163.01</v>
      </c>
      <c r="AR5" s="29">
        <v>183.27</v>
      </c>
      <c r="BH5" s="29">
        <v>1359.83</v>
      </c>
      <c r="BI5" s="29">
        <v>70.62</v>
      </c>
      <c r="BK5" s="29">
        <v>279.79</v>
      </c>
      <c r="BO5" s="29">
        <v>146.09</v>
      </c>
      <c r="BQ5" s="29">
        <v>138.66</v>
      </c>
      <c r="BX5" s="29">
        <v>49.0</v>
      </c>
      <c r="BY5" s="29">
        <v>60.0</v>
      </c>
      <c r="CB5" s="29">
        <v>46.4</v>
      </c>
      <c r="CC5" s="29">
        <v>44.0</v>
      </c>
      <c r="CD5" s="29">
        <v>45.0</v>
      </c>
      <c r="CE5" s="29">
        <v>70.77</v>
      </c>
      <c r="CI5" s="29">
        <v>9474.0</v>
      </c>
      <c r="CJ5" s="27" t="inlineStr">
        <is>
          <t xml:space="preserve">jul/25</t>
        </is>
      </c>
    </row>
    <row r="6">
      <c r="A6" s="28">
        <v>45811</v>
      </c>
      <c r="B6" s="29">
        <v>1538.39</v>
      </c>
      <c r="C6" s="29">
        <v>2876.23</v>
      </c>
      <c r="D6" s="29">
        <v>7.63</v>
      </c>
      <c r="E6" s="29">
        <v>8.29</v>
      </c>
      <c r="F6" s="29">
        <v>2267.09</v>
      </c>
      <c r="G6" s="29">
        <v>1320.75</v>
      </c>
      <c r="H6" s="29">
        <v>409.75</v>
      </c>
      <c r="I6" s="27" t="inlineStr">
        <is>
          <t xml:space="preserve">dez/25</t>
        </is>
      </c>
      <c r="J6" s="29">
        <v>137546.26</v>
      </c>
      <c r="K6" s="30">
        <v>5669.5</v>
      </c>
      <c r="L6" s="27" t="inlineStr">
        <is>
          <t xml:space="preserve">jul/25</t>
        </is>
      </c>
      <c r="M6" s="29">
        <v>328.35</v>
      </c>
      <c r="N6" s="27" t="inlineStr">
        <is>
          <t xml:space="preserve">jul/25</t>
        </is>
      </c>
      <c r="O6" s="29">
        <v>63.29</v>
      </c>
      <c r="P6" s="27" t="inlineStr">
        <is>
          <t xml:space="preserve">jul/25</t>
        </is>
      </c>
      <c r="Q6" s="29">
        <v>22.95</v>
      </c>
      <c r="R6" s="27" t="inlineStr">
        <is>
          <t xml:space="preserve">jul/25</t>
        </is>
      </c>
      <c r="S6" s="30">
        <v>10.4075</v>
      </c>
      <c r="T6" s="27" t="inlineStr">
        <is>
          <t xml:space="preserve">jul/25</t>
        </is>
      </c>
      <c r="U6" s="30">
        <v>4.385</v>
      </c>
      <c r="V6" s="27" t="inlineStr">
        <is>
          <t xml:space="preserve">jul/25</t>
        </is>
      </c>
      <c r="W6" s="29">
        <v>294.5</v>
      </c>
      <c r="X6" s="27" t="inlineStr">
        <is>
          <t xml:space="preserve">jul/25</t>
        </is>
      </c>
      <c r="Y6" s="30">
        <v>0.4681</v>
      </c>
      <c r="Z6" s="27" t="inlineStr">
        <is>
          <t xml:space="preserve">jul/25</t>
        </is>
      </c>
      <c r="AA6" s="29">
        <v>440.18</v>
      </c>
      <c r="AB6" s="29">
        <v>134.7</v>
      </c>
      <c r="AC6" s="29">
        <v>304.85</v>
      </c>
      <c r="AD6" s="29">
        <v>303.92</v>
      </c>
      <c r="AE6" s="29">
        <v>291.95</v>
      </c>
      <c r="AF6" s="29">
        <v>278.43</v>
      </c>
      <c r="AG6" s="29">
        <v>291.97</v>
      </c>
      <c r="AH6" s="29">
        <v>279.93</v>
      </c>
      <c r="AI6" s="29">
        <v>309.13</v>
      </c>
      <c r="AJ6" s="29">
        <v>267.89</v>
      </c>
      <c r="AK6" s="29">
        <v>277.5</v>
      </c>
      <c r="AL6" s="29">
        <v>8.12</v>
      </c>
      <c r="AM6" s="29">
        <v>7.88</v>
      </c>
      <c r="AN6" s="29">
        <v>7.94</v>
      </c>
      <c r="AO6" s="29">
        <v>7.65</v>
      </c>
      <c r="AP6" s="29">
        <v>7.78</v>
      </c>
      <c r="AQ6" s="29">
        <v>162.93</v>
      </c>
      <c r="AR6" s="29">
        <v>183.07</v>
      </c>
      <c r="BH6" s="29">
        <v>1363.82</v>
      </c>
      <c r="BI6" s="29">
        <v>70.01</v>
      </c>
      <c r="BK6" s="29">
        <v>281.78</v>
      </c>
      <c r="BO6" s="29">
        <v>145.85</v>
      </c>
      <c r="BQ6" s="29">
        <v>136.93</v>
      </c>
      <c r="BX6" s="29">
        <v>49.0</v>
      </c>
      <c r="BY6" s="29">
        <v>60.0</v>
      </c>
      <c r="CB6" s="29">
        <v>46.4</v>
      </c>
      <c r="CC6" s="29">
        <v>44.0</v>
      </c>
      <c r="CD6" s="29">
        <v>45.15</v>
      </c>
      <c r="CE6" s="29">
        <v>69.33</v>
      </c>
      <c r="CI6" s="29">
        <v>9775.0</v>
      </c>
      <c r="CJ6" s="27" t="inlineStr">
        <is>
          <t xml:space="preserve">jul/25</t>
        </is>
      </c>
    </row>
    <row r="7">
      <c r="A7" s="28">
        <v>45812</v>
      </c>
      <c r="B7" s="29">
        <v>1534.02</v>
      </c>
      <c r="C7" s="29">
        <v>2898.79</v>
      </c>
      <c r="D7" s="29">
        <v>7.38</v>
      </c>
      <c r="E7" s="29">
        <v>8.29</v>
      </c>
      <c r="F7" s="29">
        <v>2267.41</v>
      </c>
      <c r="G7" s="29">
        <v>1334.49</v>
      </c>
      <c r="H7" s="29">
        <v>417.0</v>
      </c>
      <c r="I7" s="27" t="inlineStr">
        <is>
          <t xml:space="preserve">dez/25</t>
        </is>
      </c>
      <c r="J7" s="29">
        <v>137001.58</v>
      </c>
      <c r="K7" s="30">
        <v>5679.0</v>
      </c>
      <c r="L7" s="27" t="inlineStr">
        <is>
          <t xml:space="preserve">jul/25</t>
        </is>
      </c>
      <c r="M7" s="29">
        <v>327.95</v>
      </c>
      <c r="N7" s="27" t="inlineStr">
        <is>
          <t xml:space="preserve">jul/25</t>
        </is>
      </c>
      <c r="O7" s="29">
        <v>64.08</v>
      </c>
      <c r="P7" s="27" t="inlineStr">
        <is>
          <t xml:space="preserve">jul/25</t>
        </is>
      </c>
      <c r="Q7" s="29">
        <v>23.01</v>
      </c>
      <c r="R7" s="27" t="inlineStr">
        <is>
          <t xml:space="preserve">jul/25</t>
        </is>
      </c>
      <c r="S7" s="30">
        <v>10.45</v>
      </c>
      <c r="T7" s="27" t="inlineStr">
        <is>
          <t xml:space="preserve">jul/25</t>
        </is>
      </c>
      <c r="U7" s="30">
        <v>4.3875</v>
      </c>
      <c r="V7" s="27" t="inlineStr">
        <is>
          <t xml:space="preserve">jul/25</t>
        </is>
      </c>
      <c r="W7" s="29">
        <v>297.1</v>
      </c>
      <c r="X7" s="27" t="inlineStr">
        <is>
          <t xml:space="preserve">jul/25</t>
        </is>
      </c>
      <c r="Y7" s="30">
        <v>0.4681</v>
      </c>
      <c r="Z7" s="27" t="inlineStr">
        <is>
          <t xml:space="preserve">jul/25</t>
        </is>
      </c>
      <c r="AA7" s="29">
        <v>437.14</v>
      </c>
      <c r="AB7" s="29">
        <v>134.17</v>
      </c>
      <c r="AC7" s="29">
        <v>308.57</v>
      </c>
      <c r="AD7" s="29">
        <v>305.99</v>
      </c>
      <c r="AE7" s="29">
        <v>292.66</v>
      </c>
      <c r="AF7" s="29">
        <v>283.58</v>
      </c>
      <c r="AG7" s="29">
        <v>294.11</v>
      </c>
      <c r="AH7" s="29">
        <v>281.7</v>
      </c>
      <c r="AI7" s="29">
        <v>310.02</v>
      </c>
      <c r="AJ7" s="29">
        <v>271.73</v>
      </c>
      <c r="AK7" s="29">
        <v>277.71</v>
      </c>
      <c r="AL7" s="29">
        <v>8.14</v>
      </c>
      <c r="AM7" s="29">
        <v>7.86</v>
      </c>
      <c r="AN7" s="29">
        <v>7.94</v>
      </c>
      <c r="AO7" s="29">
        <v>7.65</v>
      </c>
      <c r="AP7" s="29">
        <v>7.54</v>
      </c>
      <c r="AQ7" s="29">
        <v>162.93</v>
      </c>
      <c r="AR7" s="29">
        <v>183.07</v>
      </c>
      <c r="BH7" s="29">
        <v>1362.12</v>
      </c>
      <c r="BI7" s="29">
        <v>69.04</v>
      </c>
      <c r="BK7" s="29">
        <v>277.22</v>
      </c>
      <c r="BO7" s="29">
        <v>143.36</v>
      </c>
      <c r="BQ7" s="29">
        <v>139.0</v>
      </c>
      <c r="BX7" s="29">
        <v>46.0</v>
      </c>
      <c r="BY7" s="29">
        <v>60.0</v>
      </c>
      <c r="CB7" s="29">
        <v>46.4</v>
      </c>
      <c r="CC7" s="29">
        <v>44.0</v>
      </c>
      <c r="CD7" s="29">
        <v>45.15</v>
      </c>
      <c r="CE7" s="29">
        <v>66.95</v>
      </c>
      <c r="CI7" s="29">
        <v>9948.0</v>
      </c>
      <c r="CJ7" s="27" t="inlineStr">
        <is>
          <t xml:space="preserve">jul/25</t>
        </is>
      </c>
    </row>
    <row r="8">
      <c r="A8" s="28">
        <v>45813</v>
      </c>
      <c r="B8" s="29">
        <v>1534.4</v>
      </c>
      <c r="C8" s="29">
        <v>2908.79</v>
      </c>
      <c r="D8" s="29">
        <v>7.38</v>
      </c>
      <c r="E8" s="29">
        <v>8.29</v>
      </c>
      <c r="F8" s="29">
        <v>2301.91</v>
      </c>
      <c r="G8" s="29">
        <v>1363.05</v>
      </c>
      <c r="H8" s="29">
        <v>431.15</v>
      </c>
      <c r="I8" s="27" t="inlineStr">
        <is>
          <t xml:space="preserve">dez/25</t>
        </is>
      </c>
      <c r="J8" s="29">
        <v>136236.37</v>
      </c>
      <c r="K8" s="30">
        <v>5619.0</v>
      </c>
      <c r="L8" s="27" t="inlineStr">
        <is>
          <t xml:space="preserve">jul/25</t>
        </is>
      </c>
      <c r="M8" s="29">
        <v>325.9</v>
      </c>
      <c r="N8" s="27" t="inlineStr">
        <is>
          <t xml:space="preserve">jul/25</t>
        </is>
      </c>
      <c r="O8" s="29">
        <v>64.36</v>
      </c>
      <c r="P8" s="27" t="inlineStr">
        <is>
          <t xml:space="preserve">jul/25</t>
        </is>
      </c>
      <c r="Q8" s="29">
        <v>23.16</v>
      </c>
      <c r="R8" s="27" t="inlineStr">
        <is>
          <t xml:space="preserve">jul/25</t>
        </is>
      </c>
      <c r="S8" s="30">
        <v>10.5175</v>
      </c>
      <c r="T8" s="27" t="inlineStr">
        <is>
          <t xml:space="preserve">jul/25</t>
        </is>
      </c>
      <c r="U8" s="30">
        <v>4.395</v>
      </c>
      <c r="V8" s="27" t="inlineStr">
        <is>
          <t xml:space="preserve">jul/25</t>
        </is>
      </c>
      <c r="W8" s="29">
        <v>297.1</v>
      </c>
      <c r="X8" s="27" t="inlineStr">
        <is>
          <t xml:space="preserve">jul/25</t>
        </is>
      </c>
      <c r="Y8" s="30">
        <v>0.4665</v>
      </c>
      <c r="Z8" s="27" t="inlineStr">
        <is>
          <t xml:space="preserve">jul/25</t>
        </is>
      </c>
      <c r="AA8" s="29">
        <v>437.65</v>
      </c>
      <c r="AB8" s="29">
        <v>131.4</v>
      </c>
      <c r="AC8" s="29">
        <v>311.11</v>
      </c>
      <c r="AD8" s="29">
        <v>306.52</v>
      </c>
      <c r="AE8" s="29">
        <v>293.6</v>
      </c>
      <c r="AF8" s="29">
        <v>285.02</v>
      </c>
      <c r="AG8" s="29">
        <v>295.22</v>
      </c>
      <c r="AH8" s="29">
        <v>284.15</v>
      </c>
      <c r="AI8" s="29">
        <v>311.34</v>
      </c>
      <c r="AJ8" s="29">
        <v>273.65</v>
      </c>
      <c r="AK8" s="29">
        <v>279.49</v>
      </c>
      <c r="AL8" s="29">
        <v>8.14</v>
      </c>
      <c r="AM8" s="29">
        <v>7.86</v>
      </c>
      <c r="AN8" s="29">
        <v>7.94</v>
      </c>
      <c r="AO8" s="29">
        <v>7.67</v>
      </c>
      <c r="AP8" s="29">
        <v>7.54</v>
      </c>
      <c r="AQ8" s="29">
        <v>162.93</v>
      </c>
      <c r="AR8" s="29">
        <v>183.07</v>
      </c>
      <c r="BH8" s="29">
        <v>1363.05</v>
      </c>
      <c r="BI8" s="29">
        <v>68.96</v>
      </c>
      <c r="BK8" s="29">
        <v>278.12</v>
      </c>
      <c r="BL8" s="29">
        <v>229.58</v>
      </c>
      <c r="BO8" s="29">
        <v>144.6</v>
      </c>
      <c r="BQ8" s="29">
        <v>140.31</v>
      </c>
      <c r="BX8" s="29">
        <v>43.0</v>
      </c>
      <c r="BY8" s="29">
        <v>60.0</v>
      </c>
      <c r="CB8" s="29">
        <v>44.8</v>
      </c>
      <c r="CC8" s="29">
        <v>44.0</v>
      </c>
      <c r="CD8" s="29">
        <v>45.13</v>
      </c>
      <c r="CE8" s="29">
        <v>66.74</v>
      </c>
      <c r="CI8" s="29">
        <v>10076.0</v>
      </c>
      <c r="CJ8" s="27" t="inlineStr">
        <is>
          <t xml:space="preserve">jul/25</t>
        </is>
      </c>
    </row>
    <row r="9">
      <c r="A9" s="28">
        <v>45814</v>
      </c>
      <c r="B9" s="29">
        <v>1524.69</v>
      </c>
      <c r="C9" s="29">
        <v>2928.03</v>
      </c>
      <c r="D9" s="29">
        <v>7.38</v>
      </c>
      <c r="E9" s="29">
        <v>8.44</v>
      </c>
      <c r="F9" s="29">
        <v>2316.32</v>
      </c>
      <c r="G9" s="29">
        <v>1363.23</v>
      </c>
      <c r="H9" s="29">
        <v>429.0</v>
      </c>
      <c r="I9" s="27" t="inlineStr">
        <is>
          <t xml:space="preserve">dez/25</t>
        </is>
      </c>
      <c r="J9" s="29">
        <v>136102.1</v>
      </c>
      <c r="K9" s="30">
        <v>5590.5</v>
      </c>
      <c r="L9" s="27" t="inlineStr">
        <is>
          <t xml:space="preserve">jul/25</t>
        </is>
      </c>
      <c r="M9" s="29">
        <v>325.0</v>
      </c>
      <c r="N9" s="27" t="inlineStr">
        <is>
          <t xml:space="preserve">jul/25</t>
        </is>
      </c>
      <c r="O9" s="29">
        <v>64.57</v>
      </c>
      <c r="P9" s="27" t="inlineStr">
        <is>
          <t xml:space="preserve">jul/25</t>
        </is>
      </c>
      <c r="Q9" s="29">
        <v>23.3</v>
      </c>
      <c r="R9" s="27" t="inlineStr">
        <is>
          <t xml:space="preserve">jul/25</t>
        </is>
      </c>
      <c r="S9" s="30">
        <v>10.5725</v>
      </c>
      <c r="T9" s="27" t="inlineStr">
        <is>
          <t xml:space="preserve">jul/25</t>
        </is>
      </c>
      <c r="U9" s="30">
        <v>4.425</v>
      </c>
      <c r="V9" s="27" t="inlineStr">
        <is>
          <t xml:space="preserve">jul/25</t>
        </is>
      </c>
      <c r="W9" s="29">
        <v>295.7</v>
      </c>
      <c r="X9" s="27" t="inlineStr">
        <is>
          <t xml:space="preserve">jul/25</t>
        </is>
      </c>
      <c r="Y9" s="30">
        <v>0.475</v>
      </c>
      <c r="Z9" s="27" t="inlineStr">
        <is>
          <t xml:space="preserve">jul/25</t>
        </is>
      </c>
      <c r="AA9" s="29">
        <v>435.91</v>
      </c>
      <c r="AB9" s="29">
        <v>131.8</v>
      </c>
      <c r="AC9" s="29">
        <v>311.73</v>
      </c>
      <c r="AD9" s="29">
        <v>309.43</v>
      </c>
      <c r="AE9" s="29">
        <v>296.3</v>
      </c>
      <c r="AF9" s="29">
        <v>289.72</v>
      </c>
      <c r="AG9" s="29">
        <v>299.15</v>
      </c>
      <c r="AH9" s="29">
        <v>284.31</v>
      </c>
      <c r="AI9" s="29">
        <v>312.52</v>
      </c>
      <c r="AJ9" s="29">
        <v>274.68</v>
      </c>
      <c r="AK9" s="29">
        <v>278.11</v>
      </c>
      <c r="AL9" s="29">
        <v>8.27</v>
      </c>
      <c r="AM9" s="29">
        <v>7.87</v>
      </c>
      <c r="AN9" s="29">
        <v>8.03</v>
      </c>
      <c r="AO9" s="29">
        <v>7.75</v>
      </c>
      <c r="AP9" s="29">
        <v>7.54</v>
      </c>
      <c r="AQ9" s="29">
        <v>162.93</v>
      </c>
      <c r="AR9" s="29">
        <v>183.07</v>
      </c>
      <c r="BC9" s="29">
        <v>8.11</v>
      </c>
      <c r="BD9" s="29">
        <v>8.46</v>
      </c>
      <c r="BE9" s="29">
        <v>8.59</v>
      </c>
      <c r="BF9" s="29">
        <v>7.41</v>
      </c>
      <c r="BG9" s="29">
        <v>8.31</v>
      </c>
      <c r="BH9" s="29">
        <v>1369.61</v>
      </c>
      <c r="BI9" s="29">
        <v>68.75</v>
      </c>
      <c r="BK9" s="29">
        <v>280.8</v>
      </c>
      <c r="BL9" s="29">
        <v>229.58</v>
      </c>
      <c r="BO9" s="29">
        <v>142.93</v>
      </c>
      <c r="BQ9" s="29">
        <v>139.43</v>
      </c>
      <c r="BS9" s="30">
        <v>2.5492</v>
      </c>
      <c r="BT9" s="30">
        <v>2.9448</v>
      </c>
      <c r="BU9" s="29">
        <v>572.6</v>
      </c>
      <c r="BV9" s="29">
        <v>460.2</v>
      </c>
      <c r="BW9" s="29">
        <v>517.44</v>
      </c>
      <c r="BX9" s="29">
        <v>42.0</v>
      </c>
      <c r="BY9" s="29">
        <v>60.0</v>
      </c>
      <c r="CD9" s="29">
        <v>44.95</v>
      </c>
      <c r="CE9" s="29">
        <v>64.47</v>
      </c>
      <c r="CI9" s="29">
        <v>10259.0</v>
      </c>
      <c r="CJ9" s="27" t="inlineStr">
        <is>
          <t xml:space="preserve">jul/25</t>
        </is>
      </c>
    </row>
    <row r="10">
      <c r="A10" s="28">
        <v>45817</v>
      </c>
      <c r="B10" s="29">
        <v>1529.67</v>
      </c>
      <c r="C10" s="29">
        <v>2947.19</v>
      </c>
      <c r="D10" s="29">
        <v>7.41</v>
      </c>
      <c r="E10" s="29">
        <v>8.5</v>
      </c>
      <c r="F10" s="29">
        <v>2303.94</v>
      </c>
      <c r="G10" s="29">
        <v>1375.84</v>
      </c>
      <c r="H10" s="29">
        <v>434.5</v>
      </c>
      <c r="I10" s="27" t="inlineStr">
        <is>
          <t xml:space="preserve">dez/25</t>
        </is>
      </c>
      <c r="J10" s="29">
        <v>135699.38</v>
      </c>
      <c r="K10" s="30">
        <v>5583.0</v>
      </c>
      <c r="L10" s="27" t="inlineStr">
        <is>
          <t xml:space="preserve">jul/25</t>
        </is>
      </c>
      <c r="M10" s="29">
        <v>328.0</v>
      </c>
      <c r="N10" s="27" t="inlineStr">
        <is>
          <t xml:space="preserve">jul/25</t>
        </is>
      </c>
      <c r="O10" s="29">
        <v>64.2</v>
      </c>
      <c r="P10" s="27" t="inlineStr">
        <is>
          <t xml:space="preserve">jul/25</t>
        </is>
      </c>
      <c r="Q10" s="29">
        <v>23.3</v>
      </c>
      <c r="R10" s="27" t="inlineStr">
        <is>
          <t xml:space="preserve">jul/25</t>
        </is>
      </c>
      <c r="S10" s="30">
        <v>10.56</v>
      </c>
      <c r="T10" s="27" t="inlineStr">
        <is>
          <t xml:space="preserve">jul/25</t>
        </is>
      </c>
      <c r="U10" s="30">
        <v>4.335</v>
      </c>
      <c r="V10" s="27" t="inlineStr">
        <is>
          <t xml:space="preserve">jul/25</t>
        </is>
      </c>
      <c r="W10" s="29">
        <v>295.5</v>
      </c>
      <c r="X10" s="27" t="inlineStr">
        <is>
          <t xml:space="preserve">jul/25</t>
        </is>
      </c>
      <c r="Y10" s="30">
        <v>0.4738</v>
      </c>
      <c r="Z10" s="27" t="inlineStr">
        <is>
          <t xml:space="preserve">jul/25</t>
        </is>
      </c>
      <c r="AA10" s="29">
        <v>440.56</v>
      </c>
      <c r="AB10" s="29">
        <v>132.48</v>
      </c>
      <c r="AC10" s="29">
        <v>311.58</v>
      </c>
      <c r="AD10" s="29">
        <v>312.23</v>
      </c>
      <c r="AE10" s="29">
        <v>296.05</v>
      </c>
      <c r="AF10" s="29">
        <v>289.25</v>
      </c>
      <c r="AG10" s="29">
        <v>299.92</v>
      </c>
      <c r="AH10" s="29">
        <v>283.49</v>
      </c>
      <c r="AI10" s="29">
        <v>314.26</v>
      </c>
      <c r="AJ10" s="29">
        <v>272.82</v>
      </c>
      <c r="AK10" s="29">
        <v>280.42</v>
      </c>
      <c r="AL10" s="29">
        <v>8.34</v>
      </c>
      <c r="AM10" s="29">
        <v>7.91</v>
      </c>
      <c r="AN10" s="29">
        <v>8.02</v>
      </c>
      <c r="AO10" s="29">
        <v>7.8</v>
      </c>
      <c r="AP10" s="29">
        <v>7.6</v>
      </c>
      <c r="AQ10" s="29">
        <v>170.08</v>
      </c>
      <c r="AR10" s="29">
        <v>191.99</v>
      </c>
      <c r="BH10" s="29">
        <v>1365.19</v>
      </c>
      <c r="BI10" s="29">
        <v>67.72</v>
      </c>
      <c r="BK10" s="29">
        <v>284.56</v>
      </c>
      <c r="BM10" s="29">
        <v>270.0</v>
      </c>
      <c r="BO10" s="29">
        <v>140.96</v>
      </c>
      <c r="BQ10" s="29">
        <v>138.67</v>
      </c>
      <c r="BX10" s="29">
        <v>43.0</v>
      </c>
      <c r="BY10" s="29">
        <v>60.0</v>
      </c>
      <c r="CB10" s="29">
        <v>43.2</v>
      </c>
      <c r="CC10" s="29">
        <v>43.2</v>
      </c>
      <c r="CD10" s="29">
        <v>44.86</v>
      </c>
      <c r="CE10" s="29">
        <v>64.44</v>
      </c>
      <c r="CI10" s="29">
        <v>10174.0</v>
      </c>
      <c r="CJ10" s="27" t="inlineStr">
        <is>
          <t xml:space="preserve">jul/25</t>
        </is>
      </c>
    </row>
    <row r="11">
      <c r="A11" s="28">
        <v>45818</v>
      </c>
      <c r="B11" s="29">
        <v>1512.36</v>
      </c>
      <c r="C11" s="29">
        <v>2959.95</v>
      </c>
      <c r="D11" s="29">
        <v>7.36</v>
      </c>
      <c r="E11" s="29">
        <v>8.5</v>
      </c>
      <c r="F11" s="29">
        <v>2276.92</v>
      </c>
      <c r="G11" s="29">
        <v>1367.66</v>
      </c>
      <c r="H11" s="29">
        <v>428.5</v>
      </c>
      <c r="I11" s="27" t="inlineStr">
        <is>
          <t xml:space="preserve">dez/25</t>
        </is>
      </c>
      <c r="J11" s="29">
        <v>136436.07</v>
      </c>
      <c r="K11" s="30">
        <v>5597.5</v>
      </c>
      <c r="L11" s="27" t="inlineStr">
        <is>
          <t xml:space="preserve">jul/25</t>
        </is>
      </c>
      <c r="M11" s="29">
        <v>327.0</v>
      </c>
      <c r="N11" s="27" t="inlineStr">
        <is>
          <t xml:space="preserve">jul/25</t>
        </is>
      </c>
      <c r="O11" s="29">
        <v>64.3</v>
      </c>
      <c r="P11" s="27" t="inlineStr">
        <is>
          <t xml:space="preserve">jul/25</t>
        </is>
      </c>
      <c r="Q11" s="29">
        <v>23.3</v>
      </c>
      <c r="R11" s="27" t="inlineStr">
        <is>
          <t xml:space="preserve">jul/25</t>
        </is>
      </c>
      <c r="S11" s="30">
        <v>10.5775</v>
      </c>
      <c r="T11" s="27" t="inlineStr">
        <is>
          <t xml:space="preserve">jul/25</t>
        </is>
      </c>
      <c r="U11" s="30">
        <v>4.3875</v>
      </c>
      <c r="V11" s="27" t="inlineStr">
        <is>
          <t xml:space="preserve">jul/25</t>
        </is>
      </c>
      <c r="W11" s="29">
        <v>295.9</v>
      </c>
      <c r="X11" s="27" t="inlineStr">
        <is>
          <t xml:space="preserve">jul/25</t>
        </is>
      </c>
      <c r="Y11" s="30">
        <v>0.4779</v>
      </c>
      <c r="Z11" s="27" t="inlineStr">
        <is>
          <t xml:space="preserve">jul/25</t>
        </is>
      </c>
      <c r="AA11" s="29">
        <v>440.52</v>
      </c>
      <c r="AB11" s="29">
        <v>130.08</v>
      </c>
      <c r="AC11" s="29">
        <v>311.13</v>
      </c>
      <c r="AD11" s="29">
        <v>312.02</v>
      </c>
      <c r="AE11" s="29">
        <v>298.49</v>
      </c>
      <c r="AF11" s="29">
        <v>292.18</v>
      </c>
      <c r="AG11" s="29">
        <v>297.95</v>
      </c>
      <c r="AH11" s="29">
        <v>285.9</v>
      </c>
      <c r="AI11" s="29">
        <v>317.99</v>
      </c>
      <c r="AJ11" s="29">
        <v>273.31</v>
      </c>
      <c r="AK11" s="29">
        <v>277.79</v>
      </c>
      <c r="AL11" s="29">
        <v>8.47</v>
      </c>
      <c r="AM11" s="29">
        <v>7.89</v>
      </c>
      <c r="AN11" s="29">
        <v>8.02</v>
      </c>
      <c r="AO11" s="29">
        <v>7.94</v>
      </c>
      <c r="AP11" s="29">
        <v>7.57</v>
      </c>
      <c r="AQ11" s="29">
        <v>169.73</v>
      </c>
      <c r="AR11" s="29">
        <v>191.14</v>
      </c>
      <c r="BH11" s="29">
        <v>1361.22</v>
      </c>
      <c r="BI11" s="29">
        <v>66.81</v>
      </c>
      <c r="BK11" s="29">
        <v>275.84</v>
      </c>
      <c r="BM11" s="29">
        <v>241.88</v>
      </c>
      <c r="BO11" s="29">
        <v>143.55</v>
      </c>
      <c r="BQ11" s="29">
        <v>139.77</v>
      </c>
      <c r="BR11" s="29">
        <v>130.4</v>
      </c>
      <c r="BX11" s="29">
        <v>41.0</v>
      </c>
      <c r="BY11" s="29">
        <v>60.0</v>
      </c>
      <c r="CB11" s="29">
        <v>43.2</v>
      </c>
      <c r="CC11" s="29">
        <v>43.2</v>
      </c>
      <c r="CD11" s="29">
        <v>44.74</v>
      </c>
      <c r="CE11" s="29">
        <v>64.51</v>
      </c>
      <c r="CI11" s="29">
        <v>9602.0</v>
      </c>
      <c r="CJ11" s="27" t="inlineStr">
        <is>
          <t xml:space="preserve">jul/25</t>
        </is>
      </c>
    </row>
    <row r="12">
      <c r="A12" s="28">
        <v>45819</v>
      </c>
      <c r="B12" s="29">
        <v>1516.12</v>
      </c>
      <c r="C12" s="29">
        <v>2937.25</v>
      </c>
      <c r="D12" s="29">
        <v>7.36</v>
      </c>
      <c r="E12" s="29">
        <v>8.5</v>
      </c>
      <c r="F12" s="29">
        <v>2251.1</v>
      </c>
      <c r="G12" s="29">
        <v>1343.93</v>
      </c>
      <c r="H12" s="29">
        <v>422.0</v>
      </c>
      <c r="I12" s="27" t="inlineStr">
        <is>
          <t xml:space="preserve">dez/25</t>
        </is>
      </c>
      <c r="J12" s="29">
        <v>137128.04</v>
      </c>
      <c r="K12" s="30">
        <v>5560.0</v>
      </c>
      <c r="L12" s="27" t="inlineStr">
        <is>
          <t xml:space="preserve">jul/25</t>
        </is>
      </c>
      <c r="M12" s="29">
        <v>327.85</v>
      </c>
      <c r="N12" s="27" t="inlineStr">
        <is>
          <t xml:space="preserve">jul/25</t>
        </is>
      </c>
      <c r="O12" s="29">
        <v>63.73</v>
      </c>
      <c r="P12" s="27" t="inlineStr">
        <is>
          <t xml:space="preserve">jul/25</t>
        </is>
      </c>
      <c r="Q12" s="29">
        <v>23.15</v>
      </c>
      <c r="R12" s="27" t="inlineStr">
        <is>
          <t xml:space="preserve">jul/25</t>
        </is>
      </c>
      <c r="S12" s="30">
        <v>10.505</v>
      </c>
      <c r="T12" s="27" t="inlineStr">
        <is>
          <t xml:space="preserve">jul/25</t>
        </is>
      </c>
      <c r="U12" s="30">
        <v>4.37</v>
      </c>
      <c r="V12" s="27" t="inlineStr">
        <is>
          <t xml:space="preserve">jul/25</t>
        </is>
      </c>
      <c r="W12" s="29">
        <v>294.2</v>
      </c>
      <c r="X12" s="27" t="inlineStr">
        <is>
          <t xml:space="preserve">jul/25</t>
        </is>
      </c>
      <c r="Y12" s="30">
        <v>0.4802</v>
      </c>
      <c r="Z12" s="27" t="inlineStr">
        <is>
          <t xml:space="preserve">jul/25</t>
        </is>
      </c>
      <c r="AA12" s="29">
        <v>436.57</v>
      </c>
      <c r="AB12" s="29">
        <v>127.06</v>
      </c>
      <c r="AC12" s="29">
        <v>314.23</v>
      </c>
      <c r="AD12" s="29">
        <v>314.04</v>
      </c>
      <c r="AE12" s="29">
        <v>298.35</v>
      </c>
      <c r="AF12" s="29">
        <v>290.91</v>
      </c>
      <c r="AG12" s="29">
        <v>298.83</v>
      </c>
      <c r="AH12" s="29">
        <v>286.43</v>
      </c>
      <c r="AI12" s="29">
        <v>318.51</v>
      </c>
      <c r="AJ12" s="29">
        <v>275.29</v>
      </c>
      <c r="AK12" s="29">
        <v>281.87</v>
      </c>
      <c r="AL12" s="29">
        <v>8.44</v>
      </c>
      <c r="AM12" s="29">
        <v>7.93</v>
      </c>
      <c r="AN12" s="29">
        <v>8.03</v>
      </c>
      <c r="AO12" s="29">
        <v>7.98</v>
      </c>
      <c r="AP12" s="29">
        <v>7.39</v>
      </c>
      <c r="AQ12" s="29">
        <v>169.73</v>
      </c>
      <c r="AR12" s="29">
        <v>191.14</v>
      </c>
      <c r="BH12" s="29">
        <v>1346.02</v>
      </c>
      <c r="BI12" s="29">
        <v>66.61</v>
      </c>
      <c r="BK12" s="29">
        <v>279.62</v>
      </c>
      <c r="BL12" s="29">
        <v>235.36</v>
      </c>
      <c r="BM12" s="29">
        <v>243.76</v>
      </c>
      <c r="BO12" s="29">
        <v>145.48</v>
      </c>
      <c r="BQ12" s="29">
        <v>139.16</v>
      </c>
      <c r="BR12" s="29">
        <v>130.5</v>
      </c>
      <c r="BX12" s="29">
        <v>41.0</v>
      </c>
      <c r="BY12" s="29">
        <v>60.0</v>
      </c>
      <c r="CB12" s="29">
        <v>43.2</v>
      </c>
      <c r="CC12" s="29">
        <v>43.2</v>
      </c>
      <c r="CD12" s="29">
        <v>44.74</v>
      </c>
      <c r="CE12" s="29">
        <v>62.83</v>
      </c>
      <c r="CI12" s="29">
        <v>9549.0</v>
      </c>
      <c r="CJ12" s="27" t="inlineStr">
        <is>
          <t xml:space="preserve">jul/25</t>
        </is>
      </c>
    </row>
    <row r="13">
      <c r="A13" s="28">
        <v>45820</v>
      </c>
      <c r="B13" s="29">
        <v>1503.06</v>
      </c>
      <c r="C13" s="29">
        <v>2929.32</v>
      </c>
      <c r="D13" s="29">
        <v>7.36</v>
      </c>
      <c r="E13" s="29">
        <v>8.5</v>
      </c>
      <c r="F13" s="29">
        <v>2229.75</v>
      </c>
      <c r="G13" s="29">
        <v>1333.38</v>
      </c>
      <c r="H13" s="29">
        <v>418.25</v>
      </c>
      <c r="I13" s="27" t="inlineStr">
        <is>
          <t xml:space="preserve">dez/25</t>
        </is>
      </c>
      <c r="J13" s="29">
        <v>137799.74</v>
      </c>
      <c r="K13" s="30">
        <v>5561.0</v>
      </c>
      <c r="L13" s="27" t="inlineStr">
        <is>
          <t xml:space="preserve">jul/25</t>
        </is>
      </c>
      <c r="M13" s="29">
        <v>323.85</v>
      </c>
      <c r="N13" s="27" t="inlineStr">
        <is>
          <t xml:space="preserve">jul/25</t>
        </is>
      </c>
      <c r="O13" s="29">
        <v>63.1</v>
      </c>
      <c r="P13" s="27" t="inlineStr">
        <is>
          <t xml:space="preserve">jul/25</t>
        </is>
      </c>
      <c r="Q13" s="29">
        <v>22.99</v>
      </c>
      <c r="R13" s="27" t="inlineStr">
        <is>
          <t xml:space="preserve">jul/25</t>
        </is>
      </c>
      <c r="S13" s="30">
        <v>10.4225</v>
      </c>
      <c r="T13" s="27" t="inlineStr">
        <is>
          <t xml:space="preserve">jul/25</t>
        </is>
      </c>
      <c r="U13" s="30">
        <v>4.385</v>
      </c>
      <c r="V13" s="27" t="inlineStr">
        <is>
          <t xml:space="preserve">jul/25</t>
        </is>
      </c>
      <c r="W13" s="29">
        <v>294.5</v>
      </c>
      <c r="X13" s="27" t="inlineStr">
        <is>
          <t xml:space="preserve">jul/25</t>
        </is>
      </c>
      <c r="Y13" s="30">
        <v>0.4761</v>
      </c>
      <c r="Z13" s="27" t="inlineStr">
        <is>
          <t xml:space="preserve">jul/25</t>
        </is>
      </c>
      <c r="AA13" s="29">
        <v>435.29</v>
      </c>
      <c r="AB13" s="29">
        <v>126.56</v>
      </c>
      <c r="AC13" s="29">
        <v>314.91</v>
      </c>
      <c r="AD13" s="29">
        <v>315.07</v>
      </c>
      <c r="AE13" s="29">
        <v>298.42</v>
      </c>
      <c r="AF13" s="29">
        <v>291.02</v>
      </c>
      <c r="AG13" s="29">
        <v>299.85</v>
      </c>
      <c r="AH13" s="29">
        <v>287.02</v>
      </c>
      <c r="AI13" s="29">
        <v>318.65</v>
      </c>
      <c r="AJ13" s="29">
        <v>278.32</v>
      </c>
      <c r="AK13" s="29">
        <v>284.78</v>
      </c>
      <c r="AL13" s="29">
        <v>8.44</v>
      </c>
      <c r="AM13" s="29">
        <v>7.97</v>
      </c>
      <c r="AN13" s="29">
        <v>8.03</v>
      </c>
      <c r="AO13" s="29">
        <v>8.0</v>
      </c>
      <c r="AP13" s="29">
        <v>7.39</v>
      </c>
      <c r="AQ13" s="29">
        <v>169.55</v>
      </c>
      <c r="AR13" s="29">
        <v>191.14</v>
      </c>
      <c r="BH13" s="29">
        <v>1341.43</v>
      </c>
      <c r="BI13" s="29">
        <v>66.07</v>
      </c>
      <c r="BK13" s="29">
        <v>273.68</v>
      </c>
      <c r="BL13" s="29">
        <v>240.24</v>
      </c>
      <c r="BM13" s="29">
        <v>246.66</v>
      </c>
      <c r="BO13" s="29">
        <v>146.68</v>
      </c>
      <c r="BQ13" s="29">
        <v>138.71</v>
      </c>
      <c r="BR13" s="29">
        <v>132.64</v>
      </c>
      <c r="BX13" s="29">
        <v>41.0</v>
      </c>
      <c r="BY13" s="29">
        <v>60.0</v>
      </c>
      <c r="CB13" s="29">
        <v>43.2</v>
      </c>
      <c r="CC13" s="29">
        <v>43.2</v>
      </c>
      <c r="CD13" s="29">
        <v>44.69</v>
      </c>
      <c r="CE13" s="29">
        <v>63.12</v>
      </c>
      <c r="CI13" s="29">
        <v>9858.0</v>
      </c>
      <c r="CJ13" s="27" t="inlineStr">
        <is>
          <t xml:space="preserve">jul/25</t>
        </is>
      </c>
    </row>
    <row r="14">
      <c r="A14" s="28">
        <v>45821</v>
      </c>
      <c r="B14" s="29">
        <v>1505.4</v>
      </c>
      <c r="C14" s="29">
        <v>2920.71</v>
      </c>
      <c r="D14" s="29">
        <v>7.35</v>
      </c>
      <c r="E14" s="29">
        <v>8.59</v>
      </c>
      <c r="F14" s="29">
        <v>2197.73</v>
      </c>
      <c r="G14" s="29">
        <v>1283.26</v>
      </c>
      <c r="H14" s="29">
        <v>420.9</v>
      </c>
      <c r="I14" s="27" t="inlineStr">
        <is>
          <t xml:space="preserve">dez/25</t>
        </is>
      </c>
      <c r="J14" s="29">
        <v>137212.63</v>
      </c>
      <c r="K14" s="30">
        <v>5556.0</v>
      </c>
      <c r="L14" s="27" t="inlineStr">
        <is>
          <t xml:space="preserve">jul/25</t>
        </is>
      </c>
      <c r="M14" s="29">
        <v>327.0</v>
      </c>
      <c r="N14" s="27" t="inlineStr">
        <is>
          <t xml:space="preserve">jul/25</t>
        </is>
      </c>
      <c r="O14" s="29">
        <v>63.35</v>
      </c>
      <c r="P14" s="27" t="inlineStr">
        <is>
          <t xml:space="preserve">jul/25</t>
        </is>
      </c>
      <c r="Q14" s="29">
        <v>23.53</v>
      </c>
      <c r="R14" s="27" t="inlineStr">
        <is>
          <t xml:space="preserve">jul/25</t>
        </is>
      </c>
      <c r="S14" s="30">
        <v>10.6975</v>
      </c>
      <c r="T14" s="27" t="inlineStr">
        <is>
          <t xml:space="preserve">jul/25</t>
        </is>
      </c>
      <c r="U14" s="30">
        <v>4.445</v>
      </c>
      <c r="V14" s="27" t="inlineStr">
        <is>
          <t xml:space="preserve">jul/25</t>
        </is>
      </c>
      <c r="W14" s="29">
        <v>291.9</v>
      </c>
      <c r="X14" s="27" t="inlineStr">
        <is>
          <t xml:space="preserve">jul/25</t>
        </is>
      </c>
      <c r="Y14" s="30">
        <v>0.5061</v>
      </c>
      <c r="Z14" s="27" t="inlineStr">
        <is>
          <t xml:space="preserve">jul/25</t>
        </is>
      </c>
      <c r="AA14" s="29">
        <v>437.5</v>
      </c>
      <c r="AB14" s="29">
        <v>125.53</v>
      </c>
      <c r="AC14" s="29">
        <v>314.73</v>
      </c>
      <c r="AD14" s="29">
        <v>315.59</v>
      </c>
      <c r="AE14" s="29">
        <v>297.59</v>
      </c>
      <c r="AF14" s="29">
        <v>293.13</v>
      </c>
      <c r="AG14" s="29">
        <v>301.45</v>
      </c>
      <c r="AH14" s="29">
        <v>288.05</v>
      </c>
      <c r="AI14" s="29">
        <v>318.78</v>
      </c>
      <c r="AJ14" s="29">
        <v>278.26</v>
      </c>
      <c r="AK14" s="29">
        <v>281.78</v>
      </c>
      <c r="AL14" s="29">
        <v>8.43</v>
      </c>
      <c r="AM14" s="29">
        <v>7.98</v>
      </c>
      <c r="AN14" s="29">
        <v>8.09</v>
      </c>
      <c r="AO14" s="29">
        <v>8.01</v>
      </c>
      <c r="AP14" s="29">
        <v>7.37</v>
      </c>
      <c r="AQ14" s="29">
        <v>169.49</v>
      </c>
      <c r="AR14" s="29">
        <v>191.33</v>
      </c>
      <c r="BC14" s="29">
        <v>8.08</v>
      </c>
      <c r="BD14" s="29">
        <v>8.47</v>
      </c>
      <c r="BE14" s="29">
        <v>8.62</v>
      </c>
      <c r="BF14" s="29">
        <v>7.38</v>
      </c>
      <c r="BG14" s="29">
        <v>8.27</v>
      </c>
      <c r="BH14" s="29">
        <v>1341.43</v>
      </c>
      <c r="BI14" s="29">
        <v>66.04</v>
      </c>
      <c r="BK14" s="29">
        <v>273.68</v>
      </c>
      <c r="BL14" s="29">
        <v>242.29</v>
      </c>
      <c r="BM14" s="29">
        <v>246.66</v>
      </c>
      <c r="BO14" s="29">
        <v>146.68</v>
      </c>
      <c r="BQ14" s="29">
        <v>137.68</v>
      </c>
      <c r="BR14" s="29">
        <v>133.11</v>
      </c>
      <c r="BS14" s="30">
        <v>2.5404</v>
      </c>
      <c r="BT14" s="30">
        <v>2.9021</v>
      </c>
      <c r="BU14" s="29">
        <v>568.01</v>
      </c>
      <c r="BV14" s="29">
        <v>455.83</v>
      </c>
      <c r="BW14" s="29">
        <v>517.2</v>
      </c>
      <c r="BX14" s="29">
        <v>41.0</v>
      </c>
      <c r="BY14" s="29">
        <v>60.0</v>
      </c>
      <c r="CB14" s="29">
        <v>43.2</v>
      </c>
      <c r="CC14" s="29">
        <v>43.2</v>
      </c>
      <c r="CD14" s="29">
        <v>44.88</v>
      </c>
      <c r="CE14" s="29">
        <v>63.12</v>
      </c>
      <c r="CI14" s="29">
        <v>9768.0</v>
      </c>
      <c r="CJ14" s="27" t="inlineStr">
        <is>
          <t xml:space="preserve">jul/25</t>
        </is>
      </c>
    </row>
    <row r="15">
      <c r="A15" s="28">
        <v>45824</v>
      </c>
      <c r="B15" s="29">
        <v>1506.96</v>
      </c>
      <c r="C15" s="29">
        <v>2914.51</v>
      </c>
      <c r="D15" s="29">
        <v>7.4</v>
      </c>
      <c r="E15" s="29">
        <v>8.65</v>
      </c>
      <c r="F15" s="29">
        <v>2167.87</v>
      </c>
      <c r="G15" s="29">
        <v>1273.96</v>
      </c>
      <c r="H15" s="29">
        <v>412.65</v>
      </c>
      <c r="I15" s="27" t="inlineStr">
        <is>
          <t xml:space="preserve">dez/25</t>
        </is>
      </c>
      <c r="J15" s="29">
        <v>139255.91</v>
      </c>
      <c r="K15" s="30">
        <v>5512.0</v>
      </c>
      <c r="L15" s="27" t="inlineStr">
        <is>
          <t xml:space="preserve">jul/25</t>
        </is>
      </c>
      <c r="M15" s="29">
        <v>327.4</v>
      </c>
      <c r="N15" s="27" t="inlineStr">
        <is>
          <t xml:space="preserve">jul/25</t>
        </is>
      </c>
      <c r="O15" s="29">
        <v>62.47</v>
      </c>
      <c r="P15" s="27" t="inlineStr">
        <is>
          <t xml:space="preserve">jul/25</t>
        </is>
      </c>
      <c r="Q15" s="29">
        <v>23.55</v>
      </c>
      <c r="R15" s="27" t="inlineStr">
        <is>
          <t xml:space="preserve">jul/25</t>
        </is>
      </c>
      <c r="S15" s="30">
        <v>10.6975</v>
      </c>
      <c r="T15" s="27" t="inlineStr">
        <is>
          <t xml:space="preserve">jul/25</t>
        </is>
      </c>
      <c r="U15" s="30">
        <v>4.3475</v>
      </c>
      <c r="V15" s="27" t="inlineStr">
        <is>
          <t xml:space="preserve">jul/25</t>
        </is>
      </c>
      <c r="W15" s="29">
        <v>283.7</v>
      </c>
      <c r="X15" s="27" t="inlineStr">
        <is>
          <t xml:space="preserve">jul/25</t>
        </is>
      </c>
      <c r="Y15" s="30">
        <v>0.5511</v>
      </c>
      <c r="Z15" s="27" t="inlineStr">
        <is>
          <t xml:space="preserve">jul/25</t>
        </is>
      </c>
      <c r="AA15" s="29">
        <v>436.43</v>
      </c>
      <c r="AB15" s="29">
        <v>128.22</v>
      </c>
      <c r="AC15" s="29">
        <v>314.62</v>
      </c>
      <c r="AD15" s="29">
        <v>315.91</v>
      </c>
      <c r="AE15" s="29">
        <v>297.97</v>
      </c>
      <c r="AF15" s="29">
        <v>293.63</v>
      </c>
      <c r="AG15" s="29">
        <v>302.11</v>
      </c>
      <c r="AH15" s="29">
        <v>289.92</v>
      </c>
      <c r="AI15" s="29">
        <v>319.56</v>
      </c>
      <c r="AJ15" s="29">
        <v>288.54</v>
      </c>
      <c r="AK15" s="29">
        <v>282.72</v>
      </c>
      <c r="AL15" s="29">
        <v>8.44</v>
      </c>
      <c r="AM15" s="29">
        <v>8.05</v>
      </c>
      <c r="AN15" s="29">
        <v>8.13</v>
      </c>
      <c r="AO15" s="29">
        <v>8.05</v>
      </c>
      <c r="AP15" s="29">
        <v>7.42</v>
      </c>
      <c r="AQ15" s="29">
        <v>169.52</v>
      </c>
      <c r="AR15" s="29">
        <v>191.23</v>
      </c>
      <c r="BH15" s="29">
        <v>1349.45</v>
      </c>
      <c r="BI15" s="29">
        <v>65.98</v>
      </c>
      <c r="BK15" s="29">
        <v>270.02</v>
      </c>
      <c r="BL15" s="29">
        <v>242.86</v>
      </c>
      <c r="BM15" s="29">
        <v>262.25</v>
      </c>
      <c r="BO15" s="29">
        <v>149.0</v>
      </c>
      <c r="BQ15" s="29">
        <v>139.3</v>
      </c>
      <c r="BR15" s="29">
        <v>133.11</v>
      </c>
      <c r="BX15" s="29">
        <v>40.0</v>
      </c>
      <c r="BY15" s="29">
        <v>60.0</v>
      </c>
      <c r="CB15" s="29">
        <v>43.2</v>
      </c>
      <c r="CC15" s="29">
        <v>43.2</v>
      </c>
      <c r="CD15" s="29">
        <v>44.56</v>
      </c>
      <c r="CE15" s="29">
        <v>63.23</v>
      </c>
      <c r="CI15" s="29">
        <v>10035.0</v>
      </c>
      <c r="CJ15" s="27" t="inlineStr">
        <is>
          <t xml:space="preserve">jul/25</t>
        </is>
      </c>
    </row>
    <row r="16">
      <c r="A16" s="28">
        <v>45825</v>
      </c>
      <c r="B16" s="29">
        <v>1525.26</v>
      </c>
      <c r="C16" s="29">
        <v>2907.69</v>
      </c>
      <c r="D16" s="29">
        <v>7.43</v>
      </c>
      <c r="E16" s="29">
        <v>8.68</v>
      </c>
      <c r="F16" s="29">
        <v>2147.51</v>
      </c>
      <c r="G16" s="29">
        <v>1287.01</v>
      </c>
      <c r="H16" s="29">
        <v>402.75</v>
      </c>
      <c r="I16" s="27" t="inlineStr">
        <is>
          <t xml:space="preserve">dez/25</t>
        </is>
      </c>
      <c r="J16" s="29">
        <v>138840.02</v>
      </c>
      <c r="K16" s="30">
        <v>5517.5</v>
      </c>
      <c r="L16" s="27" t="inlineStr">
        <is>
          <t xml:space="preserve">jul/25</t>
        </is>
      </c>
      <c r="M16" s="29">
        <v>327.9</v>
      </c>
      <c r="N16" s="27" t="inlineStr">
        <is>
          <t xml:space="preserve">jul/25</t>
        </is>
      </c>
      <c r="O16" s="29">
        <v>62.95</v>
      </c>
      <c r="P16" s="27" t="inlineStr">
        <is>
          <t xml:space="preserve">jul/25</t>
        </is>
      </c>
      <c r="Q16" s="29">
        <v>23.65</v>
      </c>
      <c r="R16" s="27" t="inlineStr">
        <is>
          <t xml:space="preserve">jul/25</t>
        </is>
      </c>
      <c r="S16" s="30">
        <v>10.74</v>
      </c>
      <c r="T16" s="27" t="inlineStr">
        <is>
          <t xml:space="preserve">jul/25</t>
        </is>
      </c>
      <c r="U16" s="30">
        <v>4.315</v>
      </c>
      <c r="V16" s="27" t="inlineStr">
        <is>
          <t xml:space="preserve">jul/25</t>
        </is>
      </c>
      <c r="W16" s="29">
        <v>285.1</v>
      </c>
      <c r="X16" s="27" t="inlineStr">
        <is>
          <t xml:space="preserve">jul/25</t>
        </is>
      </c>
      <c r="Y16" s="30">
        <v>0.5479</v>
      </c>
      <c r="Z16" s="27" t="inlineStr">
        <is>
          <t xml:space="preserve">jul/25</t>
        </is>
      </c>
      <c r="AA16" s="29">
        <v>427.54</v>
      </c>
      <c r="AB16" s="29">
        <v>126.89</v>
      </c>
      <c r="AC16" s="29">
        <v>315.33</v>
      </c>
      <c r="AD16" s="29">
        <v>316.39</v>
      </c>
      <c r="AE16" s="29">
        <v>298.89</v>
      </c>
      <c r="AF16" s="29">
        <v>294.79</v>
      </c>
      <c r="AG16" s="29">
        <v>304.55</v>
      </c>
      <c r="AH16" s="29">
        <v>290.97</v>
      </c>
      <c r="AI16" s="29">
        <v>320.59</v>
      </c>
      <c r="AJ16" s="29">
        <v>289.5</v>
      </c>
      <c r="AK16" s="29">
        <v>289.8</v>
      </c>
      <c r="AL16" s="29">
        <v>8.43</v>
      </c>
      <c r="AM16" s="29">
        <v>8.09</v>
      </c>
      <c r="AN16" s="29">
        <v>8.13</v>
      </c>
      <c r="AO16" s="29">
        <v>8.06</v>
      </c>
      <c r="AP16" s="29">
        <v>7.43</v>
      </c>
      <c r="AQ16" s="29">
        <v>169.62</v>
      </c>
      <c r="AR16" s="29">
        <v>192.06</v>
      </c>
      <c r="BH16" s="29">
        <v>1344.98</v>
      </c>
      <c r="BI16" s="29">
        <v>65.32</v>
      </c>
      <c r="BK16" s="29">
        <v>277.56</v>
      </c>
      <c r="BM16" s="29">
        <v>264.07</v>
      </c>
      <c r="BO16" s="29">
        <v>143.45</v>
      </c>
      <c r="BQ16" s="29">
        <v>136.63</v>
      </c>
      <c r="BR16" s="29">
        <v>133.11</v>
      </c>
      <c r="BX16" s="29">
        <v>41.5</v>
      </c>
      <c r="BY16" s="29">
        <v>60.0</v>
      </c>
      <c r="CB16" s="29">
        <v>42.4</v>
      </c>
      <c r="CC16" s="29">
        <v>42.4</v>
      </c>
      <c r="CD16" s="29">
        <v>44.53</v>
      </c>
      <c r="CE16" s="29">
        <v>63.97</v>
      </c>
      <c r="CI16" s="29">
        <v>9943.0</v>
      </c>
      <c r="CJ16" s="27" t="inlineStr">
        <is>
          <t xml:space="preserve">jul/25</t>
        </is>
      </c>
    </row>
    <row r="17">
      <c r="A17" s="28">
        <v>45826</v>
      </c>
      <c r="B17" s="29">
        <v>1503.35</v>
      </c>
      <c r="C17" s="29">
        <v>2913.68</v>
      </c>
      <c r="D17" s="29">
        <v>7.43</v>
      </c>
      <c r="E17" s="29">
        <v>8.71</v>
      </c>
      <c r="F17" s="29">
        <v>2061.95</v>
      </c>
      <c r="G17" s="29">
        <v>1209.04</v>
      </c>
      <c r="H17" s="29">
        <v>388.5</v>
      </c>
      <c r="I17" s="27" t="inlineStr">
        <is>
          <t xml:space="preserve">dez/25</t>
        </is>
      </c>
      <c r="J17" s="29">
        <v>138716.64</v>
      </c>
      <c r="K17" s="30">
        <v>5517.0</v>
      </c>
      <c r="L17" s="27" t="inlineStr">
        <is>
          <t xml:space="preserve">jul/25</t>
        </is>
      </c>
      <c r="M17" s="29">
        <v>325.0</v>
      </c>
      <c r="N17" s="27" t="inlineStr">
        <is>
          <t xml:space="preserve">jul/25</t>
        </is>
      </c>
      <c r="O17" s="29">
        <v>62.93</v>
      </c>
      <c r="P17" s="27" t="inlineStr">
        <is>
          <t xml:space="preserve">jul/25</t>
        </is>
      </c>
      <c r="Q17" s="29">
        <v>23.68</v>
      </c>
      <c r="R17" s="27" t="inlineStr">
        <is>
          <t xml:space="preserve">jul/25</t>
        </is>
      </c>
      <c r="S17" s="30">
        <v>10.7475</v>
      </c>
      <c r="T17" s="27" t="inlineStr">
        <is>
          <t xml:space="preserve">jul/25</t>
        </is>
      </c>
      <c r="U17" s="30">
        <v>4.335</v>
      </c>
      <c r="V17" s="27" t="inlineStr">
        <is>
          <t xml:space="preserve">jul/25</t>
        </is>
      </c>
      <c r="W17" s="29">
        <v>284.9</v>
      </c>
      <c r="X17" s="27" t="inlineStr">
        <is>
          <t xml:space="preserve">jul/25</t>
        </is>
      </c>
      <c r="Y17" s="30">
        <v>0.5477</v>
      </c>
      <c r="Z17" s="27" t="inlineStr">
        <is>
          <t xml:space="preserve">jul/25</t>
        </is>
      </c>
      <c r="AA17" s="29">
        <v>424.45</v>
      </c>
      <c r="AB17" s="29">
        <v>124.99</v>
      </c>
      <c r="AC17" s="29">
        <v>314.56</v>
      </c>
      <c r="AD17" s="29">
        <v>316.17</v>
      </c>
      <c r="AE17" s="29">
        <v>300.46</v>
      </c>
      <c r="AF17" s="29">
        <v>293.26</v>
      </c>
      <c r="AG17" s="29">
        <v>304.09</v>
      </c>
      <c r="AH17" s="29">
        <v>291.11</v>
      </c>
      <c r="AI17" s="29">
        <v>320.54</v>
      </c>
      <c r="AJ17" s="29">
        <v>285.78</v>
      </c>
      <c r="AK17" s="29">
        <v>290.89</v>
      </c>
      <c r="AL17" s="29">
        <v>8.43</v>
      </c>
      <c r="AM17" s="29">
        <v>8.13</v>
      </c>
      <c r="AN17" s="29">
        <v>8.15</v>
      </c>
      <c r="AO17" s="29">
        <v>8.12</v>
      </c>
      <c r="AP17" s="29">
        <v>7.43</v>
      </c>
      <c r="AQ17" s="29">
        <v>163.64</v>
      </c>
      <c r="AR17" s="29">
        <v>184.59</v>
      </c>
      <c r="BH17" s="29">
        <v>1350.47</v>
      </c>
      <c r="BI17" s="29">
        <v>65.21</v>
      </c>
      <c r="BK17" s="29">
        <v>278.61</v>
      </c>
      <c r="BO17" s="29">
        <v>144.91</v>
      </c>
      <c r="BQ17" s="29">
        <v>136.51</v>
      </c>
      <c r="BR17" s="29">
        <v>130.5</v>
      </c>
      <c r="BX17" s="29">
        <v>41.5</v>
      </c>
      <c r="BY17" s="29">
        <v>60.0</v>
      </c>
      <c r="CB17" s="29">
        <v>42.4</v>
      </c>
      <c r="CC17" s="29">
        <v>42.4</v>
      </c>
      <c r="CD17" s="29">
        <v>44.53</v>
      </c>
      <c r="CE17" s="29">
        <v>62.74</v>
      </c>
      <c r="CI17" s="29">
        <v>9680.0</v>
      </c>
      <c r="CJ17" s="27" t="inlineStr">
        <is>
          <t xml:space="preserve">jul/25</t>
        </is>
      </c>
    </row>
    <row r="18">
      <c r="A18" s="28">
        <v>45828</v>
      </c>
      <c r="B18" s="29">
        <v>1501.68</v>
      </c>
      <c r="C18" s="29">
        <v>2928.47</v>
      </c>
      <c r="D18" s="29">
        <v>7.43</v>
      </c>
      <c r="E18" s="29">
        <v>8.71</v>
      </c>
      <c r="F18" s="29">
        <v>1969.45</v>
      </c>
      <c r="G18" s="29">
        <v>1167.47</v>
      </c>
      <c r="H18" s="29">
        <v>378.7</v>
      </c>
      <c r="I18" s="27" t="inlineStr">
        <is>
          <t xml:space="preserve">dez/25</t>
        </is>
      </c>
      <c r="J18" s="29">
        <v>137115.83</v>
      </c>
      <c r="K18" s="30">
        <v>5533.5</v>
      </c>
      <c r="L18" s="27" t="inlineStr">
        <is>
          <t xml:space="preserve">jul/25</t>
        </is>
      </c>
      <c r="M18" s="29">
        <v>326.9</v>
      </c>
      <c r="N18" s="27" t="inlineStr">
        <is>
          <t xml:space="preserve">jul/25</t>
        </is>
      </c>
      <c r="O18" s="29">
        <v>63.07</v>
      </c>
      <c r="P18" s="27" t="inlineStr">
        <is>
          <t xml:space="preserve">jul/25</t>
        </is>
      </c>
      <c r="Q18" s="29">
        <v>23.51</v>
      </c>
      <c r="R18" s="27" t="inlineStr">
        <is>
          <t xml:space="preserve">jul/25</t>
        </is>
      </c>
      <c r="S18" s="30">
        <v>10.68</v>
      </c>
      <c r="T18" s="27" t="inlineStr">
        <is>
          <t xml:space="preserve">jul/25</t>
        </is>
      </c>
      <c r="U18" s="30">
        <v>4.2875</v>
      </c>
      <c r="V18" s="27" t="inlineStr">
        <is>
          <t xml:space="preserve">jul/25</t>
        </is>
      </c>
      <c r="W18" s="29">
        <v>284.1</v>
      </c>
      <c r="X18" s="27" t="inlineStr">
        <is>
          <t xml:space="preserve">jul/25</t>
        </is>
      </c>
      <c r="Y18" s="30">
        <v>0.5447</v>
      </c>
      <c r="Z18" s="27" t="inlineStr">
        <is>
          <t xml:space="preserve">jul/25</t>
        </is>
      </c>
      <c r="AA18" s="29">
        <v>422.36</v>
      </c>
      <c r="AB18" s="29">
        <v>123.02</v>
      </c>
      <c r="AC18" s="29">
        <v>316.3</v>
      </c>
      <c r="AD18" s="29">
        <v>315.66</v>
      </c>
      <c r="AE18" s="29">
        <v>299.09</v>
      </c>
      <c r="AF18" s="29">
        <v>294.82</v>
      </c>
      <c r="AG18" s="29">
        <v>303.1</v>
      </c>
      <c r="AH18" s="29">
        <v>292.38</v>
      </c>
      <c r="AI18" s="29">
        <v>320.15</v>
      </c>
      <c r="AJ18" s="29">
        <v>282.06</v>
      </c>
      <c r="AK18" s="29">
        <v>286.38</v>
      </c>
      <c r="AL18" s="29">
        <v>8.44</v>
      </c>
      <c r="AM18" s="29">
        <v>8.16</v>
      </c>
      <c r="AN18" s="29">
        <v>8.15</v>
      </c>
      <c r="AO18" s="29">
        <v>8.12</v>
      </c>
      <c r="AP18" s="29">
        <v>7.43</v>
      </c>
      <c r="AQ18" s="29">
        <v>163.78</v>
      </c>
      <c r="AR18" s="29">
        <v>184.64</v>
      </c>
      <c r="BC18" s="29">
        <v>8.04</v>
      </c>
      <c r="BD18" s="29">
        <v>8.46</v>
      </c>
      <c r="BE18" s="29">
        <v>8.6</v>
      </c>
      <c r="BF18" s="29">
        <v>7.37</v>
      </c>
      <c r="BG18" s="29">
        <v>8.27</v>
      </c>
      <c r="BH18" s="29">
        <v>1352.02</v>
      </c>
      <c r="BI18" s="29">
        <v>65.68</v>
      </c>
      <c r="BK18" s="29">
        <v>279.67</v>
      </c>
      <c r="BM18" s="29">
        <v>261.04</v>
      </c>
      <c r="BO18" s="29">
        <v>142.54</v>
      </c>
      <c r="BQ18" s="29">
        <v>136.63</v>
      </c>
      <c r="BR18" s="29">
        <v>130.5</v>
      </c>
      <c r="BS18" s="30">
        <v>2.5696</v>
      </c>
      <c r="BT18" s="30">
        <v>2.9134</v>
      </c>
      <c r="BU18" s="29">
        <v>548.39</v>
      </c>
      <c r="BV18" s="29">
        <v>443.09</v>
      </c>
      <c r="BW18" s="29">
        <v>506.34</v>
      </c>
      <c r="BX18" s="29">
        <v>41.5</v>
      </c>
      <c r="BY18" s="29">
        <v>60.0</v>
      </c>
      <c r="CD18" s="29">
        <v>44.53</v>
      </c>
      <c r="CE18" s="29">
        <v>62.34</v>
      </c>
      <c r="CI18" s="29">
        <v>8459.0</v>
      </c>
      <c r="CJ18" s="27" t="inlineStr">
        <is>
          <t xml:space="preserve">jul/25</t>
        </is>
      </c>
    </row>
    <row r="19">
      <c r="A19" s="28">
        <v>45831</v>
      </c>
      <c r="B19" s="29">
        <v>1495.33</v>
      </c>
      <c r="C19" s="29">
        <v>2930.06</v>
      </c>
      <c r="D19" s="29">
        <v>7.44</v>
      </c>
      <c r="E19" s="29">
        <v>8.72</v>
      </c>
      <c r="F19" s="29">
        <v>1976.3</v>
      </c>
      <c r="G19" s="29">
        <v>1186.21</v>
      </c>
      <c r="H19" s="29">
        <v>390.9</v>
      </c>
      <c r="I19" s="27" t="inlineStr">
        <is>
          <t xml:space="preserve">dez/25</t>
        </is>
      </c>
      <c r="J19" s="29">
        <v>136550.5</v>
      </c>
      <c r="K19" s="30">
        <v>5511.5</v>
      </c>
      <c r="L19" s="27" t="inlineStr">
        <is>
          <t xml:space="preserve">jul/25</t>
        </is>
      </c>
      <c r="M19" s="29">
        <v>326.0</v>
      </c>
      <c r="N19" s="27" t="inlineStr">
        <is>
          <t xml:space="preserve">jul/25</t>
        </is>
      </c>
      <c r="O19" s="29">
        <v>63.76</v>
      </c>
      <c r="P19" s="27" t="inlineStr">
        <is>
          <t xml:space="preserve">jul/25</t>
        </is>
      </c>
      <c r="Q19" s="29">
        <v>23.35</v>
      </c>
      <c r="R19" s="27" t="inlineStr">
        <is>
          <t xml:space="preserve">jul/25</t>
        </is>
      </c>
      <c r="S19" s="30">
        <v>10.5875</v>
      </c>
      <c r="T19" s="27" t="inlineStr">
        <is>
          <t xml:space="preserve">jul/25</t>
        </is>
      </c>
      <c r="U19" s="30">
        <v>4.1925</v>
      </c>
      <c r="V19" s="27" t="inlineStr">
        <is>
          <t xml:space="preserve">jul/25</t>
        </is>
      </c>
      <c r="W19" s="29">
        <v>282.4</v>
      </c>
      <c r="X19" s="27" t="inlineStr">
        <is>
          <t xml:space="preserve">jul/25</t>
        </is>
      </c>
      <c r="Y19" s="30">
        <v>0.5324</v>
      </c>
      <c r="Z19" s="27" t="inlineStr">
        <is>
          <t xml:space="preserve">jul/25</t>
        </is>
      </c>
      <c r="AA19" s="29">
        <v>416.55</v>
      </c>
      <c r="AB19" s="29">
        <v>124.21</v>
      </c>
      <c r="AC19" s="29">
        <v>316.79</v>
      </c>
      <c r="AD19" s="29">
        <v>315.09</v>
      </c>
      <c r="AE19" s="29">
        <v>298.09</v>
      </c>
      <c r="AF19" s="29">
        <v>294.03</v>
      </c>
      <c r="AG19" s="29">
        <v>299.96</v>
      </c>
      <c r="AH19" s="29">
        <v>292.2</v>
      </c>
      <c r="AI19" s="29">
        <v>319.16</v>
      </c>
      <c r="AJ19" s="29">
        <v>282.07</v>
      </c>
      <c r="AK19" s="29">
        <v>285.57</v>
      </c>
      <c r="AL19" s="29">
        <v>8.44</v>
      </c>
      <c r="AM19" s="29">
        <v>8.15</v>
      </c>
      <c r="AN19" s="29">
        <v>8.16</v>
      </c>
      <c r="AO19" s="29">
        <v>8.13</v>
      </c>
      <c r="AP19" s="29">
        <v>7.44</v>
      </c>
      <c r="AQ19" s="29">
        <v>163.77</v>
      </c>
      <c r="AR19" s="29">
        <v>184.64</v>
      </c>
      <c r="BH19" s="29">
        <v>1349.46</v>
      </c>
      <c r="BI19" s="29">
        <v>65.69</v>
      </c>
      <c r="BK19" s="29">
        <v>276.82</v>
      </c>
      <c r="BM19" s="29">
        <v>251.34</v>
      </c>
      <c r="BO19" s="29">
        <v>142.1</v>
      </c>
      <c r="BQ19" s="29">
        <v>136.49</v>
      </c>
      <c r="BX19" s="29">
        <v>41.5</v>
      </c>
      <c r="BY19" s="29">
        <v>60.0</v>
      </c>
      <c r="CB19" s="29">
        <v>40.8</v>
      </c>
      <c r="CC19" s="29">
        <v>41.6</v>
      </c>
      <c r="CD19" s="29">
        <v>44.61</v>
      </c>
      <c r="CE19" s="29">
        <v>61.47</v>
      </c>
      <c r="CI19" s="29">
        <v>9189.0</v>
      </c>
      <c r="CJ19" s="27" t="inlineStr">
        <is>
          <t xml:space="preserve">jul/25</t>
        </is>
      </c>
    </row>
    <row r="20">
      <c r="A20" s="28">
        <v>45832</v>
      </c>
      <c r="B20" s="29">
        <v>1498.6</v>
      </c>
      <c r="C20" s="29">
        <v>2923.9</v>
      </c>
      <c r="D20" s="29">
        <v>7.44</v>
      </c>
      <c r="E20" s="29">
        <v>8.71</v>
      </c>
      <c r="F20" s="29">
        <v>1935.67</v>
      </c>
      <c r="G20" s="29">
        <v>1138.2</v>
      </c>
      <c r="H20" s="29">
        <v>377.25</v>
      </c>
      <c r="I20" s="27" t="inlineStr">
        <is>
          <t xml:space="preserve">dez/25</t>
        </is>
      </c>
      <c r="J20" s="29">
        <v>137164.61</v>
      </c>
      <c r="K20" s="30">
        <v>5525.0</v>
      </c>
      <c r="L20" s="27" t="inlineStr">
        <is>
          <t xml:space="preserve">jul/25</t>
        </is>
      </c>
      <c r="M20" s="29">
        <v>322.9</v>
      </c>
      <c r="N20" s="27" t="inlineStr">
        <is>
          <t xml:space="preserve">jul/25</t>
        </is>
      </c>
      <c r="O20" s="29">
        <v>64.64</v>
      </c>
      <c r="P20" s="27" t="inlineStr">
        <is>
          <t xml:space="preserve">jul/25</t>
        </is>
      </c>
      <c r="Q20" s="29">
        <v>23.1</v>
      </c>
      <c r="R20" s="27" t="inlineStr">
        <is>
          <t xml:space="preserve">jul/25</t>
        </is>
      </c>
      <c r="S20" s="30">
        <v>10.4675</v>
      </c>
      <c r="T20" s="27" t="inlineStr">
        <is>
          <t xml:space="preserve">jul/25</t>
        </is>
      </c>
      <c r="U20" s="30">
        <v>4.1625</v>
      </c>
      <c r="V20" s="27" t="inlineStr">
        <is>
          <t xml:space="preserve">jul/25</t>
        </is>
      </c>
      <c r="W20" s="29">
        <v>280.5</v>
      </c>
      <c r="X20" s="27" t="inlineStr">
        <is>
          <t xml:space="preserve">jul/25</t>
        </is>
      </c>
      <c r="Y20" s="30">
        <v>0.5217</v>
      </c>
      <c r="Z20" s="27" t="inlineStr">
        <is>
          <t xml:space="preserve">jul/25</t>
        </is>
      </c>
      <c r="AA20" s="29">
        <v>409.6</v>
      </c>
      <c r="AB20" s="29">
        <v>120.73</v>
      </c>
      <c r="AC20" s="29">
        <v>316.76</v>
      </c>
      <c r="AD20" s="29">
        <v>313.12</v>
      </c>
      <c r="AE20" s="29">
        <v>302.72</v>
      </c>
      <c r="AF20" s="29">
        <v>291.36</v>
      </c>
      <c r="AG20" s="29">
        <v>299.38</v>
      </c>
      <c r="AH20" s="29">
        <v>291.84</v>
      </c>
      <c r="AI20" s="29">
        <v>317.75</v>
      </c>
      <c r="AJ20" s="29">
        <v>281.18</v>
      </c>
      <c r="AK20" s="29">
        <v>289.92</v>
      </c>
      <c r="AL20" s="29">
        <v>8.44</v>
      </c>
      <c r="AM20" s="29">
        <v>8.16</v>
      </c>
      <c r="AN20" s="29">
        <v>8.16</v>
      </c>
      <c r="AO20" s="29">
        <v>8.13</v>
      </c>
      <c r="AP20" s="29">
        <v>7.44</v>
      </c>
      <c r="AQ20" s="29">
        <v>159.01</v>
      </c>
      <c r="AR20" s="29">
        <v>177.4</v>
      </c>
      <c r="BH20" s="29">
        <v>1348.28</v>
      </c>
      <c r="BI20" s="29">
        <v>66.26</v>
      </c>
      <c r="BK20" s="29">
        <v>273.9</v>
      </c>
      <c r="BL20" s="29">
        <v>234.58</v>
      </c>
      <c r="BM20" s="29">
        <v>244.03</v>
      </c>
      <c r="BO20" s="29">
        <v>143.03</v>
      </c>
      <c r="BP20" s="29">
        <v>164.56</v>
      </c>
      <c r="BQ20" s="29">
        <v>133.51</v>
      </c>
      <c r="BX20" s="29">
        <v>40.7</v>
      </c>
      <c r="BY20" s="29">
        <v>60.0</v>
      </c>
      <c r="CB20" s="29">
        <v>40.8</v>
      </c>
      <c r="CC20" s="29">
        <v>41.6</v>
      </c>
      <c r="CD20" s="29">
        <v>44.61</v>
      </c>
      <c r="CE20" s="29">
        <v>59.5</v>
      </c>
      <c r="CI20" s="29">
        <v>9436.0</v>
      </c>
      <c r="CJ20" s="27" t="inlineStr">
        <is>
          <t xml:space="preserve">jul/25</t>
        </is>
      </c>
    </row>
    <row r="21">
      <c r="A21" s="28">
        <v>45833</v>
      </c>
      <c r="B21" s="29">
        <v>1485.98</v>
      </c>
      <c r="C21" s="29">
        <v>2930.53</v>
      </c>
      <c r="D21" s="29">
        <v>7.44</v>
      </c>
      <c r="E21" s="29">
        <v>8.73</v>
      </c>
      <c r="F21" s="29">
        <v>1917.3</v>
      </c>
      <c r="G21" s="29">
        <v>1094.58</v>
      </c>
      <c r="H21" s="29">
        <v>362.35</v>
      </c>
      <c r="I21" s="27" t="inlineStr">
        <is>
          <t xml:space="preserve">dez/25</t>
        </is>
      </c>
      <c r="J21" s="29">
        <v>135767.29</v>
      </c>
      <c r="K21" s="30">
        <v>5554.5</v>
      </c>
      <c r="L21" s="27" t="inlineStr">
        <is>
          <t xml:space="preserve">jul/25</t>
        </is>
      </c>
      <c r="M21" s="29">
        <v>320.5</v>
      </c>
      <c r="N21" s="27" t="inlineStr">
        <is>
          <t xml:space="preserve">jul/25</t>
        </is>
      </c>
      <c r="O21" s="29">
        <v>64.27</v>
      </c>
      <c r="P21" s="27" t="inlineStr">
        <is>
          <t xml:space="preserve">jul/25</t>
        </is>
      </c>
      <c r="Q21" s="29">
        <v>22.62</v>
      </c>
      <c r="R21" s="27" t="inlineStr">
        <is>
          <t xml:space="preserve">jul/25</t>
        </is>
      </c>
      <c r="S21" s="30">
        <v>10.2525</v>
      </c>
      <c r="T21" s="27" t="inlineStr">
        <is>
          <t xml:space="preserve">jul/25</t>
        </is>
      </c>
      <c r="U21" s="30">
        <v>4.1025</v>
      </c>
      <c r="V21" s="27" t="inlineStr">
        <is>
          <t xml:space="preserve">jul/25</t>
        </is>
      </c>
      <c r="W21" s="29">
        <v>276.0</v>
      </c>
      <c r="X21" s="27" t="inlineStr">
        <is>
          <t xml:space="preserve">jul/25</t>
        </is>
      </c>
      <c r="Y21" s="30">
        <v>0.5182</v>
      </c>
      <c r="Z21" s="27" t="inlineStr">
        <is>
          <t xml:space="preserve">jul/25</t>
        </is>
      </c>
      <c r="AA21" s="29">
        <v>414.99</v>
      </c>
      <c r="AB21" s="29">
        <v>119.84</v>
      </c>
      <c r="AC21" s="29">
        <v>317.37</v>
      </c>
      <c r="AD21" s="29">
        <v>312.11</v>
      </c>
      <c r="AE21" s="29">
        <v>303.98</v>
      </c>
      <c r="AF21" s="29">
        <v>289.88</v>
      </c>
      <c r="AG21" s="29">
        <v>299.19</v>
      </c>
      <c r="AH21" s="29">
        <v>288.63</v>
      </c>
      <c r="AI21" s="29">
        <v>321.42</v>
      </c>
      <c r="AJ21" s="29">
        <v>279.05</v>
      </c>
      <c r="AK21" s="29">
        <v>286.65</v>
      </c>
      <c r="AL21" s="29">
        <v>8.43</v>
      </c>
      <c r="AM21" s="29">
        <v>8.17</v>
      </c>
      <c r="AN21" s="29">
        <v>8.15</v>
      </c>
      <c r="AO21" s="29">
        <v>8.11</v>
      </c>
      <c r="AP21" s="29">
        <v>7.54</v>
      </c>
      <c r="AQ21" s="29">
        <v>159.01</v>
      </c>
      <c r="AR21" s="29">
        <v>177.58</v>
      </c>
      <c r="BH21" s="29">
        <v>1340.04</v>
      </c>
      <c r="BI21" s="29">
        <v>66.27</v>
      </c>
      <c r="BK21" s="29">
        <v>268.65</v>
      </c>
      <c r="BL21" s="29">
        <v>225.94</v>
      </c>
      <c r="BM21" s="29">
        <v>239.2</v>
      </c>
      <c r="BO21" s="29">
        <v>143.06</v>
      </c>
      <c r="BQ21" s="29">
        <v>133.58</v>
      </c>
      <c r="BX21" s="29">
        <v>40.7</v>
      </c>
      <c r="BY21" s="29">
        <v>60.0</v>
      </c>
      <c r="CB21" s="29">
        <v>40.8</v>
      </c>
      <c r="CC21" s="29">
        <v>41.6</v>
      </c>
      <c r="CD21" s="29">
        <v>44.59</v>
      </c>
      <c r="CE21" s="29">
        <v>60.3</v>
      </c>
      <c r="CI21" s="29">
        <v>9081.0</v>
      </c>
      <c r="CJ21" s="27" t="inlineStr">
        <is>
          <t xml:space="preserve">jul/25</t>
        </is>
      </c>
    </row>
    <row r="22">
      <c r="A22" s="28">
        <v>45834</v>
      </c>
      <c r="B22" s="29">
        <v>1483.63</v>
      </c>
      <c r="C22" s="29">
        <v>2928.84</v>
      </c>
      <c r="D22" s="29">
        <v>7.45</v>
      </c>
      <c r="E22" s="29">
        <v>8.71</v>
      </c>
      <c r="F22" s="29">
        <v>1905.98</v>
      </c>
      <c r="G22" s="29">
        <v>1114.57</v>
      </c>
      <c r="H22" s="29">
        <v>366.0</v>
      </c>
      <c r="I22" s="27" t="inlineStr">
        <is>
          <t xml:space="preserve">dez/25</t>
        </is>
      </c>
      <c r="J22" s="29">
        <v>137113.89</v>
      </c>
      <c r="K22" s="30">
        <v>5497.5</v>
      </c>
      <c r="L22" s="27" t="inlineStr">
        <is>
          <t xml:space="preserve">jul/25</t>
        </is>
      </c>
      <c r="M22" s="29">
        <v>319.1</v>
      </c>
      <c r="N22" s="27" t="inlineStr">
        <is>
          <t xml:space="preserve">jul/25</t>
        </is>
      </c>
      <c r="O22" s="29">
        <v>63.9</v>
      </c>
      <c r="P22" s="27" t="inlineStr">
        <is>
          <t xml:space="preserve">jul/25</t>
        </is>
      </c>
      <c r="Q22" s="29">
        <v>22.61</v>
      </c>
      <c r="R22" s="27" t="inlineStr">
        <is>
          <t xml:space="preserve">jul/25</t>
        </is>
      </c>
      <c r="S22" s="30">
        <v>10.2275</v>
      </c>
      <c r="T22" s="27" t="inlineStr">
        <is>
          <t xml:space="preserve">jul/25</t>
        </is>
      </c>
      <c r="U22" s="30">
        <v>4.095</v>
      </c>
      <c r="V22" s="27" t="inlineStr">
        <is>
          <t xml:space="preserve">jul/25</t>
        </is>
      </c>
      <c r="W22" s="29">
        <v>270.9</v>
      </c>
      <c r="X22" s="27" t="inlineStr">
        <is>
          <t xml:space="preserve">jul/25</t>
        </is>
      </c>
      <c r="Y22" s="30">
        <v>0.5252</v>
      </c>
      <c r="Z22" s="27" t="inlineStr">
        <is>
          <t xml:space="preserve">jul/25</t>
        </is>
      </c>
      <c r="AA22" s="29">
        <v>413.23</v>
      </c>
      <c r="AB22" s="29">
        <v>118.76</v>
      </c>
      <c r="AC22" s="29">
        <v>317.19</v>
      </c>
      <c r="AD22" s="29">
        <v>310.3</v>
      </c>
      <c r="AE22" s="29">
        <v>303.13</v>
      </c>
      <c r="AF22" s="29">
        <v>286.2</v>
      </c>
      <c r="AG22" s="29">
        <v>298.37</v>
      </c>
      <c r="AH22" s="29">
        <v>284.63</v>
      </c>
      <c r="AI22" s="29">
        <v>320.19</v>
      </c>
      <c r="AJ22" s="29">
        <v>278.67</v>
      </c>
      <c r="AK22" s="29">
        <v>290.91</v>
      </c>
      <c r="AL22" s="29">
        <v>8.43</v>
      </c>
      <c r="AM22" s="29">
        <v>8.17</v>
      </c>
      <c r="AN22" s="29">
        <v>8.15</v>
      </c>
      <c r="AO22" s="29">
        <v>8.09</v>
      </c>
      <c r="AP22" s="29">
        <v>7.45</v>
      </c>
      <c r="AQ22" s="29">
        <v>159.01</v>
      </c>
      <c r="AR22" s="29">
        <v>177.58</v>
      </c>
      <c r="BH22" s="29">
        <v>1338.53</v>
      </c>
      <c r="BI22" s="29">
        <v>66.32</v>
      </c>
      <c r="BK22" s="29">
        <v>265.13</v>
      </c>
      <c r="BM22" s="29">
        <v>239.14</v>
      </c>
      <c r="BO22" s="29">
        <v>142.23</v>
      </c>
      <c r="BP22" s="29">
        <v>164.56</v>
      </c>
      <c r="BQ22" s="29">
        <v>133.76</v>
      </c>
      <c r="BX22" s="29">
        <v>40.7</v>
      </c>
      <c r="BY22" s="29">
        <v>60.0</v>
      </c>
      <c r="CB22" s="29">
        <v>40.0</v>
      </c>
      <c r="CC22" s="29">
        <v>41.6</v>
      </c>
      <c r="CD22" s="29">
        <v>44.59</v>
      </c>
      <c r="CE22" s="29">
        <v>60.59</v>
      </c>
      <c r="CI22" s="29">
        <v>9361.0</v>
      </c>
      <c r="CJ22" s="27" t="inlineStr">
        <is>
          <t xml:space="preserve">jul/25</t>
        </is>
      </c>
    </row>
    <row r="23">
      <c r="A23" s="28">
        <v>45835</v>
      </c>
      <c r="B23" s="29">
        <v>1494.43</v>
      </c>
      <c r="C23" s="29">
        <v>2922.14</v>
      </c>
      <c r="D23" s="29">
        <v>7.44</v>
      </c>
      <c r="E23" s="29">
        <v>8.76</v>
      </c>
      <c r="F23" s="29">
        <v>1877.02</v>
      </c>
      <c r="G23" s="29">
        <v>1114.07</v>
      </c>
      <c r="H23" s="29">
        <v>361.25</v>
      </c>
      <c r="I23" s="27" t="inlineStr">
        <is>
          <t xml:space="preserve">dez/25</t>
        </is>
      </c>
      <c r="J23" s="29">
        <v>136865.79</v>
      </c>
      <c r="K23" s="30">
        <v>5489.0</v>
      </c>
      <c r="L23" s="27" t="inlineStr">
        <is>
          <t xml:space="preserve">jul/25</t>
        </is>
      </c>
      <c r="M23" s="29">
        <v>319.4</v>
      </c>
      <c r="N23" s="27" t="inlineStr">
        <is>
          <t xml:space="preserve">jul/25</t>
        </is>
      </c>
      <c r="O23" s="29">
        <v>63.45</v>
      </c>
      <c r="P23" s="27" t="inlineStr">
        <is>
          <t xml:space="preserve">jul/25</t>
        </is>
      </c>
      <c r="Q23" s="29">
        <v>22.77</v>
      </c>
      <c r="R23" s="27" t="inlineStr">
        <is>
          <t xml:space="preserve">jul/25</t>
        </is>
      </c>
      <c r="S23" s="30">
        <v>10.2775</v>
      </c>
      <c r="T23" s="27" t="inlineStr">
        <is>
          <t xml:space="preserve">jul/25</t>
        </is>
      </c>
      <c r="U23" s="30">
        <v>4.175</v>
      </c>
      <c r="V23" s="27" t="inlineStr">
        <is>
          <t xml:space="preserve">jul/25</t>
        </is>
      </c>
      <c r="W23" s="29">
        <v>271.1</v>
      </c>
      <c r="X23" s="27" t="inlineStr">
        <is>
          <t xml:space="preserve">jul/25</t>
        </is>
      </c>
      <c r="Y23" s="30">
        <v>0.5245</v>
      </c>
      <c r="Z23" s="27" t="inlineStr">
        <is>
          <t xml:space="preserve">jul/25</t>
        </is>
      </c>
      <c r="AA23" s="29">
        <v>413.05</v>
      </c>
      <c r="AB23" s="29">
        <v>117.69</v>
      </c>
      <c r="AC23" s="29">
        <v>315.87</v>
      </c>
      <c r="AD23" s="29">
        <v>308.88</v>
      </c>
      <c r="AE23" s="29">
        <v>301.3</v>
      </c>
      <c r="AF23" s="29">
        <v>283.34</v>
      </c>
      <c r="AG23" s="29">
        <v>294.25</v>
      </c>
      <c r="AH23" s="29">
        <v>282.67</v>
      </c>
      <c r="AI23" s="29">
        <v>318.15</v>
      </c>
      <c r="AJ23" s="29">
        <v>279.49</v>
      </c>
      <c r="AK23" s="29">
        <v>290.08</v>
      </c>
      <c r="AL23" s="29">
        <v>8.43</v>
      </c>
      <c r="AM23" s="29">
        <v>8.17</v>
      </c>
      <c r="AN23" s="29">
        <v>8.13</v>
      </c>
      <c r="AO23" s="29">
        <v>8.09</v>
      </c>
      <c r="AP23" s="29">
        <v>7.44</v>
      </c>
      <c r="AQ23" s="29">
        <v>158.91</v>
      </c>
      <c r="AR23" s="29">
        <v>177.27</v>
      </c>
      <c r="BC23" s="29">
        <v>8.0</v>
      </c>
      <c r="BD23" s="29">
        <v>8.44</v>
      </c>
      <c r="BE23" s="29">
        <v>8.58</v>
      </c>
      <c r="BF23" s="29">
        <v>7.33</v>
      </c>
      <c r="BG23" s="29">
        <v>8.23</v>
      </c>
      <c r="BH23" s="29">
        <v>1338.53</v>
      </c>
      <c r="BI23" s="29">
        <v>66.42</v>
      </c>
      <c r="BK23" s="29">
        <v>266.45</v>
      </c>
      <c r="BL23" s="29">
        <v>221.02</v>
      </c>
      <c r="BM23" s="29">
        <v>236.55</v>
      </c>
      <c r="BO23" s="29">
        <v>139.72</v>
      </c>
      <c r="BP23" s="29">
        <v>162.09</v>
      </c>
      <c r="BQ23" s="29">
        <v>134.36</v>
      </c>
      <c r="BR23" s="29">
        <v>131.75</v>
      </c>
      <c r="BS23" s="30">
        <v>2.6099</v>
      </c>
      <c r="BT23" s="30">
        <v>2.9962</v>
      </c>
      <c r="BU23" s="29">
        <v>523.5</v>
      </c>
      <c r="BV23" s="29">
        <v>438.97</v>
      </c>
      <c r="BW23" s="29">
        <v>499.1</v>
      </c>
      <c r="BX23" s="29">
        <v>40.7</v>
      </c>
      <c r="BY23" s="29">
        <v>60.0</v>
      </c>
      <c r="CB23" s="29">
        <v>40.0</v>
      </c>
      <c r="CC23" s="29">
        <v>40.0</v>
      </c>
      <c r="CD23" s="29">
        <v>44.59</v>
      </c>
      <c r="CE23" s="29">
        <v>60.56</v>
      </c>
      <c r="CI23" s="29">
        <v>9231.0</v>
      </c>
      <c r="CJ23" s="27" t="inlineStr">
        <is>
          <t xml:space="preserve">jul/25</t>
        </is>
      </c>
    </row>
    <row r="24">
      <c r="A24" s="28">
        <v>45838</v>
      </c>
      <c r="B24" s="29">
        <v>1488.66</v>
      </c>
      <c r="C24" s="29">
        <v>2911.0</v>
      </c>
      <c r="D24" s="29">
        <v>7.44</v>
      </c>
      <c r="E24" s="29">
        <v>8.76</v>
      </c>
      <c r="F24" s="29">
        <v>1834.36</v>
      </c>
      <c r="G24" s="29">
        <v>1105.07</v>
      </c>
      <c r="H24" s="29">
        <v>356.35</v>
      </c>
      <c r="I24" s="27" t="inlineStr">
        <is>
          <t xml:space="preserve">dez/25</t>
        </is>
      </c>
      <c r="J24" s="29">
        <v>138854.6</v>
      </c>
      <c r="K24" s="30">
        <v>5457.0</v>
      </c>
      <c r="L24" s="27" t="inlineStr">
        <is>
          <t xml:space="preserve">jul/25</t>
        </is>
      </c>
      <c r="M24" s="29">
        <v>317.0</v>
      </c>
      <c r="N24" s="27" t="inlineStr">
        <is>
          <t xml:space="preserve">jul/25</t>
        </is>
      </c>
      <c r="O24" s="29">
        <v>63.5</v>
      </c>
      <c r="P24" s="27" t="inlineStr">
        <is>
          <t xml:space="preserve">jul/25</t>
        </is>
      </c>
      <c r="S24" s="30">
        <v>10.2425</v>
      </c>
      <c r="T24" s="27" t="inlineStr">
        <is>
          <t xml:space="preserve">jul/25</t>
        </is>
      </c>
      <c r="U24" s="30">
        <v>4.205</v>
      </c>
      <c r="V24" s="27" t="inlineStr">
        <is>
          <t xml:space="preserve">jul/25</t>
        </is>
      </c>
      <c r="W24" s="29">
        <v>271.3</v>
      </c>
      <c r="X24" s="27" t="inlineStr">
        <is>
          <t xml:space="preserve">jul/25</t>
        </is>
      </c>
      <c r="Y24" s="30">
        <v>0.5251</v>
      </c>
      <c r="Z24" s="27" t="inlineStr">
        <is>
          <t xml:space="preserve">jul/25</t>
        </is>
      </c>
      <c r="AA24" s="29">
        <v>414.56</v>
      </c>
      <c r="AB24" s="29">
        <v>116.61</v>
      </c>
      <c r="AC24" s="29">
        <v>314.81</v>
      </c>
      <c r="AD24" s="29">
        <v>308.47</v>
      </c>
      <c r="AE24" s="29">
        <v>299.6</v>
      </c>
      <c r="AF24" s="29">
        <v>285.51</v>
      </c>
      <c r="AG24" s="29">
        <v>293.04</v>
      </c>
      <c r="AH24" s="29">
        <v>282.22</v>
      </c>
      <c r="AI24" s="29">
        <v>317.67</v>
      </c>
      <c r="AJ24" s="29">
        <v>277.14</v>
      </c>
      <c r="AK24" s="29">
        <v>287.93</v>
      </c>
      <c r="AL24" s="29">
        <v>8.43</v>
      </c>
      <c r="AM24" s="29">
        <v>8.18</v>
      </c>
      <c r="AN24" s="29">
        <v>8.13</v>
      </c>
      <c r="AO24" s="29">
        <v>8.1</v>
      </c>
      <c r="AP24" s="29">
        <v>7.44</v>
      </c>
      <c r="AQ24" s="29">
        <v>158.93</v>
      </c>
      <c r="AR24" s="29">
        <v>177.46</v>
      </c>
      <c r="BH24" s="29">
        <v>1337.35</v>
      </c>
      <c r="BI24" s="29">
        <v>66.42</v>
      </c>
      <c r="BK24" s="29">
        <v>259.57</v>
      </c>
      <c r="BL24" s="29">
        <v>217.49</v>
      </c>
      <c r="BM24" s="29">
        <v>235.71</v>
      </c>
      <c r="BO24" s="29">
        <v>140.2</v>
      </c>
      <c r="BQ24" s="29">
        <v>134.53</v>
      </c>
      <c r="BR24" s="29">
        <v>131.75</v>
      </c>
      <c r="BX24" s="29">
        <v>37.6</v>
      </c>
      <c r="BY24" s="29">
        <v>60.0</v>
      </c>
      <c r="CB24" s="29">
        <v>40.0</v>
      </c>
      <c r="CC24" s="29">
        <v>39.2</v>
      </c>
      <c r="CD24" s="29">
        <v>44.1</v>
      </c>
      <c r="CE24" s="29">
        <v>61.2</v>
      </c>
      <c r="CI24" s="29">
        <v>9356.0</v>
      </c>
      <c r="CJ24" s="27" t="inlineStr">
        <is>
          <t xml:space="preserve">jul/25</t>
        </is>
      </c>
    </row>
    <row r="25">
      <c r="A25" s="28">
        <v>45839</v>
      </c>
      <c r="B25" s="29">
        <v>1482.74</v>
      </c>
      <c r="C25" s="29">
        <v>2913.52</v>
      </c>
      <c r="D25" s="29">
        <v>7.46</v>
      </c>
      <c r="E25" s="29">
        <v>8.75</v>
      </c>
      <c r="F25" s="29">
        <v>1807.41</v>
      </c>
      <c r="G25" s="29">
        <v>1099.04</v>
      </c>
      <c r="H25" s="29">
        <v>345.0</v>
      </c>
      <c r="I25" s="27" t="inlineStr">
        <is>
          <t xml:space="preserve">dez/25</t>
        </is>
      </c>
      <c r="J25" s="29">
        <v>139549.43</v>
      </c>
      <c r="K25" s="30">
        <v>5506.0</v>
      </c>
      <c r="L25" s="27" t="inlineStr">
        <is>
          <t xml:space="preserve">ago/25</t>
        </is>
      </c>
      <c r="M25" s="29">
        <v>322.85</v>
      </c>
      <c r="N25" s="27" t="inlineStr">
        <is>
          <t xml:space="preserve">ago/25</t>
        </is>
      </c>
      <c r="O25" s="29">
        <v>61.58</v>
      </c>
      <c r="P25" s="27" t="inlineStr">
        <is>
          <t xml:space="preserve">set/25</t>
        </is>
      </c>
      <c r="Q25" s="29">
        <v>22.64</v>
      </c>
      <c r="R25" s="27" t="inlineStr">
        <is>
          <t xml:space="preserve">nov/25</t>
        </is>
      </c>
      <c r="S25" s="30">
        <v>10.2975</v>
      </c>
      <c r="T25" s="27" t="inlineStr">
        <is>
          <t xml:space="preserve">ago/25</t>
        </is>
      </c>
      <c r="U25" s="30">
        <v>4.06</v>
      </c>
      <c r="V25" s="27" t="inlineStr">
        <is>
          <t xml:space="preserve">set/25</t>
        </is>
      </c>
      <c r="W25" s="29">
        <v>273.7</v>
      </c>
      <c r="X25" s="27" t="inlineStr">
        <is>
          <t xml:space="preserve">ago/25</t>
        </is>
      </c>
      <c r="Y25" s="30">
        <v>0.5366</v>
      </c>
      <c r="Z25" s="27" t="inlineStr">
        <is>
          <t xml:space="preserve">ago/25</t>
        </is>
      </c>
      <c r="AA25" s="29">
        <v>411.76</v>
      </c>
      <c r="AB25" s="29">
        <v>116.46</v>
      </c>
      <c r="AC25" s="29">
        <v>313.12</v>
      </c>
      <c r="AD25" s="29">
        <v>307.88</v>
      </c>
      <c r="AE25" s="29">
        <v>297.92</v>
      </c>
      <c r="AF25" s="29">
        <v>286.66</v>
      </c>
      <c r="AG25" s="29">
        <v>293.83</v>
      </c>
      <c r="AH25" s="29">
        <v>282.28</v>
      </c>
      <c r="AI25" s="29">
        <v>315.36</v>
      </c>
      <c r="AJ25" s="29">
        <v>277.0</v>
      </c>
      <c r="AK25" s="29">
        <v>284.84</v>
      </c>
      <c r="AL25" s="29">
        <v>8.42</v>
      </c>
      <c r="AM25" s="29">
        <v>8.18</v>
      </c>
      <c r="AN25" s="29">
        <v>8.13</v>
      </c>
      <c r="AO25" s="29">
        <v>8.1</v>
      </c>
      <c r="AP25" s="29">
        <v>7.47</v>
      </c>
      <c r="AQ25" s="29">
        <v>158.46</v>
      </c>
      <c r="AR25" s="29">
        <v>177.28</v>
      </c>
      <c r="AS25" s="30">
        <v>2.62</v>
      </c>
      <c r="AT25" s="30">
        <v>2.7</v>
      </c>
      <c r="AU25" s="30">
        <v>2.54</v>
      </c>
      <c r="AV25" s="30">
        <v>2.7</v>
      </c>
      <c r="AW25" s="30">
        <v>2.71</v>
      </c>
      <c r="AX25" s="30">
        <v>2.58</v>
      </c>
      <c r="AY25" s="30">
        <v>2.49</v>
      </c>
      <c r="AZ25" s="30">
        <v>2.54</v>
      </c>
      <c r="BA25" s="30">
        <v>2.6</v>
      </c>
      <c r="BB25" s="30">
        <v>2.6</v>
      </c>
      <c r="BH25" s="29">
        <v>1336.15</v>
      </c>
      <c r="BI25" s="29">
        <v>66.99</v>
      </c>
      <c r="BK25" s="29">
        <v>251.35</v>
      </c>
      <c r="BL25" s="29">
        <v>209.95</v>
      </c>
      <c r="BM25" s="29">
        <v>229.05</v>
      </c>
      <c r="BO25" s="29">
        <v>139.07</v>
      </c>
      <c r="BQ25" s="29">
        <v>132.64</v>
      </c>
      <c r="BR25" s="29">
        <v>134.25</v>
      </c>
      <c r="BX25" s="29">
        <v>37.6</v>
      </c>
      <c r="BY25" s="29">
        <v>60.0</v>
      </c>
      <c r="CB25" s="29">
        <v>40.0</v>
      </c>
      <c r="CC25" s="29">
        <v>39.2</v>
      </c>
      <c r="CD25" s="29">
        <v>43.54</v>
      </c>
      <c r="CE25" s="29">
        <v>60.97</v>
      </c>
      <c r="CI25" s="29">
        <v>8317.0</v>
      </c>
      <c r="CJ25" s="27" t="inlineStr">
        <is>
          <t xml:space="preserve">set/25</t>
        </is>
      </c>
    </row>
    <row r="26">
      <c r="A26" s="28">
        <v>45840</v>
      </c>
      <c r="B26" s="29">
        <v>1481.21</v>
      </c>
      <c r="C26" s="29">
        <v>2911.46</v>
      </c>
      <c r="D26" s="29">
        <v>7.46</v>
      </c>
      <c r="E26" s="29">
        <v>8.75</v>
      </c>
      <c r="F26" s="29">
        <v>1779.95</v>
      </c>
      <c r="G26" s="29">
        <v>1068.92</v>
      </c>
      <c r="H26" s="29">
        <v>345.1</v>
      </c>
      <c r="I26" s="27" t="inlineStr">
        <is>
          <t xml:space="preserve">dez/25</t>
        </is>
      </c>
      <c r="J26" s="29">
        <v>139050.93</v>
      </c>
      <c r="K26" s="30">
        <v>5459.5</v>
      </c>
      <c r="L26" s="27" t="inlineStr">
        <is>
          <t xml:space="preserve">ago/25</t>
        </is>
      </c>
      <c r="M26" s="29">
        <v>318.6</v>
      </c>
      <c r="N26" s="27" t="inlineStr">
        <is>
          <t xml:space="preserve">ago/25</t>
        </is>
      </c>
      <c r="O26" s="29">
        <v>61.81</v>
      </c>
      <c r="P26" s="27" t="inlineStr">
        <is>
          <t xml:space="preserve">set/25</t>
        </is>
      </c>
      <c r="Q26" s="29">
        <v>23.1</v>
      </c>
      <c r="R26" s="27" t="inlineStr">
        <is>
          <t xml:space="preserve">nov/25</t>
        </is>
      </c>
      <c r="S26" s="30">
        <v>10.535</v>
      </c>
      <c r="T26" s="27" t="inlineStr">
        <is>
          <t xml:space="preserve">ago/25</t>
        </is>
      </c>
      <c r="U26" s="30">
        <v>4.18</v>
      </c>
      <c r="V26" s="27" t="inlineStr">
        <is>
          <t xml:space="preserve">set/25</t>
        </is>
      </c>
      <c r="W26" s="29">
        <v>276.8</v>
      </c>
      <c r="X26" s="27" t="inlineStr">
        <is>
          <t xml:space="preserve">ago/25</t>
        </is>
      </c>
      <c r="Y26" s="30">
        <v>0.5502</v>
      </c>
      <c r="Z26" s="27" t="inlineStr">
        <is>
          <t xml:space="preserve">ago/25</t>
        </is>
      </c>
      <c r="AA26" s="29">
        <v>410.53</v>
      </c>
      <c r="AB26" s="29">
        <v>115.95</v>
      </c>
      <c r="AC26" s="29">
        <v>314.09</v>
      </c>
      <c r="AD26" s="29">
        <v>310.71</v>
      </c>
      <c r="AE26" s="29">
        <v>298.81</v>
      </c>
      <c r="AF26" s="29">
        <v>289.84</v>
      </c>
      <c r="AG26" s="29">
        <v>291.97</v>
      </c>
      <c r="AH26" s="29">
        <v>283.11</v>
      </c>
      <c r="AI26" s="29">
        <v>315.4</v>
      </c>
      <c r="AJ26" s="29">
        <v>276.78</v>
      </c>
      <c r="AK26" s="29">
        <v>283.25</v>
      </c>
      <c r="AL26" s="29">
        <v>8.42</v>
      </c>
      <c r="AM26" s="29">
        <v>8.17</v>
      </c>
      <c r="AN26" s="29">
        <v>8.12</v>
      </c>
      <c r="AO26" s="29">
        <v>8.08</v>
      </c>
      <c r="AP26" s="29">
        <v>7.47</v>
      </c>
      <c r="AQ26" s="29">
        <v>157.89</v>
      </c>
      <c r="AR26" s="29">
        <v>176.63</v>
      </c>
      <c r="BH26" s="29">
        <v>1332.62</v>
      </c>
      <c r="BI26" s="29">
        <v>66.91</v>
      </c>
      <c r="BK26" s="29">
        <v>246.91</v>
      </c>
      <c r="BL26" s="29">
        <v>202.13</v>
      </c>
      <c r="BM26" s="29">
        <v>220.75</v>
      </c>
      <c r="BO26" s="29">
        <v>138.31</v>
      </c>
      <c r="BQ26" s="29">
        <v>131.44</v>
      </c>
      <c r="BR26" s="29">
        <v>134.25</v>
      </c>
      <c r="BX26" s="29">
        <v>39.4</v>
      </c>
      <c r="BY26" s="29">
        <v>60.0</v>
      </c>
      <c r="CB26" s="29">
        <v>39.2</v>
      </c>
      <c r="CC26" s="29">
        <v>38.4</v>
      </c>
      <c r="CD26" s="29">
        <v>43.54</v>
      </c>
      <c r="CE26" s="29">
        <v>59.8</v>
      </c>
      <c r="CI26" s="29">
        <v>8225.0</v>
      </c>
      <c r="CJ26" s="27" t="inlineStr">
        <is>
          <t xml:space="preserve">set/25</t>
        </is>
      </c>
    </row>
    <row r="27">
      <c r="A27" s="28">
        <v>45841</v>
      </c>
      <c r="B27" s="29">
        <v>1485.5</v>
      </c>
      <c r="C27" s="29">
        <v>2903.05</v>
      </c>
      <c r="D27" s="29">
        <v>7.46</v>
      </c>
      <c r="E27" s="29">
        <v>8.75</v>
      </c>
      <c r="F27" s="29">
        <v>1742.2</v>
      </c>
      <c r="G27" s="29">
        <v>1082.04</v>
      </c>
      <c r="H27" s="29">
        <v>343.5</v>
      </c>
      <c r="I27" s="27" t="inlineStr">
        <is>
          <t xml:space="preserve">dez/25</t>
        </is>
      </c>
      <c r="J27" s="29">
        <v>140927.86</v>
      </c>
      <c r="K27" s="30">
        <v>5448.5</v>
      </c>
      <c r="L27" s="27" t="inlineStr">
        <is>
          <t xml:space="preserve">ago/25</t>
        </is>
      </c>
      <c r="M27" s="29">
        <v>320.0</v>
      </c>
      <c r="N27" s="27" t="inlineStr">
        <is>
          <t xml:space="preserve">ago/25</t>
        </is>
      </c>
      <c r="O27" s="29">
        <v>62.65</v>
      </c>
      <c r="P27" s="27" t="inlineStr">
        <is>
          <t xml:space="preserve">set/25</t>
        </is>
      </c>
      <c r="Q27" s="29">
        <v>23.1</v>
      </c>
      <c r="R27" s="27" t="inlineStr">
        <is>
          <t xml:space="preserve">nov/25</t>
        </is>
      </c>
      <c r="S27" s="30">
        <v>10.555</v>
      </c>
      <c r="T27" s="27" t="inlineStr">
        <is>
          <t xml:space="preserve">ago/25</t>
        </is>
      </c>
      <c r="U27" s="30">
        <v>4.2025</v>
      </c>
      <c r="V27" s="27" t="inlineStr">
        <is>
          <t xml:space="preserve">set/25</t>
        </is>
      </c>
      <c r="W27" s="29">
        <v>277.4</v>
      </c>
      <c r="X27" s="27" t="inlineStr">
        <is>
          <t xml:space="preserve">ago/25</t>
        </is>
      </c>
      <c r="Y27" s="30">
        <v>0.5455</v>
      </c>
      <c r="Z27" s="27" t="inlineStr">
        <is>
          <t xml:space="preserve">ago/25</t>
        </is>
      </c>
      <c r="AA27" s="29">
        <v>411.21</v>
      </c>
      <c r="AB27" s="29">
        <v>116.57</v>
      </c>
      <c r="AC27" s="29">
        <v>311.21</v>
      </c>
      <c r="AD27" s="29">
        <v>309.21</v>
      </c>
      <c r="AE27" s="29">
        <v>298.31</v>
      </c>
      <c r="AF27" s="29">
        <v>288.82</v>
      </c>
      <c r="AG27" s="29">
        <v>290.72</v>
      </c>
      <c r="AH27" s="29">
        <v>285.1</v>
      </c>
      <c r="AI27" s="29">
        <v>314.66</v>
      </c>
      <c r="AJ27" s="29">
        <v>275.13</v>
      </c>
      <c r="AK27" s="29">
        <v>280.48</v>
      </c>
      <c r="AL27" s="29">
        <v>8.42</v>
      </c>
      <c r="AM27" s="29">
        <v>8.17</v>
      </c>
      <c r="AN27" s="29">
        <v>8.12</v>
      </c>
      <c r="AO27" s="29">
        <v>8.07</v>
      </c>
      <c r="AP27" s="29">
        <v>7.47</v>
      </c>
      <c r="AQ27" s="29">
        <v>157.93</v>
      </c>
      <c r="AR27" s="29">
        <v>176.68</v>
      </c>
      <c r="BH27" s="29">
        <v>1333.73</v>
      </c>
      <c r="BI27" s="29">
        <v>67.25</v>
      </c>
      <c r="BK27" s="29">
        <v>243.71</v>
      </c>
      <c r="BL27" s="29">
        <v>201.95</v>
      </c>
      <c r="BM27" s="29">
        <v>220.56</v>
      </c>
      <c r="BO27" s="29">
        <v>140.47</v>
      </c>
      <c r="BQ27" s="29">
        <v>131.15</v>
      </c>
      <c r="BR27" s="29">
        <v>134.25</v>
      </c>
      <c r="BX27" s="29">
        <v>40.5</v>
      </c>
      <c r="BY27" s="29">
        <v>60.0</v>
      </c>
      <c r="CB27" s="29">
        <v>37.6</v>
      </c>
      <c r="CC27" s="29">
        <v>38.4</v>
      </c>
      <c r="CD27" s="29">
        <v>43.76</v>
      </c>
      <c r="CE27" s="29">
        <v>59.83</v>
      </c>
      <c r="CI27" s="29">
        <v>8101.0</v>
      </c>
      <c r="CJ27" s="27" t="inlineStr">
        <is>
          <t xml:space="preserve">set/25</t>
        </is>
      </c>
    </row>
    <row r="28">
      <c r="A28" s="28">
        <v>45842</v>
      </c>
      <c r="B28" s="29">
        <v>1484.25</v>
      </c>
      <c r="C28" s="29">
        <v>2877.42</v>
      </c>
      <c r="D28" s="29">
        <v>7.44</v>
      </c>
      <c r="E28" s="29">
        <v>8.78</v>
      </c>
      <c r="F28" s="29">
        <v>1736.94</v>
      </c>
      <c r="G28" s="29">
        <v>1086.76</v>
      </c>
      <c r="H28" s="29">
        <v>342.9</v>
      </c>
      <c r="I28" s="27" t="inlineStr">
        <is>
          <t xml:space="preserve">dez/25</t>
        </is>
      </c>
      <c r="J28" s="29">
        <v>141263.56</v>
      </c>
      <c r="M28" s="29">
        <v>319.3</v>
      </c>
      <c r="N28" s="27" t="inlineStr">
        <is>
          <t xml:space="preserve">ago/25</t>
        </is>
      </c>
      <c r="O28" s="29">
        <v>62.07</v>
      </c>
      <c r="P28" s="27" t="inlineStr">
        <is>
          <t xml:space="preserve">set/25</t>
        </is>
      </c>
      <c r="AA28" s="29">
        <v>410.05</v>
      </c>
      <c r="AB28" s="29">
        <v>116.73</v>
      </c>
      <c r="AC28" s="29">
        <v>310.24</v>
      </c>
      <c r="AD28" s="29">
        <v>308.46</v>
      </c>
      <c r="AE28" s="29">
        <v>297.4</v>
      </c>
      <c r="AF28" s="29">
        <v>288.32</v>
      </c>
      <c r="AG28" s="29">
        <v>289.49</v>
      </c>
      <c r="AH28" s="29">
        <v>284.53</v>
      </c>
      <c r="AI28" s="29">
        <v>313.33</v>
      </c>
      <c r="AJ28" s="29">
        <v>274.25</v>
      </c>
      <c r="AK28" s="29">
        <v>277.69</v>
      </c>
      <c r="AL28" s="29">
        <v>8.42</v>
      </c>
      <c r="AM28" s="29">
        <v>8.17</v>
      </c>
      <c r="AN28" s="29">
        <v>8.12</v>
      </c>
      <c r="AO28" s="29">
        <v>8.08</v>
      </c>
      <c r="AP28" s="29">
        <v>7.45</v>
      </c>
      <c r="AQ28" s="29">
        <v>158.09</v>
      </c>
      <c r="AR28" s="29">
        <v>176.29</v>
      </c>
      <c r="BC28" s="29">
        <v>8.0</v>
      </c>
      <c r="BD28" s="29">
        <v>8.45</v>
      </c>
      <c r="BE28" s="29">
        <v>8.57</v>
      </c>
      <c r="BF28" s="29">
        <v>7.35</v>
      </c>
      <c r="BG28" s="29">
        <v>8.18</v>
      </c>
      <c r="BH28" s="29">
        <v>1333.73</v>
      </c>
      <c r="BI28" s="29">
        <v>67.39</v>
      </c>
      <c r="BK28" s="29">
        <v>244.71</v>
      </c>
      <c r="BL28" s="29">
        <v>198.21</v>
      </c>
      <c r="BM28" s="29">
        <v>218.29</v>
      </c>
      <c r="BO28" s="29">
        <v>140.21</v>
      </c>
      <c r="BQ28" s="29">
        <v>130.09</v>
      </c>
      <c r="BR28" s="29">
        <v>134.25</v>
      </c>
      <c r="BS28" s="30">
        <v>2.6055</v>
      </c>
      <c r="BT28" s="30">
        <v>2.9996</v>
      </c>
      <c r="BU28" s="29">
        <v>522.15</v>
      </c>
      <c r="BV28" s="29">
        <v>424.27</v>
      </c>
      <c r="BW28" s="29">
        <v>490.11</v>
      </c>
      <c r="BY28" s="29">
        <v>60.0</v>
      </c>
      <c r="CB28" s="29">
        <v>37.6</v>
      </c>
      <c r="CC28" s="29">
        <v>38.4</v>
      </c>
      <c r="CD28" s="29">
        <v>43.76</v>
      </c>
      <c r="CE28" s="29">
        <v>59.09</v>
      </c>
    </row>
    <row r="29">
      <c r="A29" s="28">
        <v>45845</v>
      </c>
      <c r="B29" s="29">
        <v>1476.58</v>
      </c>
      <c r="C29" s="29">
        <v>2869.43</v>
      </c>
      <c r="D29" s="29">
        <v>7.44</v>
      </c>
      <c r="E29" s="29">
        <v>8.78</v>
      </c>
      <c r="F29" s="29">
        <v>1682.7</v>
      </c>
      <c r="G29" s="29">
        <v>1066.77</v>
      </c>
      <c r="H29" s="29">
        <v>331.95</v>
      </c>
      <c r="I29" s="27" t="inlineStr">
        <is>
          <t xml:space="preserve">dez/25</t>
        </is>
      </c>
      <c r="J29" s="29">
        <v>139489.7</v>
      </c>
      <c r="K29" s="30">
        <v>5514.5</v>
      </c>
      <c r="L29" s="27" t="inlineStr">
        <is>
          <t xml:space="preserve">ago/25</t>
        </is>
      </c>
      <c r="M29" s="29">
        <v>318.3</v>
      </c>
      <c r="N29" s="27" t="inlineStr">
        <is>
          <t xml:space="preserve">ago/25</t>
        </is>
      </c>
      <c r="O29" s="29">
        <v>62.0</v>
      </c>
      <c r="P29" s="27" t="inlineStr">
        <is>
          <t xml:space="preserve">set/25</t>
        </is>
      </c>
      <c r="Q29" s="29">
        <v>22.53</v>
      </c>
      <c r="R29" s="27" t="inlineStr">
        <is>
          <t xml:space="preserve">nov/25</t>
        </is>
      </c>
      <c r="S29" s="30">
        <v>10.315</v>
      </c>
      <c r="T29" s="27" t="inlineStr">
        <is>
          <t xml:space="preserve">ago/25</t>
        </is>
      </c>
      <c r="U29" s="30">
        <v>4.035</v>
      </c>
      <c r="V29" s="27" t="inlineStr">
        <is>
          <t xml:space="preserve">set/25</t>
        </is>
      </c>
      <c r="W29" s="29">
        <v>272.2</v>
      </c>
      <c r="X29" s="27" t="inlineStr">
        <is>
          <t xml:space="preserve">ago/25</t>
        </is>
      </c>
      <c r="Y29" s="30">
        <v>0.5394</v>
      </c>
      <c r="Z29" s="27" t="inlineStr">
        <is>
          <t xml:space="preserve">ago/25</t>
        </is>
      </c>
      <c r="AA29" s="29">
        <v>412.77</v>
      </c>
      <c r="AB29" s="29">
        <v>117.44</v>
      </c>
      <c r="AC29" s="29">
        <v>307.74</v>
      </c>
      <c r="AD29" s="29">
        <v>307.85</v>
      </c>
      <c r="AE29" s="29">
        <v>297.26</v>
      </c>
      <c r="AF29" s="29">
        <v>286.31</v>
      </c>
      <c r="AG29" s="29">
        <v>288.7</v>
      </c>
      <c r="AH29" s="29">
        <v>283.4</v>
      </c>
      <c r="AI29" s="29">
        <v>311.9</v>
      </c>
      <c r="AJ29" s="29">
        <v>273.23</v>
      </c>
      <c r="AK29" s="29">
        <v>275.63</v>
      </c>
      <c r="AL29" s="29">
        <v>8.42</v>
      </c>
      <c r="AM29" s="29">
        <v>8.15</v>
      </c>
      <c r="AN29" s="29">
        <v>8.07</v>
      </c>
      <c r="AO29" s="29">
        <v>8.09</v>
      </c>
      <c r="AP29" s="29">
        <v>7.45</v>
      </c>
      <c r="AQ29" s="29">
        <v>158.08</v>
      </c>
      <c r="AR29" s="29">
        <v>176.28</v>
      </c>
      <c r="BH29" s="29">
        <v>1330.21</v>
      </c>
      <c r="BI29" s="29">
        <v>67.38</v>
      </c>
      <c r="BK29" s="29">
        <v>239.97</v>
      </c>
      <c r="BL29" s="29">
        <v>192.21</v>
      </c>
      <c r="BM29" s="29">
        <v>210.7</v>
      </c>
      <c r="BO29" s="29">
        <v>133.48</v>
      </c>
      <c r="BQ29" s="29">
        <v>129.74</v>
      </c>
      <c r="BR29" s="29">
        <v>128.67</v>
      </c>
      <c r="BX29" s="29">
        <v>40.7</v>
      </c>
      <c r="BY29" s="29">
        <v>60.0</v>
      </c>
      <c r="CB29" s="29">
        <v>37.6</v>
      </c>
      <c r="CC29" s="29">
        <v>38.4</v>
      </c>
      <c r="CD29" s="29">
        <v>43.82</v>
      </c>
      <c r="CE29" s="29">
        <v>58.15</v>
      </c>
      <c r="CI29" s="29">
        <v>8200.0</v>
      </c>
      <c r="CJ29" s="27" t="inlineStr">
        <is>
          <t xml:space="preserve">set/25</t>
        </is>
      </c>
    </row>
    <row r="30">
      <c r="A30" s="28">
        <v>45846</v>
      </c>
      <c r="B30" s="29">
        <v>1473.6</v>
      </c>
      <c r="C30" s="29">
        <v>2859.9</v>
      </c>
      <c r="D30" s="29">
        <v>7.39</v>
      </c>
      <c r="E30" s="29">
        <v>8.78</v>
      </c>
      <c r="F30" s="29">
        <v>1685.98</v>
      </c>
      <c r="G30" s="29">
        <v>1065.55</v>
      </c>
      <c r="H30" s="29">
        <v>338.9</v>
      </c>
      <c r="I30" s="27" t="inlineStr">
        <is>
          <t xml:space="preserve">dez/25</t>
        </is>
      </c>
      <c r="J30" s="29">
        <v>139302.85</v>
      </c>
      <c r="K30" s="30">
        <v>5470.0</v>
      </c>
      <c r="L30" s="27" t="inlineStr">
        <is>
          <t xml:space="preserve">ago/25</t>
        </is>
      </c>
      <c r="M30" s="29">
        <v>316.7</v>
      </c>
      <c r="N30" s="27" t="inlineStr">
        <is>
          <t xml:space="preserve">ago/25</t>
        </is>
      </c>
      <c r="O30" s="29">
        <v>62.4</v>
      </c>
      <c r="P30" s="27" t="inlineStr">
        <is>
          <t xml:space="preserve">set/25</t>
        </is>
      </c>
      <c r="Q30" s="29">
        <v>22.42</v>
      </c>
      <c r="R30" s="27" t="inlineStr">
        <is>
          <t xml:space="preserve">nov/25</t>
        </is>
      </c>
      <c r="S30" s="30">
        <v>10.2125</v>
      </c>
      <c r="T30" s="27" t="inlineStr">
        <is>
          <t xml:space="preserve">ago/25</t>
        </is>
      </c>
      <c r="U30" s="30">
        <v>3.98</v>
      </c>
      <c r="V30" s="27" t="inlineStr">
        <is>
          <t xml:space="preserve">set/25</t>
        </is>
      </c>
      <c r="W30" s="29">
        <v>270.7</v>
      </c>
      <c r="X30" s="27" t="inlineStr">
        <is>
          <t xml:space="preserve">ago/25</t>
        </is>
      </c>
      <c r="Y30" s="30">
        <v>0.5411</v>
      </c>
      <c r="Z30" s="27" t="inlineStr">
        <is>
          <t xml:space="preserve">ago/25</t>
        </is>
      </c>
      <c r="AA30" s="29">
        <v>407.81</v>
      </c>
      <c r="AB30" s="29">
        <v>116.09</v>
      </c>
      <c r="AC30" s="29">
        <v>307.77</v>
      </c>
      <c r="AD30" s="29">
        <v>308.76</v>
      </c>
      <c r="AE30" s="29">
        <v>296.94</v>
      </c>
      <c r="AF30" s="29">
        <v>285.75</v>
      </c>
      <c r="AG30" s="29">
        <v>289.75</v>
      </c>
      <c r="AH30" s="29">
        <v>282.23</v>
      </c>
      <c r="AI30" s="29">
        <v>310.49</v>
      </c>
      <c r="AJ30" s="29">
        <v>273.57</v>
      </c>
      <c r="AK30" s="29">
        <v>275.51</v>
      </c>
      <c r="AL30" s="29">
        <v>8.42</v>
      </c>
      <c r="AM30" s="29">
        <v>8.14</v>
      </c>
      <c r="AN30" s="29">
        <v>8.07</v>
      </c>
      <c r="AO30" s="29">
        <v>8.09</v>
      </c>
      <c r="AP30" s="29">
        <v>7.41</v>
      </c>
      <c r="AQ30" s="29">
        <v>157.94</v>
      </c>
      <c r="AR30" s="29">
        <v>176.28</v>
      </c>
      <c r="BH30" s="29">
        <v>1326.67</v>
      </c>
      <c r="BI30" s="29">
        <v>67.78</v>
      </c>
      <c r="BK30" s="29">
        <v>228.59</v>
      </c>
      <c r="BL30" s="29">
        <v>191.62</v>
      </c>
      <c r="BM30" s="29">
        <v>208.98</v>
      </c>
      <c r="BO30" s="29">
        <v>130.87</v>
      </c>
      <c r="BQ30" s="29">
        <v>129.16</v>
      </c>
      <c r="BR30" s="29">
        <v>131.4</v>
      </c>
      <c r="BX30" s="29">
        <v>40.5</v>
      </c>
      <c r="BY30" s="29">
        <v>60.0</v>
      </c>
      <c r="BZ30" s="29">
        <v>52.5</v>
      </c>
      <c r="CA30" s="29">
        <v>43.2</v>
      </c>
      <c r="CD30" s="29">
        <v>44.29</v>
      </c>
      <c r="CE30" s="29">
        <v>57.59</v>
      </c>
      <c r="CI30" s="29">
        <v>8090.0</v>
      </c>
      <c r="CJ30" s="27" t="inlineStr">
        <is>
          <t xml:space="preserve">set/25</t>
        </is>
      </c>
    </row>
    <row r="31">
      <c r="A31" s="28">
        <v>45847</v>
      </c>
      <c r="B31" s="29">
        <v>1473.6</v>
      </c>
      <c r="C31" s="29">
        <v>2867.75</v>
      </c>
      <c r="D31" s="29">
        <v>7.39</v>
      </c>
      <c r="E31" s="29">
        <v>8.78</v>
      </c>
      <c r="F31" s="29">
        <v>1685.52</v>
      </c>
      <c r="G31" s="29">
        <v>1032.69</v>
      </c>
      <c r="H31" s="29">
        <v>341.35</v>
      </c>
      <c r="I31" s="27" t="inlineStr">
        <is>
          <t xml:space="preserve">dez/25</t>
        </is>
      </c>
      <c r="J31" s="29">
        <v>137480.79</v>
      </c>
      <c r="K31" s="30">
        <v>5516.5</v>
      </c>
      <c r="L31" s="27" t="inlineStr">
        <is>
          <t xml:space="preserve">ago/25</t>
        </is>
      </c>
      <c r="M31" s="29">
        <v>316.8</v>
      </c>
      <c r="N31" s="27" t="inlineStr">
        <is>
          <t xml:space="preserve">ago/25</t>
        </is>
      </c>
      <c r="O31" s="29">
        <v>63.79</v>
      </c>
      <c r="P31" s="27" t="inlineStr">
        <is>
          <t xml:space="preserve">set/25</t>
        </is>
      </c>
      <c r="Q31" s="29">
        <v>22.21</v>
      </c>
      <c r="R31" s="27" t="inlineStr">
        <is>
          <t xml:space="preserve">nov/25</t>
        </is>
      </c>
      <c r="S31" s="30">
        <v>10.09</v>
      </c>
      <c r="T31" s="27" t="inlineStr">
        <is>
          <t xml:space="preserve">ago/25</t>
        </is>
      </c>
      <c r="U31" s="30">
        <v>3.9925</v>
      </c>
      <c r="V31" s="27" t="inlineStr">
        <is>
          <t xml:space="preserve">set/25</t>
        </is>
      </c>
      <c r="W31" s="29">
        <v>269.4</v>
      </c>
      <c r="X31" s="27" t="inlineStr">
        <is>
          <t xml:space="preserve">ago/25</t>
        </is>
      </c>
      <c r="Y31" s="30">
        <v>0.5329</v>
      </c>
      <c r="Z31" s="27" t="inlineStr">
        <is>
          <t xml:space="preserve">ago/25</t>
        </is>
      </c>
      <c r="AA31" s="29">
        <v>410.09</v>
      </c>
      <c r="AB31" s="29">
        <v>116.09</v>
      </c>
      <c r="AC31" s="29">
        <v>307.99</v>
      </c>
      <c r="AD31" s="29">
        <v>308.4</v>
      </c>
      <c r="AE31" s="29">
        <v>296.31</v>
      </c>
      <c r="AF31" s="29">
        <v>286.18</v>
      </c>
      <c r="AG31" s="29">
        <v>288.57</v>
      </c>
      <c r="AH31" s="29">
        <v>281.93</v>
      </c>
      <c r="AI31" s="29">
        <v>311.74</v>
      </c>
      <c r="AJ31" s="29">
        <v>274.57</v>
      </c>
      <c r="AK31" s="29">
        <v>278.57</v>
      </c>
      <c r="AL31" s="29">
        <v>8.42</v>
      </c>
      <c r="AM31" s="29">
        <v>8.08</v>
      </c>
      <c r="AN31" s="29">
        <v>8.06</v>
      </c>
      <c r="AO31" s="29">
        <v>8.09</v>
      </c>
      <c r="AP31" s="29">
        <v>7.41</v>
      </c>
      <c r="AQ31" s="29">
        <v>153.77</v>
      </c>
      <c r="AR31" s="29">
        <v>172.33</v>
      </c>
      <c r="BH31" s="29">
        <v>1326.67</v>
      </c>
      <c r="BI31" s="29">
        <v>67.82</v>
      </c>
      <c r="BK31" s="29">
        <v>228.59</v>
      </c>
      <c r="BL31" s="29">
        <v>193.14</v>
      </c>
      <c r="BM31" s="29">
        <v>206.63</v>
      </c>
      <c r="BO31" s="29">
        <v>131.5</v>
      </c>
      <c r="BQ31" s="29">
        <v>127.59</v>
      </c>
      <c r="BR31" s="29">
        <v>131.4</v>
      </c>
      <c r="BX31" s="29">
        <v>40.5</v>
      </c>
      <c r="BY31" s="29">
        <v>60.0</v>
      </c>
      <c r="BZ31" s="29">
        <v>52.5</v>
      </c>
      <c r="CA31" s="29">
        <v>43.2</v>
      </c>
      <c r="CB31" s="29">
        <v>37.6</v>
      </c>
      <c r="CC31" s="29">
        <v>36.0</v>
      </c>
      <c r="CD31" s="29">
        <v>44.31</v>
      </c>
      <c r="CE31" s="29">
        <v>57.79</v>
      </c>
      <c r="CI31" s="29">
        <v>8376.0</v>
      </c>
      <c r="CJ31" s="27" t="inlineStr">
        <is>
          <t xml:space="preserve">set/25</t>
        </is>
      </c>
    </row>
    <row r="32">
      <c r="A32" s="28">
        <v>45848</v>
      </c>
      <c r="B32" s="29">
        <v>1475.11</v>
      </c>
      <c r="C32" s="29">
        <v>2879.78</v>
      </c>
      <c r="D32" s="29">
        <v>7.39</v>
      </c>
      <c r="E32" s="29">
        <v>8.8</v>
      </c>
      <c r="F32" s="29">
        <v>1721.5</v>
      </c>
      <c r="G32" s="29">
        <v>1020.19</v>
      </c>
      <c r="H32" s="29">
        <v>337.6</v>
      </c>
      <c r="I32" s="27" t="inlineStr">
        <is>
          <t xml:space="preserve">dez/25</t>
        </is>
      </c>
      <c r="J32" s="29">
        <v>136743.26</v>
      </c>
      <c r="K32" s="30">
        <v>5583.0</v>
      </c>
      <c r="L32" s="27" t="inlineStr">
        <is>
          <t xml:space="preserve">ago/25</t>
        </is>
      </c>
      <c r="M32" s="29">
        <v>311.4</v>
      </c>
      <c r="N32" s="27" t="inlineStr">
        <is>
          <t xml:space="preserve">ago/25</t>
        </is>
      </c>
      <c r="O32" s="29">
        <v>62.8</v>
      </c>
      <c r="P32" s="27" t="inlineStr">
        <is>
          <t xml:space="preserve">set/25</t>
        </is>
      </c>
      <c r="Q32" s="29">
        <v>22.38</v>
      </c>
      <c r="R32" s="27" t="inlineStr">
        <is>
          <t xml:space="preserve">nov/25</t>
        </is>
      </c>
      <c r="S32" s="30">
        <v>10.125</v>
      </c>
      <c r="T32" s="27" t="inlineStr">
        <is>
          <t xml:space="preserve">ago/25</t>
        </is>
      </c>
      <c r="U32" s="30">
        <v>3.9925</v>
      </c>
      <c r="V32" s="27" t="inlineStr">
        <is>
          <t xml:space="preserve">set/25</t>
        </is>
      </c>
      <c r="W32" s="29">
        <v>271.4</v>
      </c>
      <c r="X32" s="27" t="inlineStr">
        <is>
          <t xml:space="preserve">ago/25</t>
        </is>
      </c>
      <c r="Y32" s="30">
        <v>0.5349</v>
      </c>
      <c r="Z32" s="27" t="inlineStr">
        <is>
          <t xml:space="preserve">ago/25</t>
        </is>
      </c>
      <c r="AA32" s="29">
        <v>412.12</v>
      </c>
      <c r="AB32" s="29">
        <v>115.9</v>
      </c>
      <c r="AC32" s="29">
        <v>306.83</v>
      </c>
      <c r="AD32" s="29">
        <v>307.45</v>
      </c>
      <c r="AE32" s="29">
        <v>295.87</v>
      </c>
      <c r="AF32" s="29">
        <v>285.85</v>
      </c>
      <c r="AG32" s="29">
        <v>288.31</v>
      </c>
      <c r="AH32" s="29">
        <v>281.99</v>
      </c>
      <c r="AI32" s="29">
        <v>309.94</v>
      </c>
      <c r="AJ32" s="29">
        <v>274.34</v>
      </c>
      <c r="AK32" s="29">
        <v>275.92</v>
      </c>
      <c r="AL32" s="29">
        <v>8.43</v>
      </c>
      <c r="AM32" s="29">
        <v>8.09</v>
      </c>
      <c r="AN32" s="29">
        <v>8.06</v>
      </c>
      <c r="AO32" s="29">
        <v>8.09</v>
      </c>
      <c r="AP32" s="29">
        <v>7.41</v>
      </c>
      <c r="AQ32" s="29">
        <v>153.78</v>
      </c>
      <c r="AR32" s="29">
        <v>172.76</v>
      </c>
      <c r="BH32" s="29">
        <v>1323.79</v>
      </c>
      <c r="BI32" s="29">
        <v>67.82</v>
      </c>
      <c r="BK32" s="29">
        <v>221.87</v>
      </c>
      <c r="BL32" s="29">
        <v>192.72</v>
      </c>
      <c r="BM32" s="29">
        <v>207.97</v>
      </c>
      <c r="BO32" s="29">
        <v>134.69</v>
      </c>
      <c r="BQ32" s="29">
        <v>129.67</v>
      </c>
      <c r="BR32" s="29">
        <v>131.4</v>
      </c>
      <c r="BX32" s="29">
        <v>42.0</v>
      </c>
      <c r="BY32" s="29">
        <v>60.0</v>
      </c>
      <c r="BZ32" s="29">
        <v>52.5</v>
      </c>
      <c r="CA32" s="29">
        <v>42.4</v>
      </c>
      <c r="CB32" s="29">
        <v>37.6</v>
      </c>
      <c r="CC32" s="29">
        <v>36.0</v>
      </c>
      <c r="CD32" s="29">
        <v>44.29</v>
      </c>
      <c r="CE32" s="29">
        <v>57.23</v>
      </c>
      <c r="CI32" s="29">
        <v>8059.0</v>
      </c>
      <c r="CJ32" s="27" t="inlineStr">
        <is>
          <t xml:space="preserve">set/25</t>
        </is>
      </c>
    </row>
    <row r="33">
      <c r="A33" s="28">
        <v>45849</v>
      </c>
      <c r="B33" s="29">
        <v>1473.37</v>
      </c>
      <c r="C33" s="29">
        <v>2871.61</v>
      </c>
      <c r="D33" s="29">
        <v>7.39</v>
      </c>
      <c r="E33" s="29">
        <v>8.67</v>
      </c>
      <c r="F33" s="29">
        <v>1728.48</v>
      </c>
      <c r="G33" s="29">
        <v>1012.75</v>
      </c>
      <c r="H33" s="29">
        <v>343.5</v>
      </c>
      <c r="I33" s="27" t="inlineStr">
        <is>
          <t xml:space="preserve">dez/25</t>
        </is>
      </c>
      <c r="J33" s="29">
        <v>136187.31</v>
      </c>
      <c r="K33" s="30">
        <v>5572.0</v>
      </c>
      <c r="L33" s="27" t="inlineStr">
        <is>
          <t xml:space="preserve">ago/25</t>
        </is>
      </c>
      <c r="M33" s="29">
        <v>312.5</v>
      </c>
      <c r="N33" s="27" t="inlineStr">
        <is>
          <t xml:space="preserve">ago/25</t>
        </is>
      </c>
      <c r="O33" s="29">
        <v>63.9</v>
      </c>
      <c r="P33" s="27" t="inlineStr">
        <is>
          <t xml:space="preserve">set/25</t>
        </is>
      </c>
      <c r="Q33" s="29">
        <v>22.25</v>
      </c>
      <c r="R33" s="27" t="inlineStr">
        <is>
          <t xml:space="preserve">nov/25</t>
        </is>
      </c>
      <c r="S33" s="30">
        <v>10.0425</v>
      </c>
      <c r="T33" s="27" t="inlineStr">
        <is>
          <t xml:space="preserve">ago/25</t>
        </is>
      </c>
      <c r="U33" s="30">
        <v>3.96</v>
      </c>
      <c r="V33" s="27" t="inlineStr">
        <is>
          <t xml:space="preserve">set/25</t>
        </is>
      </c>
      <c r="W33" s="29">
        <v>270.3</v>
      </c>
      <c r="X33" s="27" t="inlineStr">
        <is>
          <t xml:space="preserve">ago/25</t>
        </is>
      </c>
      <c r="Y33" s="30">
        <v>0.5375</v>
      </c>
      <c r="Z33" s="27" t="inlineStr">
        <is>
          <t xml:space="preserve">ago/25</t>
        </is>
      </c>
      <c r="AA33" s="29">
        <v>409.5</v>
      </c>
      <c r="AB33" s="29">
        <v>116.09</v>
      </c>
      <c r="AC33" s="29">
        <v>304.73</v>
      </c>
      <c r="AD33" s="29">
        <v>307.03</v>
      </c>
      <c r="AE33" s="29">
        <v>294.01</v>
      </c>
      <c r="AF33" s="29">
        <v>286.97</v>
      </c>
      <c r="AG33" s="29">
        <v>285.6</v>
      </c>
      <c r="AH33" s="29">
        <v>281.81</v>
      </c>
      <c r="AI33" s="29">
        <v>305.74</v>
      </c>
      <c r="AJ33" s="29">
        <v>272.37</v>
      </c>
      <c r="AK33" s="29">
        <v>275.55</v>
      </c>
      <c r="AL33" s="29">
        <v>8.35</v>
      </c>
      <c r="AM33" s="29">
        <v>8.08</v>
      </c>
      <c r="AN33" s="29">
        <v>8.06</v>
      </c>
      <c r="AO33" s="29">
        <v>8.07</v>
      </c>
      <c r="AP33" s="29">
        <v>7.41</v>
      </c>
      <c r="AQ33" s="29">
        <v>153.92</v>
      </c>
      <c r="AR33" s="29">
        <v>171.65</v>
      </c>
      <c r="BC33" s="29">
        <v>7.98</v>
      </c>
      <c r="BD33" s="29">
        <v>8.42</v>
      </c>
      <c r="BE33" s="29">
        <v>8.57</v>
      </c>
      <c r="BF33" s="29">
        <v>7.26</v>
      </c>
      <c r="BG33" s="29">
        <v>8.19</v>
      </c>
      <c r="BH33" s="29">
        <v>1323.79</v>
      </c>
      <c r="BI33" s="29">
        <v>67.75</v>
      </c>
      <c r="BK33" s="29">
        <v>221.87</v>
      </c>
      <c r="BL33" s="29">
        <v>193.7</v>
      </c>
      <c r="BM33" s="29">
        <v>208.22</v>
      </c>
      <c r="BO33" s="29">
        <v>135.2</v>
      </c>
      <c r="BQ33" s="29">
        <v>129.75</v>
      </c>
      <c r="BR33" s="29">
        <v>134.25</v>
      </c>
      <c r="BS33" s="30">
        <v>2.5521</v>
      </c>
      <c r="BT33" s="30">
        <v>2.9598</v>
      </c>
      <c r="BU33" s="29">
        <v>518.09</v>
      </c>
      <c r="BV33" s="29">
        <v>415.65</v>
      </c>
      <c r="BW33" s="29">
        <v>479.32</v>
      </c>
      <c r="BX33" s="29">
        <v>42.0</v>
      </c>
      <c r="BY33" s="29">
        <v>60.0</v>
      </c>
      <c r="BZ33" s="29">
        <v>52.5</v>
      </c>
      <c r="CA33" s="29">
        <v>42.4</v>
      </c>
      <c r="CB33" s="29">
        <v>38.4</v>
      </c>
      <c r="CC33" s="29">
        <v>36.0</v>
      </c>
      <c r="CI33" s="29">
        <v>8177.0</v>
      </c>
      <c r="CJ33" s="27" t="inlineStr">
        <is>
          <t xml:space="preserve">set/25</t>
        </is>
      </c>
    </row>
    <row r="34">
      <c r="A34" s="28">
        <v>45852</v>
      </c>
      <c r="B34" s="29">
        <v>1475.85</v>
      </c>
      <c r="C34" s="29">
        <v>2872.26</v>
      </c>
      <c r="D34" s="29">
        <v>7.4</v>
      </c>
      <c r="E34" s="29">
        <v>8.62</v>
      </c>
      <c r="F34" s="29">
        <v>1783.7</v>
      </c>
      <c r="G34" s="29">
        <v>1014.57</v>
      </c>
      <c r="H34" s="29">
        <v>367.0</v>
      </c>
      <c r="I34" s="27" t="inlineStr">
        <is>
          <t xml:space="preserve">dez/25</t>
        </is>
      </c>
      <c r="J34" s="29">
        <v>135298.99</v>
      </c>
      <c r="K34" s="30">
        <v>5609.0</v>
      </c>
      <c r="L34" s="27" t="inlineStr">
        <is>
          <t xml:space="preserve">ago/25</t>
        </is>
      </c>
      <c r="M34" s="29">
        <v>309.95</v>
      </c>
      <c r="N34" s="27" t="inlineStr">
        <is>
          <t xml:space="preserve">ago/25</t>
        </is>
      </c>
      <c r="O34" s="29">
        <v>64.09</v>
      </c>
      <c r="P34" s="27" t="inlineStr">
        <is>
          <t xml:space="preserve">set/25</t>
        </is>
      </c>
      <c r="Q34" s="29">
        <v>22.2</v>
      </c>
      <c r="R34" s="27" t="inlineStr">
        <is>
          <t xml:space="preserve">nov/25</t>
        </is>
      </c>
      <c r="S34" s="30">
        <v>10.01</v>
      </c>
      <c r="T34" s="27" t="inlineStr">
        <is>
          <t xml:space="preserve">ago/25</t>
        </is>
      </c>
      <c r="U34" s="30">
        <v>4.0</v>
      </c>
      <c r="V34" s="27" t="inlineStr">
        <is>
          <t xml:space="preserve">set/25</t>
        </is>
      </c>
      <c r="W34" s="29">
        <v>267.7</v>
      </c>
      <c r="X34" s="27" t="inlineStr">
        <is>
          <t xml:space="preserve">ago/25</t>
        </is>
      </c>
      <c r="Y34" s="30">
        <v>0.5417</v>
      </c>
      <c r="Z34" s="27" t="inlineStr">
        <is>
          <t xml:space="preserve">ago/25</t>
        </is>
      </c>
      <c r="AA34" s="29">
        <v>410.94</v>
      </c>
      <c r="AB34" s="29">
        <v>116.93</v>
      </c>
      <c r="AC34" s="29">
        <v>303.71</v>
      </c>
      <c r="AD34" s="29">
        <v>305.14</v>
      </c>
      <c r="AE34" s="29">
        <v>289.88</v>
      </c>
      <c r="AF34" s="29">
        <v>285.13</v>
      </c>
      <c r="AG34" s="29">
        <v>284.63</v>
      </c>
      <c r="AH34" s="29">
        <v>280.19</v>
      </c>
      <c r="AI34" s="29">
        <v>303.55</v>
      </c>
      <c r="AJ34" s="29">
        <v>268.73</v>
      </c>
      <c r="AK34" s="29">
        <v>283.45</v>
      </c>
      <c r="AL34" s="29">
        <v>8.23</v>
      </c>
      <c r="AM34" s="29">
        <v>8.04</v>
      </c>
      <c r="AN34" s="29">
        <v>8.01</v>
      </c>
      <c r="AO34" s="29">
        <v>8.02</v>
      </c>
      <c r="AP34" s="29">
        <v>7.41</v>
      </c>
      <c r="AQ34" s="29">
        <v>147.39</v>
      </c>
      <c r="AR34" s="29">
        <v>163.77</v>
      </c>
      <c r="BH34" s="29">
        <v>1318.72</v>
      </c>
      <c r="BI34" s="29">
        <v>67.88</v>
      </c>
      <c r="BK34" s="29">
        <v>224.13</v>
      </c>
      <c r="BL34" s="29">
        <v>201.74</v>
      </c>
      <c r="BM34" s="29">
        <v>207.58</v>
      </c>
      <c r="BO34" s="29">
        <v>134.35</v>
      </c>
      <c r="BQ34" s="29">
        <v>128.82</v>
      </c>
      <c r="BR34" s="29">
        <v>134.25</v>
      </c>
      <c r="BX34" s="29">
        <v>42.5</v>
      </c>
      <c r="BY34" s="29">
        <v>60.0</v>
      </c>
      <c r="BZ34" s="29">
        <v>42.0</v>
      </c>
      <c r="CA34" s="29">
        <v>42.4</v>
      </c>
      <c r="CB34" s="29">
        <v>38.4</v>
      </c>
      <c r="CC34" s="29">
        <v>36.0</v>
      </c>
      <c r="CD34" s="29">
        <v>44.11</v>
      </c>
      <c r="CE34" s="29">
        <v>57.21</v>
      </c>
      <c r="CI34" s="29">
        <v>8287.0</v>
      </c>
      <c r="CJ34" s="27" t="inlineStr">
        <is>
          <t xml:space="preserve">set/25</t>
        </is>
      </c>
    </row>
    <row r="35">
      <c r="A35" s="28">
        <v>45853</v>
      </c>
      <c r="B35" s="29">
        <v>1476.47</v>
      </c>
      <c r="C35" s="29">
        <v>2861.38</v>
      </c>
      <c r="D35" s="29">
        <v>7.28</v>
      </c>
      <c r="E35" s="29">
        <v>8.57</v>
      </c>
      <c r="F35" s="29">
        <v>1785.02</v>
      </c>
      <c r="G35" s="29">
        <v>1006.39</v>
      </c>
      <c r="H35" s="29">
        <v>356.45</v>
      </c>
      <c r="I35" s="27" t="inlineStr">
        <is>
          <t xml:space="preserve">dez/25</t>
        </is>
      </c>
      <c r="J35" s="29">
        <v>135250.1</v>
      </c>
      <c r="K35" s="30">
        <v>5583.5</v>
      </c>
      <c r="L35" s="27" t="inlineStr">
        <is>
          <t xml:space="preserve">ago/25</t>
        </is>
      </c>
      <c r="M35" s="29">
        <v>305.05</v>
      </c>
      <c r="N35" s="27" t="inlineStr">
        <is>
          <t xml:space="preserve">ago/25</t>
        </is>
      </c>
      <c r="O35" s="29">
        <v>63.4</v>
      </c>
      <c r="P35" s="27" t="inlineStr">
        <is>
          <t xml:space="preserve">set/25</t>
        </is>
      </c>
      <c r="Q35" s="29">
        <v>22.13</v>
      </c>
      <c r="R35" s="27" t="inlineStr">
        <is>
          <t xml:space="preserve">nov/25</t>
        </is>
      </c>
      <c r="S35" s="30">
        <v>9.95</v>
      </c>
      <c r="T35" s="27" t="inlineStr">
        <is>
          <t xml:space="preserve">ago/25</t>
        </is>
      </c>
      <c r="U35" s="30">
        <v>4.0125</v>
      </c>
      <c r="V35" s="27" t="inlineStr">
        <is>
          <t xml:space="preserve">set/25</t>
        </is>
      </c>
      <c r="W35" s="29">
        <v>265.3</v>
      </c>
      <c r="X35" s="27" t="inlineStr">
        <is>
          <t xml:space="preserve">ago/25</t>
        </is>
      </c>
      <c r="Y35" s="30">
        <v>0.5456</v>
      </c>
      <c r="Z35" s="27" t="inlineStr">
        <is>
          <t xml:space="preserve">ago/25</t>
        </is>
      </c>
      <c r="AA35" s="29">
        <v>413.24</v>
      </c>
      <c r="AB35" s="29">
        <v>117.32</v>
      </c>
      <c r="AC35" s="29">
        <v>300.67</v>
      </c>
      <c r="AD35" s="29">
        <v>299.43</v>
      </c>
      <c r="AE35" s="29">
        <v>284.16</v>
      </c>
      <c r="AF35" s="29">
        <v>283.34</v>
      </c>
      <c r="AG35" s="29">
        <v>284.26</v>
      </c>
      <c r="AH35" s="29">
        <v>268.07</v>
      </c>
      <c r="AI35" s="29">
        <v>301.22</v>
      </c>
      <c r="AJ35" s="29">
        <v>262.38</v>
      </c>
      <c r="AK35" s="29">
        <v>269.89</v>
      </c>
      <c r="AL35" s="29">
        <v>8.14</v>
      </c>
      <c r="AM35" s="29">
        <v>7.99</v>
      </c>
      <c r="AN35" s="29">
        <v>7.99</v>
      </c>
      <c r="AO35" s="29">
        <v>7.95</v>
      </c>
      <c r="AP35" s="29">
        <v>7.28</v>
      </c>
      <c r="AQ35" s="29">
        <v>147.59</v>
      </c>
      <c r="AR35" s="29">
        <v>163.77</v>
      </c>
      <c r="BH35" s="29">
        <v>1323.79</v>
      </c>
      <c r="BI35" s="29">
        <v>68.14</v>
      </c>
      <c r="BK35" s="29">
        <v>223.4</v>
      </c>
      <c r="BL35" s="29">
        <v>203.52</v>
      </c>
      <c r="BM35" s="29">
        <v>211.32</v>
      </c>
      <c r="BO35" s="29">
        <v>136.0</v>
      </c>
      <c r="BQ35" s="29">
        <v>128.05</v>
      </c>
      <c r="BR35" s="29">
        <v>130.4</v>
      </c>
      <c r="BX35" s="29">
        <v>42.5</v>
      </c>
      <c r="BY35" s="29">
        <v>60.0</v>
      </c>
      <c r="BZ35" s="29">
        <v>38.0</v>
      </c>
      <c r="CA35" s="29">
        <v>42.4</v>
      </c>
      <c r="CB35" s="29">
        <v>38.4</v>
      </c>
      <c r="CC35" s="29">
        <v>36.0</v>
      </c>
      <c r="CD35" s="29">
        <v>44.07</v>
      </c>
      <c r="CE35" s="29">
        <v>59.0</v>
      </c>
      <c r="CI35" s="29">
        <v>7884.0</v>
      </c>
      <c r="CJ35" s="27" t="inlineStr">
        <is>
          <t xml:space="preserve">set/25</t>
        </is>
      </c>
    </row>
    <row r="36">
      <c r="A36" s="28">
        <v>45854</v>
      </c>
      <c r="B36" s="29">
        <v>1475.81</v>
      </c>
      <c r="C36" s="29">
        <v>2851.44</v>
      </c>
      <c r="D36" s="29">
        <v>7.28</v>
      </c>
      <c r="E36" s="29">
        <v>8.51</v>
      </c>
      <c r="F36" s="29">
        <v>1820.36</v>
      </c>
      <c r="G36" s="29">
        <v>1024.07</v>
      </c>
      <c r="H36" s="29">
        <v>366.55</v>
      </c>
      <c r="I36" s="27" t="inlineStr">
        <is>
          <t xml:space="preserve">dez/25</t>
        </is>
      </c>
      <c r="J36" s="29">
        <v>135510.99</v>
      </c>
      <c r="K36" s="30">
        <v>5581.5</v>
      </c>
      <c r="L36" s="27" t="inlineStr">
        <is>
          <t xml:space="preserve">ago/25</t>
        </is>
      </c>
      <c r="M36" s="29">
        <v>299.95</v>
      </c>
      <c r="N36" s="27" t="inlineStr">
        <is>
          <t xml:space="preserve">ago/25</t>
        </is>
      </c>
      <c r="O36" s="29">
        <v>64.13</v>
      </c>
      <c r="P36" s="27" t="inlineStr">
        <is>
          <t xml:space="preserve">set/25</t>
        </is>
      </c>
      <c r="Q36" s="29">
        <v>22.5</v>
      </c>
      <c r="R36" s="27" t="inlineStr">
        <is>
          <t xml:space="preserve">nov/25</t>
        </is>
      </c>
      <c r="S36" s="30">
        <v>10.135</v>
      </c>
      <c r="T36" s="27" t="inlineStr">
        <is>
          <t xml:space="preserve">ago/25</t>
        </is>
      </c>
      <c r="U36" s="30">
        <v>4.0525</v>
      </c>
      <c r="V36" s="27" t="inlineStr">
        <is>
          <t xml:space="preserve">set/25</t>
        </is>
      </c>
      <c r="W36" s="29">
        <v>268.4</v>
      </c>
      <c r="X36" s="27" t="inlineStr">
        <is>
          <t xml:space="preserve">ago/25</t>
        </is>
      </c>
      <c r="Y36" s="30">
        <v>0.5482</v>
      </c>
      <c r="Z36" s="27" t="inlineStr">
        <is>
          <t xml:space="preserve">ago/25</t>
        </is>
      </c>
      <c r="AA36" s="29">
        <v>410.64</v>
      </c>
      <c r="AB36" s="29">
        <v>118.28</v>
      </c>
      <c r="AC36" s="29">
        <v>300.01</v>
      </c>
      <c r="AD36" s="29">
        <v>298.67</v>
      </c>
      <c r="AE36" s="29">
        <v>285.42</v>
      </c>
      <c r="AF36" s="29">
        <v>274.87</v>
      </c>
      <c r="AG36" s="29">
        <v>282.91</v>
      </c>
      <c r="AH36" s="29">
        <v>268.47</v>
      </c>
      <c r="AI36" s="29">
        <v>298.86</v>
      </c>
      <c r="AJ36" s="29">
        <v>261.57</v>
      </c>
      <c r="AK36" s="29">
        <v>269.31</v>
      </c>
      <c r="AL36" s="29">
        <v>8.14</v>
      </c>
      <c r="AM36" s="29">
        <v>7.98</v>
      </c>
      <c r="AN36" s="29">
        <v>7.99</v>
      </c>
      <c r="AO36" s="29">
        <v>7.94</v>
      </c>
      <c r="AP36" s="29">
        <v>7.28</v>
      </c>
      <c r="AQ36" s="29">
        <v>148.16</v>
      </c>
      <c r="AR36" s="29">
        <v>163.77</v>
      </c>
      <c r="BH36" s="29">
        <v>1327.32</v>
      </c>
      <c r="BI36" s="29">
        <v>68.13</v>
      </c>
      <c r="BK36" s="29">
        <v>236.37</v>
      </c>
      <c r="BL36" s="29">
        <v>204.48</v>
      </c>
      <c r="BM36" s="29">
        <v>213.28</v>
      </c>
      <c r="BO36" s="29">
        <v>132.86</v>
      </c>
      <c r="BQ36" s="29">
        <v>127.49</v>
      </c>
      <c r="BR36" s="29">
        <v>134.25</v>
      </c>
      <c r="BX36" s="29">
        <v>42.5</v>
      </c>
      <c r="BY36" s="29">
        <v>60.0</v>
      </c>
      <c r="BZ36" s="29">
        <v>38.0</v>
      </c>
      <c r="CA36" s="29">
        <v>42.4</v>
      </c>
      <c r="CB36" s="29">
        <v>38.4</v>
      </c>
      <c r="CC36" s="29">
        <v>36.0</v>
      </c>
      <c r="CD36" s="29">
        <v>44.46</v>
      </c>
      <c r="CE36" s="29">
        <v>58.97</v>
      </c>
      <c r="CI36" s="29">
        <v>7639.0</v>
      </c>
      <c r="CJ36" s="27" t="inlineStr">
        <is>
          <t xml:space="preserve">set/25</t>
        </is>
      </c>
    </row>
    <row r="37">
      <c r="A37" s="28">
        <v>45855</v>
      </c>
      <c r="B37" s="29">
        <v>1477.18</v>
      </c>
      <c r="C37" s="29">
        <v>2841.7</v>
      </c>
      <c r="D37" s="29">
        <v>7.28</v>
      </c>
      <c r="E37" s="29">
        <v>8.51</v>
      </c>
      <c r="F37" s="29">
        <v>1815.89</v>
      </c>
      <c r="G37" s="29">
        <v>1003.95</v>
      </c>
      <c r="H37" s="29">
        <v>366.65</v>
      </c>
      <c r="I37" s="27" t="inlineStr">
        <is>
          <t xml:space="preserve">dez/25</t>
        </is>
      </c>
      <c r="J37" s="29">
        <v>135564.74</v>
      </c>
      <c r="K37" s="30">
        <v>5566.0</v>
      </c>
      <c r="L37" s="27" t="inlineStr">
        <is>
          <t xml:space="preserve">ago/25</t>
        </is>
      </c>
      <c r="M37" s="29">
        <v>307.8</v>
      </c>
      <c r="N37" s="27" t="inlineStr">
        <is>
          <t xml:space="preserve">ago/25</t>
        </is>
      </c>
      <c r="O37" s="29">
        <v>64.6</v>
      </c>
      <c r="P37" s="27" t="inlineStr">
        <is>
          <t xml:space="preserve">set/25</t>
        </is>
      </c>
      <c r="Q37" s="29">
        <v>22.66</v>
      </c>
      <c r="R37" s="27" t="inlineStr">
        <is>
          <t xml:space="preserve">nov/25</t>
        </is>
      </c>
      <c r="S37" s="30">
        <v>10.215</v>
      </c>
      <c r="T37" s="27" t="inlineStr">
        <is>
          <t xml:space="preserve">ago/25</t>
        </is>
      </c>
      <c r="U37" s="30">
        <v>4.02</v>
      </c>
      <c r="V37" s="27" t="inlineStr">
        <is>
          <t xml:space="preserve">set/25</t>
        </is>
      </c>
      <c r="W37" s="29">
        <v>268.7</v>
      </c>
      <c r="X37" s="27" t="inlineStr">
        <is>
          <t xml:space="preserve">ago/25</t>
        </is>
      </c>
      <c r="Y37" s="30">
        <v>0.5622</v>
      </c>
      <c r="Z37" s="27" t="inlineStr">
        <is>
          <t xml:space="preserve">ago/25</t>
        </is>
      </c>
      <c r="AA37" s="29">
        <v>415.95</v>
      </c>
      <c r="AB37" s="29">
        <v>120.11</v>
      </c>
      <c r="AC37" s="29">
        <v>297.07</v>
      </c>
      <c r="AD37" s="29">
        <v>296.84</v>
      </c>
      <c r="AE37" s="29">
        <v>285.92</v>
      </c>
      <c r="AF37" s="29">
        <v>271.16</v>
      </c>
      <c r="AG37" s="29">
        <v>280.9</v>
      </c>
      <c r="AH37" s="29">
        <v>267.83</v>
      </c>
      <c r="AI37" s="29">
        <v>298.21</v>
      </c>
      <c r="AJ37" s="29">
        <v>259.46</v>
      </c>
      <c r="AK37" s="29">
        <v>267.29</v>
      </c>
      <c r="AL37" s="29">
        <v>8.13</v>
      </c>
      <c r="AM37" s="29">
        <v>7.81</v>
      </c>
      <c r="AN37" s="29">
        <v>7.97</v>
      </c>
      <c r="AO37" s="29">
        <v>7.87</v>
      </c>
      <c r="AP37" s="29">
        <v>7.28</v>
      </c>
      <c r="AQ37" s="29">
        <v>147.97</v>
      </c>
      <c r="AR37" s="29">
        <v>163.77</v>
      </c>
      <c r="BH37" s="29">
        <v>1327.46</v>
      </c>
      <c r="BI37" s="29">
        <v>68.15</v>
      </c>
      <c r="BK37" s="29">
        <v>226.33</v>
      </c>
      <c r="BL37" s="29">
        <v>205.65</v>
      </c>
      <c r="BM37" s="29">
        <v>216.94</v>
      </c>
      <c r="BO37" s="29">
        <v>131.1</v>
      </c>
      <c r="BQ37" s="29">
        <v>125.29</v>
      </c>
      <c r="BR37" s="29">
        <v>133.9</v>
      </c>
      <c r="BX37" s="29">
        <v>42.5</v>
      </c>
      <c r="BY37" s="29">
        <v>60.0</v>
      </c>
      <c r="BZ37" s="29">
        <v>38.0</v>
      </c>
      <c r="CA37" s="29">
        <v>42.4</v>
      </c>
      <c r="CB37" s="29">
        <v>38.4</v>
      </c>
      <c r="CC37" s="29">
        <v>36.0</v>
      </c>
      <c r="CD37" s="29">
        <v>44.4</v>
      </c>
      <c r="CE37" s="29">
        <v>59.44</v>
      </c>
      <c r="CI37" s="29">
        <v>7309.0</v>
      </c>
      <c r="CJ37" s="27" t="inlineStr">
        <is>
          <t xml:space="preserve">set/25</t>
        </is>
      </c>
    </row>
    <row r="38">
      <c r="A38" s="28">
        <v>45856</v>
      </c>
      <c r="B38" s="29">
        <v>1477.18</v>
      </c>
      <c r="C38" s="29">
        <v>2846.38</v>
      </c>
      <c r="D38" s="29">
        <v>7.25</v>
      </c>
      <c r="E38" s="29">
        <v>8.4</v>
      </c>
      <c r="F38" s="29">
        <v>1825.66</v>
      </c>
      <c r="G38" s="29">
        <v>1013.46</v>
      </c>
      <c r="H38" s="29">
        <v>362.95</v>
      </c>
      <c r="I38" s="27" t="inlineStr">
        <is>
          <t xml:space="preserve">dez/25</t>
        </is>
      </c>
      <c r="J38" s="29">
        <v>133381.58</v>
      </c>
      <c r="K38" s="30">
        <v>5611.0</v>
      </c>
      <c r="L38" s="27" t="inlineStr">
        <is>
          <t xml:space="preserve">ago/25</t>
        </is>
      </c>
      <c r="M38" s="29">
        <v>305.2</v>
      </c>
      <c r="N38" s="27" t="inlineStr">
        <is>
          <t xml:space="preserve">ago/25</t>
        </is>
      </c>
      <c r="O38" s="29">
        <v>65.45</v>
      </c>
      <c r="P38" s="27" t="inlineStr">
        <is>
          <t xml:space="preserve">set/25</t>
        </is>
      </c>
      <c r="Q38" s="29">
        <v>22.86</v>
      </c>
      <c r="R38" s="27" t="inlineStr">
        <is>
          <t xml:space="preserve">nov/25</t>
        </is>
      </c>
      <c r="S38" s="30">
        <v>10.2775</v>
      </c>
      <c r="T38" s="27" t="inlineStr">
        <is>
          <t xml:space="preserve">ago/25</t>
        </is>
      </c>
      <c r="U38" s="30">
        <v>4.085</v>
      </c>
      <c r="V38" s="27" t="inlineStr">
        <is>
          <t xml:space="preserve">set/25</t>
        </is>
      </c>
      <c r="W38" s="29">
        <v>274.0</v>
      </c>
      <c r="X38" s="27" t="inlineStr">
        <is>
          <t xml:space="preserve">ago/25</t>
        </is>
      </c>
      <c r="Y38" s="30">
        <v>0.5582</v>
      </c>
      <c r="Z38" s="27" t="inlineStr">
        <is>
          <t xml:space="preserve">ago/25</t>
        </is>
      </c>
      <c r="AA38" s="29">
        <v>411.35</v>
      </c>
      <c r="AB38" s="29">
        <v>121.22</v>
      </c>
      <c r="AC38" s="29">
        <v>293.79</v>
      </c>
      <c r="AD38" s="29">
        <v>299.71</v>
      </c>
      <c r="AE38" s="29">
        <v>284.9</v>
      </c>
      <c r="AF38" s="29">
        <v>269.67</v>
      </c>
      <c r="AG38" s="29">
        <v>279.21</v>
      </c>
      <c r="AH38" s="29">
        <v>270.36</v>
      </c>
      <c r="AI38" s="29">
        <v>296.11</v>
      </c>
      <c r="AJ38" s="29">
        <v>261.08</v>
      </c>
      <c r="AK38" s="29">
        <v>262.55</v>
      </c>
      <c r="AL38" s="29">
        <v>8.06</v>
      </c>
      <c r="AM38" s="29">
        <v>7.84</v>
      </c>
      <c r="AN38" s="29">
        <v>7.96</v>
      </c>
      <c r="AO38" s="29">
        <v>7.83</v>
      </c>
      <c r="AP38" s="29">
        <v>7.25</v>
      </c>
      <c r="AQ38" s="29">
        <v>143.11</v>
      </c>
      <c r="AR38" s="29">
        <v>157.82</v>
      </c>
      <c r="BC38" s="29">
        <v>7.97</v>
      </c>
      <c r="BD38" s="29">
        <v>8.4</v>
      </c>
      <c r="BE38" s="29">
        <v>8.55</v>
      </c>
      <c r="BF38" s="29">
        <v>7.24</v>
      </c>
      <c r="BG38" s="29">
        <v>8.19</v>
      </c>
      <c r="BH38" s="29">
        <v>1327.46</v>
      </c>
      <c r="BI38" s="29">
        <v>68.22</v>
      </c>
      <c r="BK38" s="29">
        <v>230.29</v>
      </c>
      <c r="BL38" s="29">
        <v>205.11</v>
      </c>
      <c r="BM38" s="29">
        <v>222.07</v>
      </c>
      <c r="BO38" s="29">
        <v>130.85</v>
      </c>
      <c r="BQ38" s="29">
        <v>124.31</v>
      </c>
      <c r="BR38" s="29">
        <v>131.12</v>
      </c>
      <c r="BS38" s="30">
        <v>2.5239</v>
      </c>
      <c r="BT38" s="30">
        <v>2.9204</v>
      </c>
      <c r="BU38" s="29">
        <v>510.78</v>
      </c>
      <c r="BV38" s="29">
        <v>405.73</v>
      </c>
      <c r="BW38" s="29">
        <v>475.31</v>
      </c>
      <c r="BX38" s="29">
        <v>42.5</v>
      </c>
      <c r="BY38" s="29">
        <v>60.0</v>
      </c>
      <c r="BZ38" s="29">
        <v>38.0</v>
      </c>
      <c r="CA38" s="29">
        <v>42.4</v>
      </c>
      <c r="CD38" s="29">
        <v>44.4</v>
      </c>
      <c r="CE38" s="29">
        <v>59.34</v>
      </c>
      <c r="CI38" s="29">
        <v>7800.0</v>
      </c>
      <c r="CJ38" s="27" t="inlineStr">
        <is>
          <t xml:space="preserve">set/25</t>
        </is>
      </c>
    </row>
    <row r="39">
      <c r="A39" s="28">
        <v>45859</v>
      </c>
      <c r="B39" s="29">
        <v>1479.74</v>
      </c>
      <c r="C39" s="29">
        <v>2855.65</v>
      </c>
      <c r="D39" s="29">
        <v>7.2</v>
      </c>
      <c r="E39" s="29">
        <v>8.37</v>
      </c>
      <c r="F39" s="29">
        <v>1803.32</v>
      </c>
      <c r="G39" s="29">
        <v>975.7</v>
      </c>
      <c r="H39" s="29">
        <v>345.0</v>
      </c>
      <c r="I39" s="27" t="inlineStr">
        <is>
          <t xml:space="preserve">dez/25</t>
        </is>
      </c>
      <c r="J39" s="29">
        <v>134166.72</v>
      </c>
      <c r="K39" s="30">
        <v>5578.0</v>
      </c>
      <c r="L39" s="27" t="inlineStr">
        <is>
          <t xml:space="preserve">ago/25</t>
        </is>
      </c>
      <c r="M39" s="29">
        <v>299.5</v>
      </c>
      <c r="N39" s="27" t="inlineStr">
        <is>
          <t xml:space="preserve">ago/25</t>
        </is>
      </c>
      <c r="O39" s="29">
        <v>65.07</v>
      </c>
      <c r="P39" s="27" t="inlineStr">
        <is>
          <t xml:space="preserve">set/25</t>
        </is>
      </c>
      <c r="Q39" s="29">
        <v>22.6</v>
      </c>
      <c r="R39" s="27" t="inlineStr">
        <is>
          <t xml:space="preserve">nov/25</t>
        </is>
      </c>
      <c r="S39" s="30">
        <v>10.15</v>
      </c>
      <c r="T39" s="27" t="inlineStr">
        <is>
          <t xml:space="preserve">ago/25</t>
        </is>
      </c>
      <c r="U39" s="30">
        <v>4.0375</v>
      </c>
      <c r="V39" s="27" t="inlineStr">
        <is>
          <t xml:space="preserve">set/25</t>
        </is>
      </c>
      <c r="W39" s="29">
        <v>270.5</v>
      </c>
      <c r="X39" s="27" t="inlineStr">
        <is>
          <t xml:space="preserve">ago/25</t>
        </is>
      </c>
      <c r="Y39" s="30">
        <v>0.5607</v>
      </c>
      <c r="Z39" s="27" t="inlineStr">
        <is>
          <t xml:space="preserve">ago/25</t>
        </is>
      </c>
      <c r="AA39" s="29">
        <v>412.43</v>
      </c>
      <c r="AB39" s="29">
        <v>120.32</v>
      </c>
      <c r="AC39" s="29">
        <v>294.37</v>
      </c>
      <c r="AD39" s="29">
        <v>300.59</v>
      </c>
      <c r="AE39" s="29">
        <v>283.99</v>
      </c>
      <c r="AF39" s="29">
        <v>273.11</v>
      </c>
      <c r="AG39" s="29">
        <v>278.47</v>
      </c>
      <c r="AH39" s="29">
        <v>271.61</v>
      </c>
      <c r="AI39" s="29">
        <v>296.08</v>
      </c>
      <c r="AJ39" s="29">
        <v>261.9</v>
      </c>
      <c r="AK39" s="29">
        <v>256.88</v>
      </c>
      <c r="AL39" s="29">
        <v>7.96</v>
      </c>
      <c r="AM39" s="29">
        <v>7.82</v>
      </c>
      <c r="AN39" s="29">
        <v>7.85</v>
      </c>
      <c r="AO39" s="29">
        <v>7.79</v>
      </c>
      <c r="AP39" s="29">
        <v>7.2</v>
      </c>
      <c r="AQ39" s="29">
        <v>143.03</v>
      </c>
      <c r="AR39" s="29">
        <v>157.26</v>
      </c>
      <c r="BH39" s="29">
        <v>1327.46</v>
      </c>
      <c r="BI39" s="29">
        <v>68.1</v>
      </c>
      <c r="BK39" s="29">
        <v>241.86</v>
      </c>
      <c r="BL39" s="29">
        <v>208.41</v>
      </c>
      <c r="BM39" s="29">
        <v>224.72</v>
      </c>
      <c r="BO39" s="29">
        <v>130.55</v>
      </c>
      <c r="BQ39" s="29">
        <v>125.09</v>
      </c>
      <c r="BX39" s="29">
        <v>42.0</v>
      </c>
      <c r="BY39" s="29">
        <v>60.0</v>
      </c>
      <c r="BZ39" s="29">
        <v>38.0</v>
      </c>
      <c r="CA39" s="29">
        <v>43.2</v>
      </c>
      <c r="CB39" s="29">
        <v>38.4</v>
      </c>
      <c r="CC39" s="29">
        <v>36.0</v>
      </c>
      <c r="CD39" s="29">
        <v>44.04</v>
      </c>
      <c r="CE39" s="29">
        <v>59.86</v>
      </c>
      <c r="CI39" s="29">
        <v>8156.0</v>
      </c>
      <c r="CJ39" s="27" t="inlineStr">
        <is>
          <t xml:space="preserve">set/25</t>
        </is>
      </c>
    </row>
    <row r="40">
      <c r="A40" s="28">
        <v>45860</v>
      </c>
      <c r="B40" s="29">
        <v>1480.34</v>
      </c>
      <c r="C40" s="29">
        <v>2853.68</v>
      </c>
      <c r="D40" s="29">
        <v>7.2</v>
      </c>
      <c r="E40" s="29">
        <v>8.36</v>
      </c>
      <c r="F40" s="29">
        <v>1801.66</v>
      </c>
      <c r="G40" s="29">
        <v>1003.46</v>
      </c>
      <c r="H40" s="29">
        <v>350.05</v>
      </c>
      <c r="I40" s="27" t="inlineStr">
        <is>
          <t xml:space="preserve">dez/25</t>
        </is>
      </c>
      <c r="J40" s="29">
        <v>134035.72</v>
      </c>
      <c r="K40" s="30">
        <v>5579.0</v>
      </c>
      <c r="L40" s="27" t="inlineStr">
        <is>
          <t xml:space="preserve">ago/25</t>
        </is>
      </c>
      <c r="M40" s="29">
        <v>302.5</v>
      </c>
      <c r="N40" s="27" t="inlineStr">
        <is>
          <t xml:space="preserve">ago/25</t>
        </is>
      </c>
      <c r="O40" s="29">
        <v>65.3</v>
      </c>
      <c r="P40" s="27" t="inlineStr">
        <is>
          <t xml:space="preserve">set/25</t>
        </is>
      </c>
      <c r="Q40" s="29">
        <v>22.6</v>
      </c>
      <c r="R40" s="27" t="inlineStr">
        <is>
          <t xml:space="preserve">nov/25</t>
        </is>
      </c>
      <c r="S40" s="30">
        <v>10.1025</v>
      </c>
      <c r="T40" s="27" t="inlineStr">
        <is>
          <t xml:space="preserve">ago/25</t>
        </is>
      </c>
      <c r="U40" s="30">
        <v>3.9925</v>
      </c>
      <c r="V40" s="27" t="inlineStr">
        <is>
          <t xml:space="preserve">set/25</t>
        </is>
      </c>
      <c r="W40" s="29">
        <v>273.8</v>
      </c>
      <c r="X40" s="27" t="inlineStr">
        <is>
          <t xml:space="preserve">ago/25</t>
        </is>
      </c>
      <c r="Y40" s="30">
        <v>0.5563</v>
      </c>
      <c r="Z40" s="27" t="inlineStr">
        <is>
          <t xml:space="preserve">ago/25</t>
        </is>
      </c>
      <c r="AA40" s="29">
        <v>413.3</v>
      </c>
      <c r="AB40" s="29">
        <v>120.19</v>
      </c>
      <c r="AC40" s="29">
        <v>295.27</v>
      </c>
      <c r="AD40" s="29">
        <v>299.14</v>
      </c>
      <c r="AE40" s="29">
        <v>284.91</v>
      </c>
      <c r="AF40" s="29">
        <v>274.11</v>
      </c>
      <c r="AG40" s="29">
        <v>279.61</v>
      </c>
      <c r="AH40" s="29">
        <v>274.61</v>
      </c>
      <c r="AI40" s="29">
        <v>295.29</v>
      </c>
      <c r="AJ40" s="29">
        <v>261.8</v>
      </c>
      <c r="AK40" s="29">
        <v>261.31</v>
      </c>
      <c r="AL40" s="29">
        <v>7.93</v>
      </c>
      <c r="AM40" s="29">
        <v>7.79</v>
      </c>
      <c r="AN40" s="29">
        <v>7.85</v>
      </c>
      <c r="AO40" s="29">
        <v>7.78</v>
      </c>
      <c r="AP40" s="29">
        <v>7.2</v>
      </c>
      <c r="AQ40" s="29">
        <v>143.03</v>
      </c>
      <c r="AR40" s="29">
        <v>157.26</v>
      </c>
      <c r="BH40" s="29">
        <v>1326.75</v>
      </c>
      <c r="BI40" s="29">
        <v>68.47</v>
      </c>
      <c r="BK40" s="29">
        <v>242.74</v>
      </c>
      <c r="BL40" s="29">
        <v>211.37</v>
      </c>
      <c r="BM40" s="29">
        <v>226.38</v>
      </c>
      <c r="BO40" s="29">
        <v>134.06</v>
      </c>
      <c r="BQ40" s="29">
        <v>127.8</v>
      </c>
      <c r="BR40" s="29">
        <v>136.75</v>
      </c>
      <c r="BX40" s="29">
        <v>42.0</v>
      </c>
      <c r="BY40" s="29">
        <v>52.0</v>
      </c>
      <c r="BZ40" s="29">
        <v>38.0</v>
      </c>
      <c r="CA40" s="29">
        <v>43.2</v>
      </c>
      <c r="CB40" s="29">
        <v>38.4</v>
      </c>
      <c r="CC40" s="29">
        <v>36.0</v>
      </c>
      <c r="CD40" s="29">
        <v>44.17</v>
      </c>
      <c r="CE40" s="29">
        <v>58.59</v>
      </c>
      <c r="CI40" s="29">
        <v>8149.0</v>
      </c>
      <c r="CJ40" s="27" t="inlineStr">
        <is>
          <t xml:space="preserve">set/25</t>
        </is>
      </c>
    </row>
    <row r="41">
      <c r="A41" s="28">
        <v>45861</v>
      </c>
      <c r="B41" s="29">
        <v>1476.97</v>
      </c>
      <c r="C41" s="29">
        <v>2849.56</v>
      </c>
      <c r="D41" s="29">
        <v>7.2</v>
      </c>
      <c r="E41" s="29">
        <v>8.19</v>
      </c>
      <c r="F41" s="29">
        <v>1818.16</v>
      </c>
      <c r="G41" s="29">
        <v>986.81</v>
      </c>
      <c r="H41" s="29">
        <v>355.6</v>
      </c>
      <c r="I41" s="27" t="inlineStr">
        <is>
          <t xml:space="preserve">dez/25</t>
        </is>
      </c>
      <c r="J41" s="29">
        <v>135368.27</v>
      </c>
      <c r="K41" s="30">
        <v>5528.0</v>
      </c>
      <c r="L41" s="27" t="inlineStr">
        <is>
          <t xml:space="preserve">ago/25</t>
        </is>
      </c>
      <c r="M41" s="29">
        <v>302.9</v>
      </c>
      <c r="N41" s="27" t="inlineStr">
        <is>
          <t xml:space="preserve">ago/25</t>
        </is>
      </c>
      <c r="O41" s="29">
        <v>65.12</v>
      </c>
      <c r="P41" s="27" t="inlineStr">
        <is>
          <t xml:space="preserve">set/25</t>
        </is>
      </c>
      <c r="Q41" s="29">
        <v>22.54</v>
      </c>
      <c r="R41" s="27" t="inlineStr">
        <is>
          <t xml:space="preserve">nov/25</t>
        </is>
      </c>
      <c r="S41" s="30">
        <v>10.0575</v>
      </c>
      <c r="T41" s="27" t="inlineStr">
        <is>
          <t xml:space="preserve">ago/25</t>
        </is>
      </c>
      <c r="U41" s="30">
        <v>3.985</v>
      </c>
      <c r="V41" s="27" t="inlineStr">
        <is>
          <t xml:space="preserve">set/25</t>
        </is>
      </c>
      <c r="W41" s="29">
        <v>272.0</v>
      </c>
      <c r="X41" s="27" t="inlineStr">
        <is>
          <t xml:space="preserve">ago/25</t>
        </is>
      </c>
      <c r="Y41" s="30">
        <v>0.5614</v>
      </c>
      <c r="Z41" s="27" t="inlineStr">
        <is>
          <t xml:space="preserve">ago/25</t>
        </is>
      </c>
      <c r="AA41" s="29">
        <v>412.77</v>
      </c>
      <c r="AB41" s="29">
        <v>119.83</v>
      </c>
      <c r="AC41" s="29">
        <v>295.18</v>
      </c>
      <c r="AD41" s="29">
        <v>298.88</v>
      </c>
      <c r="AE41" s="29">
        <v>284.92</v>
      </c>
      <c r="AF41" s="29">
        <v>272.4</v>
      </c>
      <c r="AG41" s="29">
        <v>279.44</v>
      </c>
      <c r="AH41" s="29">
        <v>271.24</v>
      </c>
      <c r="AI41" s="29">
        <v>295.75</v>
      </c>
      <c r="AJ41" s="29">
        <v>260.95</v>
      </c>
      <c r="AK41" s="29">
        <v>261.05</v>
      </c>
      <c r="AL41" s="29">
        <v>7.92</v>
      </c>
      <c r="AM41" s="29">
        <v>7.71</v>
      </c>
      <c r="AN41" s="29">
        <v>7.75</v>
      </c>
      <c r="AO41" s="29">
        <v>7.69</v>
      </c>
      <c r="AP41" s="29">
        <v>7.2</v>
      </c>
      <c r="AQ41" s="29">
        <v>143.03</v>
      </c>
      <c r="AR41" s="29">
        <v>157.26</v>
      </c>
      <c r="BH41" s="29">
        <v>1324.28</v>
      </c>
      <c r="BI41" s="29">
        <v>68.33</v>
      </c>
      <c r="BK41" s="29">
        <v>242.51</v>
      </c>
      <c r="BL41" s="29">
        <v>210.77</v>
      </c>
      <c r="BM41" s="29">
        <v>227.29</v>
      </c>
      <c r="BO41" s="29">
        <v>133.09</v>
      </c>
      <c r="BP41" s="29">
        <v>143.04</v>
      </c>
      <c r="BQ41" s="29">
        <v>127.28</v>
      </c>
      <c r="BR41" s="29">
        <v>136.75</v>
      </c>
      <c r="BX41" s="29">
        <v>42.0</v>
      </c>
      <c r="BY41" s="29">
        <v>52.0</v>
      </c>
      <c r="BZ41" s="29">
        <v>38.0</v>
      </c>
      <c r="CA41" s="29">
        <v>43.2</v>
      </c>
      <c r="CB41" s="29">
        <v>38.4</v>
      </c>
      <c r="CC41" s="29">
        <v>36.0</v>
      </c>
      <c r="CD41" s="29">
        <v>43.56</v>
      </c>
      <c r="CE41" s="29">
        <v>58.19</v>
      </c>
      <c r="CI41" s="29">
        <v>8440.0</v>
      </c>
      <c r="CJ41" s="27" t="inlineStr">
        <is>
          <t xml:space="preserve">set/25</t>
        </is>
      </c>
    </row>
    <row r="42">
      <c r="A42" s="28">
        <v>45862</v>
      </c>
      <c r="B42" s="29">
        <v>1470.42</v>
      </c>
      <c r="C42" s="29">
        <v>2852.07</v>
      </c>
      <c r="D42" s="29">
        <v>7.2</v>
      </c>
      <c r="E42" s="29">
        <v>8.19</v>
      </c>
      <c r="F42" s="29">
        <v>1824.52</v>
      </c>
      <c r="G42" s="29">
        <v>1007.91</v>
      </c>
      <c r="H42" s="29">
        <v>362.75</v>
      </c>
      <c r="I42" s="27" t="inlineStr">
        <is>
          <t xml:space="preserve">dez/25</t>
        </is>
      </c>
      <c r="J42" s="29">
        <v>133807.59</v>
      </c>
      <c r="K42" s="30">
        <v>5533.0</v>
      </c>
      <c r="L42" s="27" t="inlineStr">
        <is>
          <t xml:space="preserve">ago/25</t>
        </is>
      </c>
      <c r="M42" s="29">
        <v>304.5</v>
      </c>
      <c r="N42" s="27" t="inlineStr">
        <is>
          <t xml:space="preserve">ago/25</t>
        </is>
      </c>
      <c r="O42" s="29">
        <v>65.7</v>
      </c>
      <c r="P42" s="27" t="inlineStr">
        <is>
          <t xml:space="preserve">set/25</t>
        </is>
      </c>
      <c r="Q42" s="29">
        <v>22.55</v>
      </c>
      <c r="R42" s="27" t="inlineStr">
        <is>
          <t xml:space="preserve">nov/25</t>
        </is>
      </c>
      <c r="S42" s="30">
        <v>10.0425</v>
      </c>
      <c r="T42" s="27" t="inlineStr">
        <is>
          <t xml:space="preserve">ago/25</t>
        </is>
      </c>
      <c r="U42" s="30">
        <v>4.0175</v>
      </c>
      <c r="V42" s="27" t="inlineStr">
        <is>
          <t xml:space="preserve">set/25</t>
        </is>
      </c>
      <c r="W42" s="29">
        <v>269.7</v>
      </c>
      <c r="X42" s="27" t="inlineStr">
        <is>
          <t xml:space="preserve">ago/25</t>
        </is>
      </c>
      <c r="Y42" s="30">
        <v>0.5667</v>
      </c>
      <c r="Z42" s="27" t="inlineStr">
        <is>
          <t xml:space="preserve">ago/25</t>
        </is>
      </c>
      <c r="AA42" s="29">
        <v>413.74</v>
      </c>
      <c r="AB42" s="29">
        <v>120.1</v>
      </c>
      <c r="AC42" s="29">
        <v>293.93</v>
      </c>
      <c r="AD42" s="29">
        <v>298.1</v>
      </c>
      <c r="AE42" s="29">
        <v>283.37</v>
      </c>
      <c r="AF42" s="29">
        <v>273.61</v>
      </c>
      <c r="AG42" s="29">
        <v>278.84</v>
      </c>
      <c r="AH42" s="29">
        <v>270.16</v>
      </c>
      <c r="AI42" s="29">
        <v>295.84</v>
      </c>
      <c r="AJ42" s="29">
        <v>259.27</v>
      </c>
      <c r="AK42" s="29">
        <v>261.79</v>
      </c>
      <c r="AL42" s="29">
        <v>7.92</v>
      </c>
      <c r="AM42" s="29">
        <v>7.69</v>
      </c>
      <c r="AN42" s="29">
        <v>7.75</v>
      </c>
      <c r="AO42" s="29">
        <v>7.62</v>
      </c>
      <c r="AP42" s="29">
        <v>7.2</v>
      </c>
      <c r="AQ42" s="29">
        <v>143.03</v>
      </c>
      <c r="AR42" s="29">
        <v>157.26</v>
      </c>
      <c r="BH42" s="29">
        <v>1288.17</v>
      </c>
      <c r="BI42" s="29">
        <v>68.52</v>
      </c>
      <c r="BK42" s="29">
        <v>240.72</v>
      </c>
      <c r="BL42" s="29">
        <v>213.22</v>
      </c>
      <c r="BM42" s="29">
        <v>225.52</v>
      </c>
      <c r="BO42" s="29">
        <v>132.41</v>
      </c>
      <c r="BQ42" s="29">
        <v>126.48</v>
      </c>
      <c r="BR42" s="29">
        <v>133.0</v>
      </c>
      <c r="BX42" s="29">
        <v>42.0</v>
      </c>
      <c r="BY42" s="29">
        <v>52.0</v>
      </c>
      <c r="BZ42" s="29">
        <v>38.0</v>
      </c>
      <c r="CA42" s="29">
        <v>43.2</v>
      </c>
      <c r="CB42" s="29">
        <v>38.4</v>
      </c>
      <c r="CC42" s="29">
        <v>36.0</v>
      </c>
      <c r="CD42" s="29">
        <v>43.71</v>
      </c>
      <c r="CE42" s="29">
        <v>57.53</v>
      </c>
      <c r="CI42" s="29">
        <v>8124.0</v>
      </c>
      <c r="CJ42" s="27" t="inlineStr">
        <is>
          <t xml:space="preserve">set/25</t>
        </is>
      </c>
    </row>
    <row r="43">
      <c r="A43" s="28">
        <v>45863</v>
      </c>
      <c r="B43" s="29">
        <v>1471.8</v>
      </c>
      <c r="C43" s="29">
        <v>2849.93</v>
      </c>
      <c r="D43" s="29">
        <v>7.2</v>
      </c>
      <c r="E43" s="29">
        <v>8.14</v>
      </c>
      <c r="F43" s="29">
        <v>1809.56</v>
      </c>
      <c r="G43" s="29">
        <v>1002.35</v>
      </c>
      <c r="H43" s="29">
        <v>354.8</v>
      </c>
      <c r="I43" s="27" t="inlineStr">
        <is>
          <t xml:space="preserve">dez/25</t>
        </is>
      </c>
      <c r="J43" s="29">
        <v>133524.18</v>
      </c>
      <c r="K43" s="30">
        <v>5574.5</v>
      </c>
      <c r="L43" s="27" t="inlineStr">
        <is>
          <t xml:space="preserve">ago/25</t>
        </is>
      </c>
      <c r="M43" s="29">
        <v>308.9</v>
      </c>
      <c r="N43" s="27" t="inlineStr">
        <is>
          <t xml:space="preserve">ago/25</t>
        </is>
      </c>
      <c r="O43" s="29">
        <v>65.65</v>
      </c>
      <c r="P43" s="27" t="inlineStr">
        <is>
          <t xml:space="preserve">set/25</t>
        </is>
      </c>
      <c r="Q43" s="29">
        <v>22.5</v>
      </c>
      <c r="R43" s="27" t="inlineStr">
        <is>
          <t xml:space="preserve">nov/25</t>
        </is>
      </c>
      <c r="S43" s="30">
        <v>9.9875</v>
      </c>
      <c r="T43" s="27" t="inlineStr">
        <is>
          <t xml:space="preserve">ago/25</t>
        </is>
      </c>
      <c r="U43" s="30">
        <v>3.995</v>
      </c>
      <c r="V43" s="27" t="inlineStr">
        <is>
          <t xml:space="preserve">set/25</t>
        </is>
      </c>
      <c r="W43" s="29">
        <v>267.8</v>
      </c>
      <c r="X43" s="27" t="inlineStr">
        <is>
          <t xml:space="preserve">ago/25</t>
        </is>
      </c>
      <c r="Y43" s="30">
        <v>0.5649</v>
      </c>
      <c r="Z43" s="27" t="inlineStr">
        <is>
          <t xml:space="preserve">ago/25</t>
        </is>
      </c>
      <c r="AA43" s="29">
        <v>414.99</v>
      </c>
      <c r="AB43" s="29">
        <v>121.09</v>
      </c>
      <c r="AC43" s="29">
        <v>293.02</v>
      </c>
      <c r="AD43" s="29">
        <v>297.86</v>
      </c>
      <c r="AE43" s="29">
        <v>281.7</v>
      </c>
      <c r="AF43" s="29">
        <v>272.34</v>
      </c>
      <c r="AG43" s="29">
        <v>277.56</v>
      </c>
      <c r="AH43" s="29">
        <v>268.84</v>
      </c>
      <c r="AI43" s="29">
        <v>294.18</v>
      </c>
      <c r="AJ43" s="29">
        <v>257.83</v>
      </c>
      <c r="AK43" s="29">
        <v>262.12</v>
      </c>
      <c r="AL43" s="29">
        <v>7.87</v>
      </c>
      <c r="AM43" s="29">
        <v>7.67</v>
      </c>
      <c r="AN43" s="29">
        <v>7.69</v>
      </c>
      <c r="AO43" s="29">
        <v>7.6</v>
      </c>
      <c r="AP43" s="29">
        <v>7.2</v>
      </c>
      <c r="AQ43" s="29">
        <v>143.03</v>
      </c>
      <c r="AR43" s="29">
        <v>157.26</v>
      </c>
      <c r="BC43" s="29">
        <v>7.94</v>
      </c>
      <c r="BD43" s="29">
        <v>8.39</v>
      </c>
      <c r="BE43" s="29">
        <v>8.54</v>
      </c>
      <c r="BF43" s="29">
        <v>7.2</v>
      </c>
      <c r="BG43" s="29">
        <v>8.17</v>
      </c>
      <c r="BH43" s="29">
        <v>1288.17</v>
      </c>
      <c r="BI43" s="29">
        <v>68.84</v>
      </c>
      <c r="BK43" s="29">
        <v>239.22</v>
      </c>
      <c r="BL43" s="29">
        <v>213.66</v>
      </c>
      <c r="BM43" s="29">
        <v>224.88</v>
      </c>
      <c r="BO43" s="29">
        <v>132.97</v>
      </c>
      <c r="BQ43" s="29">
        <v>126.89</v>
      </c>
      <c r="BS43" s="30">
        <v>2.5448</v>
      </c>
      <c r="BT43" s="30">
        <v>2.9168</v>
      </c>
      <c r="BU43" s="29">
        <v>491.75</v>
      </c>
      <c r="BV43" s="29">
        <v>397.56</v>
      </c>
      <c r="BW43" s="29">
        <v>465.45</v>
      </c>
      <c r="BX43" s="29">
        <v>42.0</v>
      </c>
      <c r="BY43" s="29">
        <v>52.0</v>
      </c>
      <c r="BZ43" s="29">
        <v>38.0</v>
      </c>
      <c r="CA43" s="29">
        <v>43.2</v>
      </c>
      <c r="CB43" s="29">
        <v>38.4</v>
      </c>
      <c r="CC43" s="29">
        <v>36.0</v>
      </c>
      <c r="CD43" s="29">
        <v>43.71</v>
      </c>
      <c r="CE43" s="29">
        <v>57.03</v>
      </c>
      <c r="CI43" s="29">
        <v>8329.0</v>
      </c>
      <c r="CJ43" s="27" t="inlineStr">
        <is>
          <t xml:space="preserve">set/25</t>
        </is>
      </c>
    </row>
    <row r="44">
      <c r="A44" s="28">
        <v>45866</v>
      </c>
      <c r="B44" s="29">
        <v>1473.93</v>
      </c>
      <c r="C44" s="29">
        <v>2839.42</v>
      </c>
      <c r="D44" s="29">
        <v>7.16</v>
      </c>
      <c r="E44" s="29">
        <v>8.07</v>
      </c>
      <c r="F44" s="29">
        <v>1822.71</v>
      </c>
      <c r="G44" s="29">
        <v>1018.32</v>
      </c>
      <c r="H44" s="29">
        <v>360.0</v>
      </c>
      <c r="I44" s="27" t="inlineStr">
        <is>
          <t xml:space="preserve">dez/25</t>
        </is>
      </c>
      <c r="J44" s="29">
        <v>132129.26</v>
      </c>
      <c r="K44" s="30">
        <v>5604.0</v>
      </c>
      <c r="L44" s="27" t="inlineStr">
        <is>
          <t xml:space="preserve">ago/25</t>
        </is>
      </c>
      <c r="M44" s="29">
        <v>312.0</v>
      </c>
      <c r="N44" s="27" t="inlineStr">
        <is>
          <t xml:space="preserve">ago/25</t>
        </is>
      </c>
      <c r="O44" s="29">
        <v>65.01</v>
      </c>
      <c r="P44" s="27" t="inlineStr">
        <is>
          <t xml:space="preserve">set/25</t>
        </is>
      </c>
      <c r="Q44" s="29">
        <v>22.29</v>
      </c>
      <c r="R44" s="27" t="inlineStr">
        <is>
          <t xml:space="preserve">nov/25</t>
        </is>
      </c>
      <c r="S44" s="30">
        <v>9.8875</v>
      </c>
      <c r="T44" s="27" t="inlineStr">
        <is>
          <t xml:space="preserve">ago/25</t>
        </is>
      </c>
      <c r="U44" s="30">
        <v>3.9375</v>
      </c>
      <c r="V44" s="27" t="inlineStr">
        <is>
          <t xml:space="preserve">set/25</t>
        </is>
      </c>
      <c r="W44" s="29">
        <v>264.9</v>
      </c>
      <c r="X44" s="27" t="inlineStr">
        <is>
          <t xml:space="preserve">ago/25</t>
        </is>
      </c>
      <c r="Y44" s="30">
        <v>0.5655</v>
      </c>
      <c r="Z44" s="27" t="inlineStr">
        <is>
          <t xml:space="preserve">ago/25</t>
        </is>
      </c>
      <c r="AA44" s="29">
        <v>409.48</v>
      </c>
      <c r="AB44" s="29">
        <v>120.94</v>
      </c>
      <c r="AC44" s="29">
        <v>292.5</v>
      </c>
      <c r="AD44" s="29">
        <v>298.71</v>
      </c>
      <c r="AE44" s="29">
        <v>283.62</v>
      </c>
      <c r="AF44" s="29">
        <v>270.11</v>
      </c>
      <c r="AG44" s="29">
        <v>278.64</v>
      </c>
      <c r="AH44" s="29">
        <v>268.75</v>
      </c>
      <c r="AI44" s="29">
        <v>291.86</v>
      </c>
      <c r="AJ44" s="29">
        <v>257.32</v>
      </c>
      <c r="AK44" s="29">
        <v>262.76</v>
      </c>
      <c r="AL44" s="29">
        <v>7.81</v>
      </c>
      <c r="AM44" s="29">
        <v>7.59</v>
      </c>
      <c r="AN44" s="29">
        <v>7.61</v>
      </c>
      <c r="AO44" s="29">
        <v>7.52</v>
      </c>
      <c r="AP44" s="29">
        <v>7.16</v>
      </c>
      <c r="AQ44" s="29">
        <v>143.11</v>
      </c>
      <c r="AR44" s="29">
        <v>156.95</v>
      </c>
      <c r="BH44" s="29">
        <v>1288.17</v>
      </c>
      <c r="BI44" s="29">
        <v>69.2</v>
      </c>
      <c r="BK44" s="29">
        <v>239.05</v>
      </c>
      <c r="BL44" s="29">
        <v>212.59</v>
      </c>
      <c r="BM44" s="29">
        <v>223.84</v>
      </c>
      <c r="BO44" s="29">
        <v>132.33</v>
      </c>
      <c r="BQ44" s="29">
        <v>125.86</v>
      </c>
      <c r="BX44" s="29">
        <v>41.0</v>
      </c>
      <c r="BY44" s="29">
        <v>52.0</v>
      </c>
      <c r="BZ44" s="29">
        <v>37.5</v>
      </c>
      <c r="CA44" s="29">
        <v>43.2</v>
      </c>
      <c r="CB44" s="29">
        <v>38.4</v>
      </c>
      <c r="CC44" s="29">
        <v>36.0</v>
      </c>
      <c r="CD44" s="29">
        <v>43.39</v>
      </c>
      <c r="CE44" s="29">
        <v>56.7</v>
      </c>
      <c r="CI44" s="29">
        <v>8518.0</v>
      </c>
      <c r="CJ44" s="27" t="inlineStr">
        <is>
          <t xml:space="preserve">set/25</t>
        </is>
      </c>
    </row>
    <row r="45">
      <c r="A45" s="28">
        <v>45867</v>
      </c>
      <c r="B45" s="29">
        <v>1474.29</v>
      </c>
      <c r="C45" s="29">
        <v>2819.73</v>
      </c>
      <c r="D45" s="29">
        <v>7.11</v>
      </c>
      <c r="E45" s="29">
        <v>8.01</v>
      </c>
      <c r="F45" s="29">
        <v>1801.23</v>
      </c>
      <c r="G45" s="29">
        <v>1009.02</v>
      </c>
      <c r="H45" s="29">
        <v>359.45</v>
      </c>
      <c r="I45" s="27" t="inlineStr">
        <is>
          <t xml:space="preserve">dez/25</t>
        </is>
      </c>
      <c r="J45" s="29">
        <v>132725.68</v>
      </c>
      <c r="K45" s="30">
        <v>5570.0</v>
      </c>
      <c r="L45" s="27" t="inlineStr">
        <is>
          <t xml:space="preserve">ago/25</t>
        </is>
      </c>
      <c r="M45" s="29">
        <v>311.4</v>
      </c>
      <c r="N45" s="27" t="inlineStr">
        <is>
          <t xml:space="preserve">ago/25</t>
        </is>
      </c>
      <c r="O45" s="29">
        <v>65.15</v>
      </c>
      <c r="P45" s="27" t="inlineStr">
        <is>
          <t xml:space="preserve">set/25</t>
        </is>
      </c>
      <c r="Q45" s="29">
        <v>22.27</v>
      </c>
      <c r="R45" s="27" t="inlineStr">
        <is>
          <t xml:space="preserve">nov/25</t>
        </is>
      </c>
      <c r="S45" s="30">
        <v>9.8175</v>
      </c>
      <c r="T45" s="27" t="inlineStr">
        <is>
          <t xml:space="preserve">ago/25</t>
        </is>
      </c>
      <c r="U45" s="30">
        <v>3.8925</v>
      </c>
      <c r="V45" s="27" t="inlineStr">
        <is>
          <t xml:space="preserve">set/25</t>
        </is>
      </c>
      <c r="W45" s="29">
        <v>261.7</v>
      </c>
      <c r="X45" s="27" t="inlineStr">
        <is>
          <t xml:space="preserve">ago/25</t>
        </is>
      </c>
      <c r="Y45" s="30">
        <v>0.5754</v>
      </c>
      <c r="Z45" s="27" t="inlineStr">
        <is>
          <t xml:space="preserve">ago/25</t>
        </is>
      </c>
      <c r="AA45" s="29">
        <v>412.31</v>
      </c>
      <c r="AB45" s="29">
        <v>120.62</v>
      </c>
      <c r="AC45" s="29">
        <v>293.84</v>
      </c>
      <c r="AD45" s="29">
        <v>301.31</v>
      </c>
      <c r="AE45" s="29">
        <v>286.39</v>
      </c>
      <c r="AF45" s="29">
        <v>273.03</v>
      </c>
      <c r="AG45" s="29">
        <v>278.75</v>
      </c>
      <c r="AH45" s="29">
        <v>269.35</v>
      </c>
      <c r="AI45" s="29">
        <v>290.85</v>
      </c>
      <c r="AJ45" s="29">
        <v>258.19</v>
      </c>
      <c r="AK45" s="29">
        <v>261.95</v>
      </c>
      <c r="AL45" s="29">
        <v>7.73</v>
      </c>
      <c r="AM45" s="29">
        <v>7.55</v>
      </c>
      <c r="AN45" s="29">
        <v>7.59</v>
      </c>
      <c r="AO45" s="29">
        <v>7.53</v>
      </c>
      <c r="AP45" s="29">
        <v>7.11</v>
      </c>
      <c r="AQ45" s="29">
        <v>143.11</v>
      </c>
      <c r="AR45" s="29">
        <v>157.48</v>
      </c>
      <c r="BH45" s="29">
        <v>1288.17</v>
      </c>
      <c r="BI45" s="29">
        <v>69.37</v>
      </c>
      <c r="BK45" s="29">
        <v>241.51</v>
      </c>
      <c r="BL45" s="29">
        <v>209.65</v>
      </c>
      <c r="BM45" s="29">
        <v>220.38</v>
      </c>
      <c r="BO45" s="29">
        <v>133.81</v>
      </c>
      <c r="BQ45" s="29">
        <v>126.01</v>
      </c>
      <c r="BX45" s="29">
        <v>41.0</v>
      </c>
      <c r="BY45" s="29">
        <v>52.0</v>
      </c>
      <c r="BZ45" s="29">
        <v>38.0</v>
      </c>
      <c r="CA45" s="29">
        <v>43.2</v>
      </c>
      <c r="CB45" s="29">
        <v>40.8</v>
      </c>
      <c r="CC45" s="29">
        <v>38.4</v>
      </c>
      <c r="CD45" s="29">
        <v>43.24</v>
      </c>
      <c r="CE45" s="29">
        <v>55.58</v>
      </c>
      <c r="CI45" s="29">
        <v>8220.0</v>
      </c>
      <c r="CJ45" s="27" t="inlineStr">
        <is>
          <t xml:space="preserve">set/25</t>
        </is>
      </c>
    </row>
    <row r="46">
      <c r="A46" s="28">
        <v>45868</v>
      </c>
      <c r="B46" s="29">
        <v>1476.65</v>
      </c>
      <c r="C46" s="29">
        <v>2826.6</v>
      </c>
      <c r="D46" s="29">
        <v>7.11</v>
      </c>
      <c r="E46" s="29">
        <v>8.02</v>
      </c>
      <c r="F46" s="29">
        <v>1797.02</v>
      </c>
      <c r="G46" s="29">
        <v>1027.07</v>
      </c>
      <c r="H46" s="29">
        <v>354.95</v>
      </c>
      <c r="I46" s="27" t="inlineStr">
        <is>
          <t xml:space="preserve">dez/25</t>
        </is>
      </c>
      <c r="J46" s="29">
        <v>133989.74</v>
      </c>
      <c r="K46" s="30">
        <v>5564.5</v>
      </c>
      <c r="L46" s="27" t="inlineStr">
        <is>
          <t xml:space="preserve">ago/25</t>
        </is>
      </c>
      <c r="M46" s="29">
        <v>316.15</v>
      </c>
      <c r="N46" s="27" t="inlineStr">
        <is>
          <t xml:space="preserve">ago/25</t>
        </is>
      </c>
      <c r="O46" s="29">
        <v>66.81</v>
      </c>
      <c r="P46" s="27" t="inlineStr">
        <is>
          <t xml:space="preserve">set/25</t>
        </is>
      </c>
      <c r="Q46" s="29">
        <v>21.99</v>
      </c>
      <c r="R46" s="27" t="inlineStr">
        <is>
          <t xml:space="preserve">nov/25</t>
        </is>
      </c>
      <c r="S46" s="30">
        <v>9.6775</v>
      </c>
      <c r="T46" s="27" t="inlineStr">
        <is>
          <t xml:space="preserve">ago/25</t>
        </is>
      </c>
      <c r="U46" s="30">
        <v>3.9175</v>
      </c>
      <c r="V46" s="27" t="inlineStr">
        <is>
          <t xml:space="preserve">set/25</t>
        </is>
      </c>
      <c r="W46" s="29">
        <v>260.7</v>
      </c>
      <c r="X46" s="27" t="inlineStr">
        <is>
          <t xml:space="preserve">ago/25</t>
        </is>
      </c>
      <c r="Y46" s="30">
        <v>0.565</v>
      </c>
      <c r="Z46" s="27" t="inlineStr">
        <is>
          <t xml:space="preserve">ago/25</t>
        </is>
      </c>
      <c r="AA46" s="29">
        <v>409.42</v>
      </c>
      <c r="AB46" s="29">
        <v>120.6</v>
      </c>
      <c r="AC46" s="29">
        <v>294.39</v>
      </c>
      <c r="AD46" s="29">
        <v>303.91</v>
      </c>
      <c r="AE46" s="29">
        <v>286.54</v>
      </c>
      <c r="AF46" s="29">
        <v>288.1</v>
      </c>
      <c r="AG46" s="29">
        <v>280.16</v>
      </c>
      <c r="AH46" s="29">
        <v>275.45</v>
      </c>
      <c r="AI46" s="29">
        <v>290.84</v>
      </c>
      <c r="AJ46" s="29">
        <v>259.0</v>
      </c>
      <c r="AK46" s="29">
        <v>259.75</v>
      </c>
      <c r="AL46" s="29">
        <v>7.72</v>
      </c>
      <c r="AM46" s="29">
        <v>7.52</v>
      </c>
      <c r="AN46" s="29">
        <v>7.56</v>
      </c>
      <c r="AO46" s="29">
        <v>7.51</v>
      </c>
      <c r="AP46" s="29">
        <v>7.11</v>
      </c>
      <c r="AQ46" s="29">
        <v>143.11</v>
      </c>
      <c r="AR46" s="29">
        <v>156.94</v>
      </c>
      <c r="BH46" s="29">
        <v>1288.17</v>
      </c>
      <c r="BI46" s="29">
        <v>69.32</v>
      </c>
      <c r="BK46" s="29">
        <v>240.95</v>
      </c>
      <c r="BL46" s="29">
        <v>210.51</v>
      </c>
      <c r="BM46" s="29">
        <v>219.75</v>
      </c>
      <c r="BO46" s="29">
        <v>133.23</v>
      </c>
      <c r="BQ46" s="29">
        <v>125.98</v>
      </c>
      <c r="BX46" s="29">
        <v>41.0</v>
      </c>
      <c r="BY46" s="29">
        <v>52.0</v>
      </c>
      <c r="BZ46" s="29">
        <v>38.0</v>
      </c>
      <c r="CA46" s="29">
        <v>43.2</v>
      </c>
      <c r="CB46" s="29">
        <v>40.8</v>
      </c>
      <c r="CC46" s="29">
        <v>38.4</v>
      </c>
      <c r="CD46" s="29">
        <v>43.61</v>
      </c>
      <c r="CE46" s="29">
        <v>55.35</v>
      </c>
      <c r="CI46" s="29">
        <v>8192.0</v>
      </c>
      <c r="CJ46" s="27" t="inlineStr">
        <is>
          <t xml:space="preserve">set/25</t>
        </is>
      </c>
    </row>
    <row r="47">
      <c r="A47" s="28">
        <v>45869</v>
      </c>
      <c r="B47" s="29">
        <v>1477.25</v>
      </c>
      <c r="C47" s="29">
        <v>2815.24</v>
      </c>
      <c r="D47" s="29">
        <v>7.22</v>
      </c>
      <c r="E47" s="29">
        <v>7.99</v>
      </c>
      <c r="F47" s="29">
        <v>1811.87</v>
      </c>
      <c r="G47" s="29">
        <v>1028.45</v>
      </c>
      <c r="H47" s="29">
        <v>351.4</v>
      </c>
      <c r="I47" s="27" t="inlineStr">
        <is>
          <t xml:space="preserve">dez/25</t>
        </is>
      </c>
      <c r="J47" s="29">
        <v>133071.05</v>
      </c>
      <c r="K47" s="30">
        <v>5602.0</v>
      </c>
      <c r="L47" s="27" t="inlineStr">
        <is>
          <t xml:space="preserve">ago/25</t>
        </is>
      </c>
      <c r="M47" s="29">
        <v>313.9</v>
      </c>
      <c r="N47" s="27" t="inlineStr">
        <is>
          <t xml:space="preserve">ago/25</t>
        </is>
      </c>
      <c r="O47" s="29">
        <v>66.74</v>
      </c>
      <c r="P47" s="27" t="inlineStr">
        <is>
          <t xml:space="preserve">set/25</t>
        </is>
      </c>
      <c r="Q47" s="29">
        <v>21.8</v>
      </c>
      <c r="R47" s="27" t="inlineStr">
        <is>
          <t xml:space="preserve">nov/25</t>
        </is>
      </c>
      <c r="S47" s="30">
        <v>9.6175</v>
      </c>
      <c r="T47" s="27" t="inlineStr">
        <is>
          <t xml:space="preserve">ago/25</t>
        </is>
      </c>
      <c r="U47" s="30">
        <v>3.94</v>
      </c>
      <c r="V47" s="27" t="inlineStr">
        <is>
          <t xml:space="preserve">set/25</t>
        </is>
      </c>
      <c r="W47" s="29">
        <v>261.8</v>
      </c>
      <c r="X47" s="27" t="inlineStr">
        <is>
          <t xml:space="preserve">ago/25</t>
        </is>
      </c>
      <c r="Y47" s="30">
        <v>0.5558</v>
      </c>
      <c r="Z47" s="27" t="inlineStr">
        <is>
          <t xml:space="preserve">ago/25</t>
        </is>
      </c>
      <c r="AA47" s="29">
        <v>413.4</v>
      </c>
      <c r="AB47" s="29">
        <v>120.45</v>
      </c>
      <c r="AC47" s="29">
        <v>294.55</v>
      </c>
      <c r="AD47" s="29">
        <v>306.17</v>
      </c>
      <c r="AE47" s="29">
        <v>290.37</v>
      </c>
      <c r="AF47" s="29">
        <v>287.96</v>
      </c>
      <c r="AG47" s="29">
        <v>282.36</v>
      </c>
      <c r="AH47" s="29">
        <v>275.12</v>
      </c>
      <c r="AI47" s="29">
        <v>292.61</v>
      </c>
      <c r="AJ47" s="29">
        <v>259.43</v>
      </c>
      <c r="AK47" s="29">
        <v>259.97</v>
      </c>
      <c r="AL47" s="29">
        <v>7.72</v>
      </c>
      <c r="AM47" s="29">
        <v>7.53</v>
      </c>
      <c r="AN47" s="29">
        <v>7.56</v>
      </c>
      <c r="AO47" s="29">
        <v>7.5</v>
      </c>
      <c r="AP47" s="29">
        <v>7.22</v>
      </c>
      <c r="AQ47" s="29">
        <v>143.11</v>
      </c>
      <c r="AR47" s="29">
        <v>156.94</v>
      </c>
      <c r="BH47" s="29">
        <v>1298.66</v>
      </c>
      <c r="BI47" s="29">
        <v>69.38</v>
      </c>
      <c r="BK47" s="29">
        <v>243.55</v>
      </c>
      <c r="BL47" s="29">
        <v>208.14</v>
      </c>
      <c r="BM47" s="29">
        <v>219.0</v>
      </c>
      <c r="BO47" s="29">
        <v>131.56</v>
      </c>
      <c r="BQ47" s="29">
        <v>126.56</v>
      </c>
      <c r="BX47" s="29">
        <v>41.0</v>
      </c>
      <c r="BY47" s="29">
        <v>52.0</v>
      </c>
      <c r="BZ47" s="29">
        <v>38.0</v>
      </c>
      <c r="CA47" s="29">
        <v>43.2</v>
      </c>
      <c r="CB47" s="29">
        <v>40.8</v>
      </c>
      <c r="CC47" s="29">
        <v>38.4</v>
      </c>
      <c r="CD47" s="29">
        <v>43.44</v>
      </c>
      <c r="CE47" s="29">
        <v>55.59</v>
      </c>
      <c r="CI47" s="29">
        <v>8506.0</v>
      </c>
      <c r="CJ47" s="27" t="inlineStr">
        <is>
          <t xml:space="preserve">set/25</t>
        </is>
      </c>
    </row>
    <row r="48">
      <c r="A48" s="28">
        <v>45870</v>
      </c>
      <c r="B48" s="29">
        <v>1456.28</v>
      </c>
      <c r="C48" s="29">
        <v>2817.53</v>
      </c>
      <c r="D48" s="29">
        <v>7.22</v>
      </c>
      <c r="E48" s="29">
        <v>8.07</v>
      </c>
      <c r="F48" s="29">
        <v>1772.27</v>
      </c>
      <c r="G48" s="29">
        <v>1029.6</v>
      </c>
      <c r="H48" s="29">
        <v>345.0</v>
      </c>
      <c r="I48" s="27" t="inlineStr">
        <is>
          <t xml:space="preserve">dez/25</t>
        </is>
      </c>
      <c r="J48" s="29">
        <v>132437.39</v>
      </c>
      <c r="K48" s="30">
        <v>5595.0</v>
      </c>
      <c r="L48" s="27" t="inlineStr">
        <is>
          <t xml:space="preserve">set/25</t>
        </is>
      </c>
      <c r="M48" s="29">
        <v>323.3</v>
      </c>
      <c r="N48" s="27" t="inlineStr">
        <is>
          <t xml:space="preserve">set/25</t>
        </is>
      </c>
      <c r="O48" s="29">
        <v>66.96</v>
      </c>
      <c r="P48" s="27" t="inlineStr">
        <is>
          <t xml:space="preserve">set/25</t>
        </is>
      </c>
      <c r="Q48" s="29">
        <v>21.8</v>
      </c>
      <c r="R48" s="27" t="inlineStr">
        <is>
          <t xml:space="preserve">nov/25</t>
        </is>
      </c>
      <c r="S48" s="30">
        <v>9.695</v>
      </c>
      <c r="T48" s="27" t="inlineStr">
        <is>
          <t xml:space="preserve">set/25</t>
        </is>
      </c>
      <c r="U48" s="30">
        <v>3.895</v>
      </c>
      <c r="V48" s="27" t="inlineStr">
        <is>
          <t xml:space="preserve">set/25</t>
        </is>
      </c>
      <c r="W48" s="29">
        <v>270.9</v>
      </c>
      <c r="X48" s="27" t="inlineStr">
        <is>
          <t xml:space="preserve">set/25</t>
        </is>
      </c>
      <c r="Y48" s="30">
        <v>0.5448</v>
      </c>
      <c r="Z48" s="27" t="inlineStr">
        <is>
          <t xml:space="preserve">set/25</t>
        </is>
      </c>
      <c r="AA48" s="29">
        <v>410.61</v>
      </c>
      <c r="AB48" s="29">
        <v>119.34</v>
      </c>
      <c r="AC48" s="29">
        <v>297.85</v>
      </c>
      <c r="AD48" s="29">
        <v>306.98</v>
      </c>
      <c r="AE48" s="29">
        <v>291.32</v>
      </c>
      <c r="AF48" s="29">
        <v>284.99</v>
      </c>
      <c r="AG48" s="29">
        <v>282.73</v>
      </c>
      <c r="AH48" s="29">
        <v>275.48</v>
      </c>
      <c r="AI48" s="29">
        <v>294.44</v>
      </c>
      <c r="AJ48" s="29">
        <v>260.92</v>
      </c>
      <c r="AK48" s="29">
        <v>261.95</v>
      </c>
      <c r="AL48" s="29">
        <v>7.77</v>
      </c>
      <c r="AM48" s="29">
        <v>7.54</v>
      </c>
      <c r="AN48" s="29">
        <v>7.65</v>
      </c>
      <c r="AO48" s="29">
        <v>7.54</v>
      </c>
      <c r="AP48" s="29">
        <v>7.22</v>
      </c>
      <c r="AQ48" s="29">
        <v>149.09</v>
      </c>
      <c r="AR48" s="29">
        <v>159.99</v>
      </c>
      <c r="AS48" s="30">
        <v>2.54</v>
      </c>
      <c r="AT48" s="30">
        <v>2.62</v>
      </c>
      <c r="AU48" s="30">
        <v>2.44</v>
      </c>
      <c r="AV48" s="30">
        <v>2.65</v>
      </c>
      <c r="AW48" s="30">
        <v>2.58</v>
      </c>
      <c r="AX48" s="30">
        <v>2.44</v>
      </c>
      <c r="AY48" s="30">
        <v>2.43</v>
      </c>
      <c r="AZ48" s="30">
        <v>2.5</v>
      </c>
      <c r="BA48" s="30">
        <v>2.49</v>
      </c>
      <c r="BB48" s="30">
        <v>2.5</v>
      </c>
      <c r="BC48" s="29">
        <v>7.93</v>
      </c>
      <c r="BD48" s="29">
        <v>8.37</v>
      </c>
      <c r="BE48" s="29">
        <v>8.51</v>
      </c>
      <c r="BF48" s="29">
        <v>7.16</v>
      </c>
      <c r="BG48" s="29">
        <v>8.15</v>
      </c>
      <c r="BH48" s="29">
        <v>1295.71</v>
      </c>
      <c r="BI48" s="29">
        <v>69.41</v>
      </c>
      <c r="BK48" s="29">
        <v>243.91</v>
      </c>
      <c r="BL48" s="29">
        <v>208.82</v>
      </c>
      <c r="BM48" s="29">
        <v>218.7</v>
      </c>
      <c r="BN48" s="29">
        <v>212.0</v>
      </c>
      <c r="BO48" s="29">
        <v>133.64</v>
      </c>
      <c r="BQ48" s="29">
        <v>126.33</v>
      </c>
      <c r="BS48" s="30">
        <v>2.6239</v>
      </c>
      <c r="BT48" s="30">
        <v>2.9996</v>
      </c>
      <c r="BU48" s="29">
        <v>482.4</v>
      </c>
      <c r="BV48" s="29">
        <v>398.88</v>
      </c>
      <c r="BW48" s="29">
        <v>461.76</v>
      </c>
      <c r="BX48" s="29">
        <v>39.0</v>
      </c>
      <c r="BY48" s="29">
        <v>52.0</v>
      </c>
      <c r="BZ48" s="29">
        <v>37.5</v>
      </c>
      <c r="CA48" s="29">
        <v>43.2</v>
      </c>
      <c r="CB48" s="29">
        <v>40.8</v>
      </c>
      <c r="CC48" s="29">
        <v>38.4</v>
      </c>
      <c r="CD48" s="29">
        <v>43.44</v>
      </c>
      <c r="CE48" s="29">
        <v>55.26</v>
      </c>
      <c r="CI48" s="29">
        <v>8232.0</v>
      </c>
      <c r="CJ48" s="27" t="inlineStr">
        <is>
          <t xml:space="preserve">set/25</t>
        </is>
      </c>
    </row>
    <row r="49">
      <c r="A49" s="28">
        <v>45873</v>
      </c>
      <c r="B49" s="29">
        <v>1455.71</v>
      </c>
      <c r="C49" s="29">
        <v>2808.21</v>
      </c>
      <c r="D49" s="29">
        <v>7.26</v>
      </c>
      <c r="E49" s="29">
        <v>8.1</v>
      </c>
      <c r="F49" s="29">
        <v>1771.03</v>
      </c>
      <c r="G49" s="29">
        <v>1015.06</v>
      </c>
      <c r="H49" s="29">
        <v>348.0</v>
      </c>
      <c r="I49" s="27" t="inlineStr">
        <is>
          <t xml:space="preserve">dez/25</t>
        </is>
      </c>
      <c r="J49" s="29">
        <v>132971.2</v>
      </c>
      <c r="K49" s="30">
        <v>5550.0</v>
      </c>
      <c r="L49" s="27" t="inlineStr">
        <is>
          <t xml:space="preserve">set/25</t>
        </is>
      </c>
      <c r="M49" s="29">
        <v>328.35</v>
      </c>
      <c r="N49" s="27" t="inlineStr">
        <is>
          <t xml:space="preserve">set/25</t>
        </is>
      </c>
      <c r="O49" s="29">
        <v>66.6</v>
      </c>
      <c r="P49" s="27" t="inlineStr">
        <is>
          <t xml:space="preserve">set/25</t>
        </is>
      </c>
      <c r="Q49" s="29">
        <v>21.92</v>
      </c>
      <c r="R49" s="27" t="inlineStr">
        <is>
          <t xml:space="preserve">nov/25</t>
        </is>
      </c>
      <c r="S49" s="30">
        <v>9.7525</v>
      </c>
      <c r="T49" s="27" t="inlineStr">
        <is>
          <t xml:space="preserve">set/25</t>
        </is>
      </c>
      <c r="U49" s="30">
        <v>3.87</v>
      </c>
      <c r="V49" s="27" t="inlineStr">
        <is>
          <t xml:space="preserve">set/25</t>
        </is>
      </c>
      <c r="W49" s="29">
        <v>277.0</v>
      </c>
      <c r="X49" s="27" t="inlineStr">
        <is>
          <t xml:space="preserve">set/25</t>
        </is>
      </c>
      <c r="Y49" s="30">
        <v>0.544</v>
      </c>
      <c r="Z49" s="27" t="inlineStr">
        <is>
          <t xml:space="preserve">set/25</t>
        </is>
      </c>
      <c r="AA49" s="29">
        <v>402.54</v>
      </c>
      <c r="AB49" s="29">
        <v>119.24</v>
      </c>
      <c r="AC49" s="29">
        <v>299.17</v>
      </c>
      <c r="AD49" s="29">
        <v>307.32</v>
      </c>
      <c r="AE49" s="29">
        <v>291.96</v>
      </c>
      <c r="AF49" s="29">
        <v>272.61</v>
      </c>
      <c r="AG49" s="29">
        <v>283.01</v>
      </c>
      <c r="AH49" s="29">
        <v>277.71</v>
      </c>
      <c r="AI49" s="29">
        <v>294.15</v>
      </c>
      <c r="AJ49" s="29">
        <v>260.53</v>
      </c>
      <c r="AK49" s="29">
        <v>262.51</v>
      </c>
      <c r="AL49" s="29">
        <v>7.98</v>
      </c>
      <c r="AM49" s="29">
        <v>7.64</v>
      </c>
      <c r="AN49" s="29">
        <v>7.72</v>
      </c>
      <c r="AO49" s="29">
        <v>7.65</v>
      </c>
      <c r="AP49" s="29">
        <v>7.27</v>
      </c>
      <c r="AQ49" s="29">
        <v>149.09</v>
      </c>
      <c r="AR49" s="29">
        <v>160.26</v>
      </c>
      <c r="BH49" s="29">
        <v>1297.45</v>
      </c>
      <c r="BI49" s="29">
        <v>69.07</v>
      </c>
      <c r="BK49" s="29">
        <v>243.53</v>
      </c>
      <c r="BL49" s="29">
        <v>210.04</v>
      </c>
      <c r="BM49" s="29">
        <v>217.25</v>
      </c>
      <c r="BN49" s="29">
        <v>209.76</v>
      </c>
      <c r="BO49" s="29">
        <v>133.97</v>
      </c>
      <c r="BQ49" s="29">
        <v>125.5</v>
      </c>
      <c r="BX49" s="29">
        <v>39.0</v>
      </c>
      <c r="BY49" s="29">
        <v>52.0</v>
      </c>
      <c r="BZ49" s="29">
        <v>37.5</v>
      </c>
      <c r="CA49" s="29">
        <v>44.0</v>
      </c>
      <c r="CB49" s="29">
        <v>40.8</v>
      </c>
      <c r="CC49" s="29">
        <v>38.4</v>
      </c>
      <c r="CD49" s="29">
        <v>45.44</v>
      </c>
      <c r="CE49" s="29">
        <v>55.05</v>
      </c>
      <c r="CI49" s="29">
        <v>8102.0</v>
      </c>
      <c r="CJ49" s="27" t="inlineStr">
        <is>
          <t xml:space="preserve">set/25</t>
        </is>
      </c>
    </row>
    <row r="50">
      <c r="A50" s="28">
        <v>45874</v>
      </c>
      <c r="B50" s="29">
        <v>1451.23</v>
      </c>
      <c r="C50" s="29">
        <v>2815.13</v>
      </c>
      <c r="D50" s="29">
        <v>7.27</v>
      </c>
      <c r="E50" s="29">
        <v>8.09</v>
      </c>
      <c r="F50" s="29">
        <v>1799.43</v>
      </c>
      <c r="G50" s="29">
        <v>1018.5</v>
      </c>
      <c r="H50" s="29">
        <v>356.5</v>
      </c>
      <c r="I50" s="27" t="inlineStr">
        <is>
          <t xml:space="preserve">dez/25</t>
        </is>
      </c>
      <c r="J50" s="29">
        <v>133151.3</v>
      </c>
      <c r="K50" s="30">
        <v>5541.0</v>
      </c>
      <c r="L50" s="27" t="inlineStr">
        <is>
          <t xml:space="preserve">set/25</t>
        </is>
      </c>
      <c r="M50" s="29">
        <v>325.5</v>
      </c>
      <c r="N50" s="27" t="inlineStr">
        <is>
          <t xml:space="preserve">set/25</t>
        </is>
      </c>
      <c r="O50" s="29">
        <v>65.72</v>
      </c>
      <c r="P50" s="27" t="inlineStr">
        <is>
          <t xml:space="preserve">set/25</t>
        </is>
      </c>
      <c r="Q50" s="29">
        <v>21.84</v>
      </c>
      <c r="R50" s="27" t="inlineStr">
        <is>
          <t xml:space="preserve">nov/25</t>
        </is>
      </c>
      <c r="S50" s="30">
        <v>9.715</v>
      </c>
      <c r="T50" s="27" t="inlineStr">
        <is>
          <t xml:space="preserve">set/25</t>
        </is>
      </c>
      <c r="U50" s="30">
        <v>3.815</v>
      </c>
      <c r="V50" s="27" t="inlineStr">
        <is>
          <t xml:space="preserve">set/25</t>
        </is>
      </c>
      <c r="W50" s="29">
        <v>277.0</v>
      </c>
      <c r="X50" s="27" t="inlineStr">
        <is>
          <t xml:space="preserve">set/25</t>
        </is>
      </c>
      <c r="Y50" s="30">
        <v>0.5377</v>
      </c>
      <c r="Z50" s="27" t="inlineStr">
        <is>
          <t xml:space="preserve">set/25</t>
        </is>
      </c>
      <c r="AA50" s="29">
        <v>398.05</v>
      </c>
      <c r="AB50" s="29">
        <v>120.54</v>
      </c>
      <c r="AC50" s="29">
        <v>303.48</v>
      </c>
      <c r="AD50" s="29">
        <v>309.23</v>
      </c>
      <c r="AE50" s="29">
        <v>292.79</v>
      </c>
      <c r="AF50" s="29">
        <v>280.62</v>
      </c>
      <c r="AG50" s="29">
        <v>294.3</v>
      </c>
      <c r="AH50" s="29">
        <v>277.77</v>
      </c>
      <c r="AI50" s="29">
        <v>295.86</v>
      </c>
      <c r="AJ50" s="29">
        <v>259.95</v>
      </c>
      <c r="AK50" s="29">
        <v>262.8</v>
      </c>
      <c r="AL50" s="29">
        <v>8.03</v>
      </c>
      <c r="AM50" s="29">
        <v>7.66</v>
      </c>
      <c r="AN50" s="29">
        <v>7.72</v>
      </c>
      <c r="AO50" s="29">
        <v>7.76</v>
      </c>
      <c r="AP50" s="29">
        <v>7.29</v>
      </c>
      <c r="AQ50" s="29">
        <v>149.09</v>
      </c>
      <c r="AR50" s="29">
        <v>160.26</v>
      </c>
      <c r="BH50" s="29">
        <v>1301.42</v>
      </c>
      <c r="BI50" s="29">
        <v>69.58</v>
      </c>
      <c r="BK50" s="29">
        <v>236.93</v>
      </c>
      <c r="BL50" s="29">
        <v>204.0</v>
      </c>
      <c r="BM50" s="29">
        <v>215.07</v>
      </c>
      <c r="BO50" s="29">
        <v>133.28</v>
      </c>
      <c r="BQ50" s="29">
        <v>123.4</v>
      </c>
      <c r="BX50" s="29">
        <v>39.0</v>
      </c>
      <c r="BY50" s="29">
        <v>52.0</v>
      </c>
      <c r="BZ50" s="29">
        <v>37.5</v>
      </c>
      <c r="CA50" s="29">
        <v>44.8</v>
      </c>
      <c r="CB50" s="29">
        <v>40.8</v>
      </c>
      <c r="CC50" s="29">
        <v>38.4</v>
      </c>
      <c r="CD50" s="29">
        <v>45.44</v>
      </c>
      <c r="CE50" s="29">
        <v>55.71</v>
      </c>
      <c r="CI50" s="29">
        <v>8363.0</v>
      </c>
      <c r="CJ50" s="27" t="inlineStr">
        <is>
          <t xml:space="preserve">set/25</t>
        </is>
      </c>
    </row>
    <row r="51">
      <c r="A51" s="28">
        <v>45875</v>
      </c>
      <c r="B51" s="29">
        <v>1451.25</v>
      </c>
      <c r="C51" s="29">
        <v>2812.4</v>
      </c>
      <c r="D51" s="29">
        <v>7.31</v>
      </c>
      <c r="E51" s="29">
        <v>8.15</v>
      </c>
      <c r="F51" s="29">
        <v>1785.07</v>
      </c>
      <c r="G51" s="29">
        <v>1003.61</v>
      </c>
      <c r="H51" s="29">
        <v>351.9</v>
      </c>
      <c r="I51" s="27" t="inlineStr">
        <is>
          <t xml:space="preserve">dez/25</t>
        </is>
      </c>
      <c r="J51" s="29">
        <v>134537.62</v>
      </c>
      <c r="K51" s="30">
        <v>5497.0</v>
      </c>
      <c r="L51" s="27" t="inlineStr">
        <is>
          <t xml:space="preserve">set/25</t>
        </is>
      </c>
      <c r="M51" s="29">
        <v>323.1</v>
      </c>
      <c r="N51" s="27" t="inlineStr">
        <is>
          <t xml:space="preserve">set/25</t>
        </is>
      </c>
      <c r="O51" s="29">
        <v>65.5</v>
      </c>
      <c r="P51" s="27" t="inlineStr">
        <is>
          <t xml:space="preserve">set/25</t>
        </is>
      </c>
      <c r="Q51" s="29">
        <v>21.72</v>
      </c>
      <c r="R51" s="27" t="inlineStr">
        <is>
          <t xml:space="preserve">nov/25</t>
        </is>
      </c>
      <c r="S51" s="30">
        <v>9.655</v>
      </c>
      <c r="T51" s="27" t="inlineStr">
        <is>
          <t xml:space="preserve">set/25</t>
        </is>
      </c>
      <c r="U51" s="30">
        <v>3.7975</v>
      </c>
      <c r="V51" s="27" t="inlineStr">
        <is>
          <t xml:space="preserve">set/25</t>
        </is>
      </c>
      <c r="W51" s="29">
        <v>272.6</v>
      </c>
      <c r="X51" s="27" t="inlineStr">
        <is>
          <t xml:space="preserve">set/25</t>
        </is>
      </c>
      <c r="Y51" s="30">
        <v>0.5372</v>
      </c>
      <c r="Z51" s="27" t="inlineStr">
        <is>
          <t xml:space="preserve">set/25</t>
        </is>
      </c>
      <c r="AA51" s="29">
        <v>399.18</v>
      </c>
      <c r="AB51" s="29">
        <v>120.36</v>
      </c>
      <c r="AC51" s="29">
        <v>306.1</v>
      </c>
      <c r="AD51" s="29">
        <v>311.4</v>
      </c>
      <c r="AE51" s="29">
        <v>294.58</v>
      </c>
      <c r="AF51" s="29">
        <v>282.73</v>
      </c>
      <c r="AG51" s="29">
        <v>294.58</v>
      </c>
      <c r="AH51" s="29">
        <v>280.85</v>
      </c>
      <c r="AI51" s="29">
        <v>299.03</v>
      </c>
      <c r="AJ51" s="29">
        <v>261.52</v>
      </c>
      <c r="AK51" s="29">
        <v>263.58</v>
      </c>
      <c r="AL51" s="29">
        <v>8.04</v>
      </c>
      <c r="AM51" s="29">
        <v>7.69</v>
      </c>
      <c r="AN51" s="29">
        <v>7.72</v>
      </c>
      <c r="AO51" s="29">
        <v>7.77</v>
      </c>
      <c r="AP51" s="29">
        <v>7.43</v>
      </c>
      <c r="AQ51" s="29">
        <v>149.09</v>
      </c>
      <c r="AR51" s="29">
        <v>160.68</v>
      </c>
      <c r="BH51" s="29">
        <v>1298.68</v>
      </c>
      <c r="BI51" s="29">
        <v>69.54</v>
      </c>
      <c r="BK51" s="29">
        <v>232.29</v>
      </c>
      <c r="BL51" s="29">
        <v>203.36</v>
      </c>
      <c r="BM51" s="29">
        <v>213.78</v>
      </c>
      <c r="BO51" s="29">
        <v>131.86</v>
      </c>
      <c r="BQ51" s="29">
        <v>126.52</v>
      </c>
      <c r="BX51" s="29">
        <v>39.0</v>
      </c>
      <c r="BY51" s="29">
        <v>52.0</v>
      </c>
      <c r="BZ51" s="29">
        <v>37.5</v>
      </c>
      <c r="CA51" s="29">
        <v>45.6</v>
      </c>
      <c r="CD51" s="29">
        <v>45.44</v>
      </c>
      <c r="CE51" s="29">
        <v>55.37</v>
      </c>
      <c r="CI51" s="29">
        <v>8470.0</v>
      </c>
      <c r="CJ51" s="27" t="inlineStr">
        <is>
          <t xml:space="preserve">set/25</t>
        </is>
      </c>
    </row>
    <row r="52">
      <c r="A52" s="28">
        <v>45876</v>
      </c>
      <c r="B52" s="29">
        <v>1451.92</v>
      </c>
      <c r="C52" s="29">
        <v>2815.56</v>
      </c>
      <c r="D52" s="29">
        <v>7.32</v>
      </c>
      <c r="E52" s="29">
        <v>8.15</v>
      </c>
      <c r="F52" s="29">
        <v>1790.66</v>
      </c>
      <c r="G52" s="29">
        <v>1032.33</v>
      </c>
      <c r="H52" s="29">
        <v>355.0</v>
      </c>
      <c r="I52" s="27" t="inlineStr">
        <is>
          <t xml:space="preserve">dez/25</t>
        </is>
      </c>
      <c r="J52" s="29">
        <v>136527.61</v>
      </c>
      <c r="K52" s="30">
        <v>5480.5</v>
      </c>
      <c r="L52" s="27" t="inlineStr">
        <is>
          <t xml:space="preserve">set/25</t>
        </is>
      </c>
      <c r="M52" s="29">
        <v>324.65</v>
      </c>
      <c r="N52" s="27" t="inlineStr">
        <is>
          <t xml:space="preserve">set/25</t>
        </is>
      </c>
      <c r="O52" s="29">
        <v>65.78</v>
      </c>
      <c r="P52" s="27" t="inlineStr">
        <is>
          <t xml:space="preserve">set/25</t>
        </is>
      </c>
      <c r="Q52" s="29">
        <v>21.93</v>
      </c>
      <c r="R52" s="27" t="inlineStr">
        <is>
          <t xml:space="preserve">nov/25</t>
        </is>
      </c>
      <c r="S52" s="30">
        <v>9.74</v>
      </c>
      <c r="T52" s="27" t="inlineStr">
        <is>
          <t xml:space="preserve">set/25</t>
        </is>
      </c>
      <c r="U52" s="30">
        <v>3.845</v>
      </c>
      <c r="V52" s="27" t="inlineStr">
        <is>
          <t xml:space="preserve">set/25</t>
        </is>
      </c>
      <c r="W52" s="29">
        <v>276.1</v>
      </c>
      <c r="X52" s="27" t="inlineStr">
        <is>
          <t xml:space="preserve">set/25</t>
        </is>
      </c>
      <c r="Y52" s="30">
        <v>0.535</v>
      </c>
      <c r="Z52" s="27" t="inlineStr">
        <is>
          <t xml:space="preserve">set/25</t>
        </is>
      </c>
      <c r="AA52" s="29">
        <v>400.12</v>
      </c>
      <c r="AB52" s="29">
        <v>120.04</v>
      </c>
      <c r="AC52" s="29">
        <v>306.36</v>
      </c>
      <c r="AD52" s="29">
        <v>311.58</v>
      </c>
      <c r="AE52" s="29">
        <v>295.23</v>
      </c>
      <c r="AF52" s="29">
        <v>286.42</v>
      </c>
      <c r="AG52" s="29">
        <v>294.75</v>
      </c>
      <c r="AH52" s="29">
        <v>283.44</v>
      </c>
      <c r="AI52" s="29">
        <v>300.59</v>
      </c>
      <c r="AJ52" s="29">
        <v>268.99</v>
      </c>
      <c r="AK52" s="29">
        <v>263.6</v>
      </c>
      <c r="AL52" s="29">
        <v>8.04</v>
      </c>
      <c r="AM52" s="29">
        <v>7.78</v>
      </c>
      <c r="AN52" s="29">
        <v>7.77</v>
      </c>
      <c r="AO52" s="29">
        <v>7.82</v>
      </c>
      <c r="AP52" s="29">
        <v>7.43</v>
      </c>
      <c r="AQ52" s="29">
        <v>149.09</v>
      </c>
      <c r="AR52" s="29">
        <v>160.55</v>
      </c>
      <c r="BH52" s="29">
        <v>1298.69</v>
      </c>
      <c r="BI52" s="29">
        <v>69.17</v>
      </c>
      <c r="BK52" s="29">
        <v>232.32</v>
      </c>
      <c r="BL52" s="29">
        <v>201.24</v>
      </c>
      <c r="BM52" s="29">
        <v>211.04</v>
      </c>
      <c r="BN52" s="29">
        <v>202.2</v>
      </c>
      <c r="BO52" s="29">
        <v>128.96</v>
      </c>
      <c r="BQ52" s="29">
        <v>125.37</v>
      </c>
      <c r="BX52" s="29">
        <v>39.0</v>
      </c>
      <c r="BY52" s="29">
        <v>52.0</v>
      </c>
      <c r="BZ52" s="29">
        <v>37.5</v>
      </c>
      <c r="CA52" s="29">
        <v>45.6</v>
      </c>
      <c r="CD52" s="29">
        <v>45.38</v>
      </c>
      <c r="CE52" s="29">
        <v>55.15</v>
      </c>
      <c r="CI52" s="29">
        <v>8644.0</v>
      </c>
      <c r="CJ52" s="27" t="inlineStr">
        <is>
          <t xml:space="preserve">set/25</t>
        </is>
      </c>
    </row>
    <row r="53">
      <c r="A53" s="28">
        <v>45877</v>
      </c>
      <c r="B53" s="29">
        <v>1453.88</v>
      </c>
      <c r="C53" s="29">
        <v>2808.26</v>
      </c>
      <c r="D53" s="29">
        <v>7.29</v>
      </c>
      <c r="E53" s="29">
        <v>8.31</v>
      </c>
      <c r="F53" s="29">
        <v>1814.7</v>
      </c>
      <c r="G53" s="29">
        <v>1051.41</v>
      </c>
      <c r="H53" s="29">
        <v>367.3</v>
      </c>
      <c r="I53" s="27" t="inlineStr">
        <is>
          <t xml:space="preserve">dez/25</t>
        </is>
      </c>
      <c r="J53" s="29">
        <v>135913.25</v>
      </c>
      <c r="K53" s="30">
        <v>5463.0</v>
      </c>
      <c r="L53" s="27" t="inlineStr">
        <is>
          <t xml:space="preserve">set/25</t>
        </is>
      </c>
      <c r="M53" s="29">
        <v>323.45</v>
      </c>
      <c r="N53" s="27" t="inlineStr">
        <is>
          <t xml:space="preserve">set/25</t>
        </is>
      </c>
      <c r="O53" s="29">
        <v>65.19</v>
      </c>
      <c r="P53" s="27" t="inlineStr">
        <is>
          <t xml:space="preserve">set/25</t>
        </is>
      </c>
      <c r="Q53" s="29">
        <v>21.79</v>
      </c>
      <c r="R53" s="27" t="inlineStr">
        <is>
          <t xml:space="preserve">nov/25</t>
        </is>
      </c>
      <c r="S53" s="30">
        <v>9.6775</v>
      </c>
      <c r="T53" s="27" t="inlineStr">
        <is>
          <t xml:space="preserve">set/25</t>
        </is>
      </c>
      <c r="U53" s="30">
        <v>3.8275</v>
      </c>
      <c r="V53" s="27" t="inlineStr">
        <is>
          <t xml:space="preserve">set/25</t>
        </is>
      </c>
      <c r="W53" s="29">
        <v>276.6</v>
      </c>
      <c r="X53" s="27" t="inlineStr">
        <is>
          <t xml:space="preserve">set/25</t>
        </is>
      </c>
      <c r="Y53" s="30">
        <v>0.5271</v>
      </c>
      <c r="Z53" s="27" t="inlineStr">
        <is>
          <t xml:space="preserve">set/25</t>
        </is>
      </c>
      <c r="AA53" s="29">
        <v>399.51</v>
      </c>
      <c r="AB53" s="29">
        <v>119.83</v>
      </c>
      <c r="AC53" s="29">
        <v>306.05</v>
      </c>
      <c r="AD53" s="29">
        <v>311.59</v>
      </c>
      <c r="AE53" s="29">
        <v>296.57</v>
      </c>
      <c r="AF53" s="29">
        <v>282.62</v>
      </c>
      <c r="AG53" s="29">
        <v>295.16</v>
      </c>
      <c r="AH53" s="29">
        <v>284.77</v>
      </c>
      <c r="AI53" s="29">
        <v>302.48</v>
      </c>
      <c r="AJ53" s="29">
        <v>270.43</v>
      </c>
      <c r="AK53" s="29">
        <v>271.51</v>
      </c>
      <c r="AL53" s="29">
        <v>8.11</v>
      </c>
      <c r="AM53" s="29">
        <v>7.8</v>
      </c>
      <c r="AN53" s="29">
        <v>7.83</v>
      </c>
      <c r="AO53" s="29">
        <v>7.87</v>
      </c>
      <c r="AP53" s="29">
        <v>7.4</v>
      </c>
      <c r="AQ53" s="29">
        <v>154.87</v>
      </c>
      <c r="AR53" s="29">
        <v>170.1</v>
      </c>
      <c r="BC53" s="29">
        <v>7.92</v>
      </c>
      <c r="BD53" s="29">
        <v>8.33</v>
      </c>
      <c r="BE53" s="29">
        <v>8.48</v>
      </c>
      <c r="BF53" s="29">
        <v>7.15</v>
      </c>
      <c r="BG53" s="29">
        <v>8.12</v>
      </c>
      <c r="BH53" s="29">
        <v>1298.75</v>
      </c>
      <c r="BI53" s="29">
        <v>68.86</v>
      </c>
      <c r="BK53" s="29">
        <v>230.46</v>
      </c>
      <c r="BL53" s="29">
        <v>200.82</v>
      </c>
      <c r="BM53" s="29">
        <v>210.69</v>
      </c>
      <c r="BN53" s="29">
        <v>197.12</v>
      </c>
      <c r="BO53" s="29">
        <v>129.55</v>
      </c>
      <c r="BQ53" s="29">
        <v>125.04</v>
      </c>
      <c r="BS53" s="30">
        <v>2.6296</v>
      </c>
      <c r="BT53" s="30">
        <v>3.058</v>
      </c>
      <c r="BU53" s="29">
        <v>472.24</v>
      </c>
      <c r="BV53" s="29">
        <v>394.39</v>
      </c>
      <c r="BW53" s="29">
        <v>455.25</v>
      </c>
      <c r="BX53" s="29">
        <v>39.0</v>
      </c>
      <c r="BY53" s="29">
        <v>52.0</v>
      </c>
      <c r="BZ53" s="29">
        <v>37.5</v>
      </c>
      <c r="CA53" s="29">
        <v>45.6</v>
      </c>
      <c r="CD53" s="29">
        <v>45.38</v>
      </c>
      <c r="CE53" s="29">
        <v>55.59</v>
      </c>
      <c r="CI53" s="29">
        <v>8526.0</v>
      </c>
      <c r="CJ53" s="27" t="inlineStr">
        <is>
          <t xml:space="preserve">set/25</t>
        </is>
      </c>
    </row>
    <row r="54">
      <c r="A54" s="28">
        <v>45880</v>
      </c>
      <c r="B54" s="29">
        <v>1464.9</v>
      </c>
      <c r="C54" s="29">
        <v>2811.94</v>
      </c>
      <c r="D54" s="29">
        <v>7.36</v>
      </c>
      <c r="E54" s="29">
        <v>8.58</v>
      </c>
      <c r="F54" s="29">
        <v>1859.12</v>
      </c>
      <c r="G54" s="29">
        <v>1073.47</v>
      </c>
      <c r="H54" s="29">
        <v>384.0</v>
      </c>
      <c r="I54" s="27" t="inlineStr">
        <is>
          <t xml:space="preserve">dez/25</t>
        </is>
      </c>
      <c r="J54" s="29">
        <v>135623.15</v>
      </c>
      <c r="K54" s="30">
        <v>5472.5</v>
      </c>
      <c r="L54" s="27" t="inlineStr">
        <is>
          <t xml:space="preserve">set/25</t>
        </is>
      </c>
      <c r="M54" s="29">
        <v>320.95</v>
      </c>
      <c r="N54" s="27" t="inlineStr">
        <is>
          <t xml:space="preserve">set/25</t>
        </is>
      </c>
      <c r="O54" s="29">
        <v>65.3</v>
      </c>
      <c r="P54" s="27" t="inlineStr">
        <is>
          <t xml:space="preserve">set/25</t>
        </is>
      </c>
      <c r="Q54" s="29">
        <v>22.28</v>
      </c>
      <c r="R54" s="27" t="inlineStr">
        <is>
          <t xml:space="preserve">nov/25</t>
        </is>
      </c>
      <c r="S54" s="30">
        <v>9.9175</v>
      </c>
      <c r="T54" s="27" t="inlineStr">
        <is>
          <t xml:space="preserve">set/25</t>
        </is>
      </c>
      <c r="U54" s="30">
        <v>3.85</v>
      </c>
      <c r="V54" s="27" t="inlineStr">
        <is>
          <t xml:space="preserve">set/25</t>
        </is>
      </c>
      <c r="W54" s="29">
        <v>280.8</v>
      </c>
      <c r="X54" s="27" t="inlineStr">
        <is>
          <t xml:space="preserve">set/25</t>
        </is>
      </c>
      <c r="Y54" s="30">
        <v>0.5319</v>
      </c>
      <c r="Z54" s="27" t="inlineStr">
        <is>
          <t xml:space="preserve">set/25</t>
        </is>
      </c>
      <c r="AA54" s="29">
        <v>400.84</v>
      </c>
      <c r="AB54" s="29">
        <v>119.33</v>
      </c>
      <c r="AC54" s="29">
        <v>307.27</v>
      </c>
      <c r="AD54" s="29">
        <v>312.82</v>
      </c>
      <c r="AE54" s="29">
        <v>296.1</v>
      </c>
      <c r="AF54" s="29">
        <v>282.22</v>
      </c>
      <c r="AG54" s="29">
        <v>295.03</v>
      </c>
      <c r="AH54" s="29">
        <v>286.58</v>
      </c>
      <c r="AI54" s="29">
        <v>302.21</v>
      </c>
      <c r="AJ54" s="29">
        <v>271.27</v>
      </c>
      <c r="AK54" s="29">
        <v>282.92</v>
      </c>
      <c r="AL54" s="29">
        <v>8.3</v>
      </c>
      <c r="AM54" s="29">
        <v>7.96</v>
      </c>
      <c r="AN54" s="29">
        <v>7.95</v>
      </c>
      <c r="AO54" s="29">
        <v>8.04</v>
      </c>
      <c r="AP54" s="29">
        <v>7.47</v>
      </c>
      <c r="AQ54" s="29">
        <v>154.8</v>
      </c>
      <c r="AR54" s="29">
        <v>170.55</v>
      </c>
      <c r="BH54" s="29">
        <v>1302.09</v>
      </c>
      <c r="BI54" s="29">
        <v>69.02</v>
      </c>
      <c r="BK54" s="29">
        <v>229.08</v>
      </c>
      <c r="BL54" s="29">
        <v>201.04</v>
      </c>
      <c r="BM54" s="29">
        <v>210.17</v>
      </c>
      <c r="BN54" s="29">
        <v>191.68</v>
      </c>
      <c r="BO54" s="29">
        <v>130.02</v>
      </c>
      <c r="BQ54" s="29">
        <v>122.96</v>
      </c>
      <c r="BX54" s="29">
        <v>40.0</v>
      </c>
      <c r="BY54" s="29">
        <v>52.0</v>
      </c>
      <c r="BZ54" s="29">
        <v>37.5</v>
      </c>
      <c r="CA54" s="29">
        <v>44.8</v>
      </c>
      <c r="CB54" s="29">
        <v>41.6</v>
      </c>
      <c r="CC54" s="29">
        <v>38.4</v>
      </c>
      <c r="CD54" s="29">
        <v>46.48</v>
      </c>
      <c r="CE54" s="29">
        <v>56.21</v>
      </c>
      <c r="CI54" s="29">
        <v>8778.0</v>
      </c>
      <c r="CJ54" s="27" t="inlineStr">
        <is>
          <t xml:space="preserve">set/25</t>
        </is>
      </c>
    </row>
    <row r="55">
      <c r="A55" s="28">
        <v>45881</v>
      </c>
      <c r="B55" s="29">
        <v>1462.21</v>
      </c>
      <c r="C55" s="29">
        <v>2840.61</v>
      </c>
      <c r="D55" s="29">
        <v>7.36</v>
      </c>
      <c r="E55" s="29">
        <v>8.57</v>
      </c>
      <c r="F55" s="29">
        <v>1839.05</v>
      </c>
      <c r="G55" s="29">
        <v>1073.47</v>
      </c>
      <c r="H55" s="29">
        <v>379.1</v>
      </c>
      <c r="I55" s="27" t="inlineStr">
        <is>
          <t xml:space="preserve">dez/25</t>
        </is>
      </c>
      <c r="J55" s="29">
        <v>137913.68</v>
      </c>
      <c r="K55" s="30">
        <v>5415.5</v>
      </c>
      <c r="L55" s="27" t="inlineStr">
        <is>
          <t xml:space="preserve">set/25</t>
        </is>
      </c>
      <c r="M55" s="29">
        <v>321.4</v>
      </c>
      <c r="N55" s="27" t="inlineStr">
        <is>
          <t xml:space="preserve">set/25</t>
        </is>
      </c>
      <c r="O55" s="29">
        <v>64.75</v>
      </c>
      <c r="P55" s="27" t="inlineStr">
        <is>
          <t xml:space="preserve">set/25</t>
        </is>
      </c>
      <c r="Q55" s="29">
        <v>22.76</v>
      </c>
      <c r="R55" s="27" t="inlineStr">
        <is>
          <t xml:space="preserve">nov/25</t>
        </is>
      </c>
      <c r="S55" s="30">
        <v>10.1275</v>
      </c>
      <c r="T55" s="27" t="inlineStr">
        <is>
          <t xml:space="preserve">set/25</t>
        </is>
      </c>
      <c r="U55" s="30">
        <v>3.715</v>
      </c>
      <c r="V55" s="27" t="inlineStr">
        <is>
          <t xml:space="preserve">set/25</t>
        </is>
      </c>
      <c r="W55" s="29">
        <v>281.4</v>
      </c>
      <c r="X55" s="27" t="inlineStr">
        <is>
          <t xml:space="preserve">set/25</t>
        </is>
      </c>
      <c r="Y55" s="30">
        <v>0.5324</v>
      </c>
      <c r="Z55" s="27" t="inlineStr">
        <is>
          <t xml:space="preserve">set/25</t>
        </is>
      </c>
      <c r="AA55" s="29">
        <v>403.24</v>
      </c>
      <c r="AB55" s="29">
        <v>119.92</v>
      </c>
      <c r="AC55" s="29">
        <v>308.63</v>
      </c>
      <c r="AD55" s="29">
        <v>312.36</v>
      </c>
      <c r="AE55" s="29">
        <v>297.17</v>
      </c>
      <c r="AF55" s="29">
        <v>286.31</v>
      </c>
      <c r="AG55" s="29">
        <v>299.79</v>
      </c>
      <c r="AH55" s="29">
        <v>286.78</v>
      </c>
      <c r="AI55" s="29">
        <v>305.18</v>
      </c>
      <c r="AJ55" s="29">
        <v>274.54</v>
      </c>
      <c r="AK55" s="29">
        <v>278.43</v>
      </c>
      <c r="AL55" s="29">
        <v>8.44</v>
      </c>
      <c r="AM55" s="29">
        <v>8.13</v>
      </c>
      <c r="AN55" s="29">
        <v>7.96</v>
      </c>
      <c r="AO55" s="29">
        <v>8.04</v>
      </c>
      <c r="AP55" s="29">
        <v>7.47</v>
      </c>
      <c r="AQ55" s="29">
        <v>154.8</v>
      </c>
      <c r="AR55" s="29">
        <v>170.55</v>
      </c>
      <c r="BH55" s="29">
        <v>1316.63</v>
      </c>
      <c r="BI55" s="29">
        <v>68.65</v>
      </c>
      <c r="BK55" s="29">
        <v>225.25</v>
      </c>
      <c r="BL55" s="29">
        <v>202.45</v>
      </c>
      <c r="BM55" s="29">
        <v>211.85</v>
      </c>
      <c r="BN55" s="29">
        <v>193.16</v>
      </c>
      <c r="BO55" s="29">
        <v>130.13</v>
      </c>
      <c r="BQ55" s="29">
        <v>122.59</v>
      </c>
      <c r="BX55" s="29">
        <v>40.0</v>
      </c>
      <c r="BY55" s="29">
        <v>52.0</v>
      </c>
      <c r="BZ55" s="29">
        <v>37.5</v>
      </c>
      <c r="CA55" s="29">
        <v>44.8</v>
      </c>
      <c r="CB55" s="29">
        <v>41.6</v>
      </c>
      <c r="CC55" s="29">
        <v>38.4</v>
      </c>
      <c r="CD55" s="29">
        <v>46.63</v>
      </c>
      <c r="CE55" s="29">
        <v>55.37</v>
      </c>
      <c r="CI55" s="29">
        <v>8793.0</v>
      </c>
      <c r="CJ55" s="27" t="inlineStr">
        <is>
          <t xml:space="preserve">set/25</t>
        </is>
      </c>
    </row>
    <row r="56">
      <c r="A56" s="28">
        <v>45882</v>
      </c>
      <c r="B56" s="29">
        <v>1453.33</v>
      </c>
      <c r="C56" s="29">
        <v>2872.47</v>
      </c>
      <c r="D56" s="29">
        <v>7.37</v>
      </c>
      <c r="E56" s="29">
        <v>8.57</v>
      </c>
      <c r="F56" s="29">
        <v>1877.86</v>
      </c>
      <c r="G56" s="29">
        <v>1163.3</v>
      </c>
      <c r="H56" s="29">
        <v>383.0</v>
      </c>
      <c r="I56" s="27" t="inlineStr">
        <is>
          <t xml:space="preserve">dez/25</t>
        </is>
      </c>
      <c r="J56" s="29">
        <v>136687.32</v>
      </c>
      <c r="K56" s="30">
        <v>5426.5</v>
      </c>
      <c r="L56" s="27" t="inlineStr">
        <is>
          <t xml:space="preserve">set/25</t>
        </is>
      </c>
      <c r="M56" s="29">
        <v>320.9</v>
      </c>
      <c r="N56" s="27" t="inlineStr">
        <is>
          <t xml:space="preserve">set/25</t>
        </is>
      </c>
      <c r="O56" s="29">
        <v>64.84</v>
      </c>
      <c r="P56" s="27" t="inlineStr">
        <is>
          <t xml:space="preserve">set/25</t>
        </is>
      </c>
      <c r="Q56" s="29">
        <v>23.02</v>
      </c>
      <c r="R56" s="27" t="inlineStr">
        <is>
          <t xml:space="preserve">nov/25</t>
        </is>
      </c>
      <c r="S56" s="30">
        <v>10.24</v>
      </c>
      <c r="T56" s="27" t="inlineStr">
        <is>
          <t xml:space="preserve">set/25</t>
        </is>
      </c>
      <c r="U56" s="30">
        <v>3.74</v>
      </c>
      <c r="V56" s="27" t="inlineStr">
        <is>
          <t xml:space="preserve">set/25</t>
        </is>
      </c>
      <c r="W56" s="29">
        <v>287.0</v>
      </c>
      <c r="X56" s="27" t="inlineStr">
        <is>
          <t xml:space="preserve">set/25</t>
        </is>
      </c>
      <c r="Y56" s="30">
        <v>0.5339</v>
      </c>
      <c r="Z56" s="27" t="inlineStr">
        <is>
          <t xml:space="preserve">set/25</t>
        </is>
      </c>
      <c r="AA56" s="29">
        <v>399.67</v>
      </c>
      <c r="AB56" s="29">
        <v>119.85</v>
      </c>
      <c r="AL56" s="29">
        <v>8.45</v>
      </c>
      <c r="AM56" s="29">
        <v>8.16</v>
      </c>
      <c r="AN56" s="29">
        <v>7.96</v>
      </c>
      <c r="AO56" s="29">
        <v>8.06</v>
      </c>
      <c r="AP56" s="29">
        <v>7.46</v>
      </c>
      <c r="AQ56" s="29">
        <v>154.8</v>
      </c>
      <c r="AR56" s="29">
        <v>170.55</v>
      </c>
      <c r="BH56" s="29">
        <v>1287.31</v>
      </c>
      <c r="BI56" s="29">
        <v>68.64</v>
      </c>
      <c r="BK56" s="29">
        <v>230.25</v>
      </c>
      <c r="BL56" s="29">
        <v>199.92</v>
      </c>
      <c r="BM56" s="29">
        <v>210.69</v>
      </c>
      <c r="BN56" s="29">
        <v>186.36</v>
      </c>
      <c r="BO56" s="29">
        <v>128.12</v>
      </c>
      <c r="BQ56" s="29">
        <v>123.04</v>
      </c>
      <c r="BR56" s="29">
        <v>129.25</v>
      </c>
      <c r="BX56" s="29">
        <v>40.0</v>
      </c>
      <c r="BY56" s="29">
        <v>52.0</v>
      </c>
      <c r="BZ56" s="29">
        <v>37.5</v>
      </c>
      <c r="CA56" s="29">
        <v>43.6</v>
      </c>
      <c r="CB56" s="29">
        <v>41.6</v>
      </c>
      <c r="CC56" s="29">
        <v>38.4</v>
      </c>
      <c r="CD56" s="29">
        <v>46.48</v>
      </c>
      <c r="CE56" s="29">
        <v>56.2</v>
      </c>
      <c r="CI56" s="29">
        <v>8566.0</v>
      </c>
      <c r="CJ56" s="27" t="inlineStr">
        <is>
          <t xml:space="preserve">set/25</t>
        </is>
      </c>
    </row>
    <row r="57">
      <c r="A57" s="28">
        <v>45883</v>
      </c>
      <c r="B57" s="29">
        <v>1426.13</v>
      </c>
      <c r="C57" s="29">
        <v>2878.24</v>
      </c>
      <c r="D57" s="29">
        <v>7.37</v>
      </c>
      <c r="E57" s="29">
        <v>8.57</v>
      </c>
      <c r="F57" s="29">
        <v>1893.31</v>
      </c>
      <c r="G57" s="29">
        <v>1179.05</v>
      </c>
      <c r="H57" s="29">
        <v>390.0</v>
      </c>
      <c r="I57" s="27" t="inlineStr">
        <is>
          <t xml:space="preserve">dez/25</t>
        </is>
      </c>
      <c r="J57" s="29">
        <v>136355.78</v>
      </c>
      <c r="K57" s="30">
        <v>5435.0</v>
      </c>
      <c r="L57" s="27" t="inlineStr">
        <is>
          <t xml:space="preserve">set/25</t>
        </is>
      </c>
      <c r="M57" s="29">
        <v>318.5</v>
      </c>
      <c r="N57" s="27" t="inlineStr">
        <is>
          <t xml:space="preserve">set/25</t>
        </is>
      </c>
      <c r="O57" s="29">
        <v>64.54</v>
      </c>
      <c r="P57" s="27" t="inlineStr">
        <is>
          <t xml:space="preserve">set/25</t>
        </is>
      </c>
      <c r="Q57" s="29">
        <v>22.76</v>
      </c>
      <c r="R57" s="27" t="inlineStr">
        <is>
          <t xml:space="preserve">nov/25</t>
        </is>
      </c>
      <c r="S57" s="30">
        <v>10.075</v>
      </c>
      <c r="T57" s="27" t="inlineStr">
        <is>
          <t xml:space="preserve">set/25</t>
        </is>
      </c>
      <c r="U57" s="30">
        <v>3.75</v>
      </c>
      <c r="V57" s="27" t="inlineStr">
        <is>
          <t xml:space="preserve">set/25</t>
        </is>
      </c>
      <c r="W57" s="29">
        <v>284.3</v>
      </c>
      <c r="X57" s="27" t="inlineStr">
        <is>
          <t xml:space="preserve">set/25</t>
        </is>
      </c>
      <c r="Y57" s="30">
        <v>0.5199</v>
      </c>
      <c r="Z57" s="27" t="inlineStr">
        <is>
          <t xml:space="preserve">set/25</t>
        </is>
      </c>
      <c r="AA57" s="29">
        <v>398.92</v>
      </c>
      <c r="AB57" s="29">
        <v>119.65</v>
      </c>
      <c r="AC57" s="29">
        <v>308.53</v>
      </c>
      <c r="AD57" s="29">
        <v>312.42</v>
      </c>
      <c r="AE57" s="29">
        <v>296.32</v>
      </c>
      <c r="AF57" s="29">
        <v>287.97</v>
      </c>
      <c r="AG57" s="29">
        <v>298.89</v>
      </c>
      <c r="AH57" s="29">
        <v>287.48</v>
      </c>
      <c r="AI57" s="29">
        <v>306.06</v>
      </c>
      <c r="AJ57" s="29">
        <v>275.25</v>
      </c>
      <c r="AK57" s="29">
        <v>272.06</v>
      </c>
      <c r="AL57" s="29">
        <v>8.45</v>
      </c>
      <c r="AM57" s="29">
        <v>8.17</v>
      </c>
      <c r="AN57" s="29">
        <v>7.96</v>
      </c>
      <c r="AO57" s="29">
        <v>8.08</v>
      </c>
      <c r="AP57" s="29">
        <v>7.46</v>
      </c>
      <c r="AQ57" s="29">
        <v>154.77</v>
      </c>
      <c r="AR57" s="29">
        <v>170.05</v>
      </c>
      <c r="BH57" s="29">
        <v>1287.31</v>
      </c>
      <c r="BI57" s="29">
        <v>68.56</v>
      </c>
      <c r="BK57" s="29">
        <v>230.81</v>
      </c>
      <c r="BL57" s="29">
        <v>198.89</v>
      </c>
      <c r="BM57" s="29">
        <v>211.42</v>
      </c>
      <c r="BN57" s="29">
        <v>185.5</v>
      </c>
      <c r="BO57" s="29">
        <v>126.44</v>
      </c>
      <c r="BQ57" s="29">
        <v>121.82</v>
      </c>
      <c r="BR57" s="29">
        <v>129.25</v>
      </c>
      <c r="BX57" s="29">
        <v>40.0</v>
      </c>
      <c r="BY57" s="29">
        <v>52.0</v>
      </c>
      <c r="BZ57" s="29">
        <v>37.5</v>
      </c>
      <c r="CA57" s="29">
        <v>43.6</v>
      </c>
      <c r="CB57" s="29">
        <v>41.6</v>
      </c>
      <c r="CC57" s="29">
        <v>38.4</v>
      </c>
      <c r="CD57" s="29">
        <v>47.16</v>
      </c>
      <c r="CE57" s="29">
        <v>56.2</v>
      </c>
      <c r="CI57" s="29">
        <v>8225.0</v>
      </c>
      <c r="CJ57" s="27" t="inlineStr">
        <is>
          <t xml:space="preserve">set/25</t>
        </is>
      </c>
    </row>
    <row r="58">
      <c r="A58" s="28">
        <v>45884</v>
      </c>
      <c r="B58" s="29">
        <v>1422.97</v>
      </c>
      <c r="C58" s="29">
        <v>2878.17</v>
      </c>
      <c r="D58" s="29">
        <v>7.38</v>
      </c>
      <c r="E58" s="29">
        <v>8.82</v>
      </c>
      <c r="F58" s="29">
        <v>1942.14</v>
      </c>
      <c r="G58" s="29">
        <v>1231.19</v>
      </c>
      <c r="H58" s="29">
        <v>410.95</v>
      </c>
      <c r="I58" s="27" t="inlineStr">
        <is>
          <t xml:space="preserve">dez/25</t>
        </is>
      </c>
      <c r="J58" s="29">
        <v>136340.77</v>
      </c>
      <c r="K58" s="30">
        <v>5421.0</v>
      </c>
      <c r="L58" s="27" t="inlineStr">
        <is>
          <t xml:space="preserve">set/25</t>
        </is>
      </c>
      <c r="M58" s="29">
        <v>317.05</v>
      </c>
      <c r="N58" s="27" t="inlineStr">
        <is>
          <t xml:space="preserve">set/25</t>
        </is>
      </c>
      <c r="O58" s="29">
        <v>64.81</v>
      </c>
      <c r="P58" s="27" t="inlineStr">
        <is>
          <t xml:space="preserve">set/25</t>
        </is>
      </c>
      <c r="Q58" s="29">
        <v>22.96</v>
      </c>
      <c r="R58" s="27" t="inlineStr">
        <is>
          <t xml:space="preserve">nov/25</t>
        </is>
      </c>
      <c r="S58" s="30">
        <v>10.2225</v>
      </c>
      <c r="T58" s="27" t="inlineStr">
        <is>
          <t xml:space="preserve">set/25</t>
        </is>
      </c>
      <c r="U58" s="30">
        <v>3.8375</v>
      </c>
      <c r="V58" s="27" t="inlineStr">
        <is>
          <t xml:space="preserve">set/25</t>
        </is>
      </c>
      <c r="W58" s="29">
        <v>283.4</v>
      </c>
      <c r="X58" s="27" t="inlineStr">
        <is>
          <t xml:space="preserve">set/25</t>
        </is>
      </c>
      <c r="Y58" s="30">
        <v>0.5318</v>
      </c>
      <c r="Z58" s="27" t="inlineStr">
        <is>
          <t xml:space="preserve">set/25</t>
        </is>
      </c>
      <c r="AA58" s="29">
        <v>401.4</v>
      </c>
      <c r="AB58" s="29">
        <v>121.18</v>
      </c>
      <c r="AC58" s="29">
        <v>308.98</v>
      </c>
      <c r="AD58" s="29">
        <v>312.14</v>
      </c>
      <c r="AE58" s="29">
        <v>300.26</v>
      </c>
      <c r="AF58" s="29">
        <v>287.2</v>
      </c>
      <c r="AG58" s="29">
        <v>299.08</v>
      </c>
      <c r="AH58" s="29">
        <v>294.57</v>
      </c>
      <c r="AI58" s="29">
        <v>305.18</v>
      </c>
      <c r="AJ58" s="29">
        <v>275.04</v>
      </c>
      <c r="AK58" s="29">
        <v>280.9</v>
      </c>
      <c r="AL58" s="29">
        <v>8.6</v>
      </c>
      <c r="AM58" s="29">
        <v>8.19</v>
      </c>
      <c r="AN58" s="29">
        <v>8.01</v>
      </c>
      <c r="AO58" s="29">
        <v>8.11</v>
      </c>
      <c r="AP58" s="29">
        <v>7.4</v>
      </c>
      <c r="AQ58" s="29">
        <v>154.87</v>
      </c>
      <c r="AR58" s="29">
        <v>170.05</v>
      </c>
      <c r="BC58" s="29">
        <v>7.91</v>
      </c>
      <c r="BD58" s="29">
        <v>8.3</v>
      </c>
      <c r="BE58" s="29">
        <v>8.47</v>
      </c>
      <c r="BF58" s="29">
        <v>7.12</v>
      </c>
      <c r="BG58" s="29">
        <v>8.1</v>
      </c>
      <c r="BH58" s="29">
        <v>1284.48</v>
      </c>
      <c r="BI58" s="29">
        <v>68.75</v>
      </c>
      <c r="BK58" s="29">
        <v>231.29</v>
      </c>
      <c r="BL58" s="29">
        <v>199.53</v>
      </c>
      <c r="BM58" s="29">
        <v>211.07</v>
      </c>
      <c r="BN58" s="29">
        <v>186.11</v>
      </c>
      <c r="BO58" s="29">
        <v>126.44</v>
      </c>
      <c r="BQ58" s="29">
        <v>122.37</v>
      </c>
      <c r="BR58" s="29">
        <v>129.25</v>
      </c>
      <c r="BS58" s="30">
        <v>2.6551</v>
      </c>
      <c r="BT58" s="30">
        <v>3.0884</v>
      </c>
      <c r="BU58" s="29">
        <v>468.01</v>
      </c>
      <c r="BV58" s="29">
        <v>388.05</v>
      </c>
      <c r="BW58" s="29">
        <v>443.29</v>
      </c>
      <c r="BX58" s="29">
        <v>40.0</v>
      </c>
      <c r="BY58" s="29">
        <v>52.0</v>
      </c>
      <c r="BZ58" s="29">
        <v>37.5</v>
      </c>
      <c r="CA58" s="29">
        <v>43.6</v>
      </c>
      <c r="CB58" s="29">
        <v>41.6</v>
      </c>
      <c r="CC58" s="29">
        <v>38.4</v>
      </c>
      <c r="CD58" s="29">
        <v>47.16</v>
      </c>
      <c r="CE58" s="29">
        <v>57.29</v>
      </c>
      <c r="CI58" s="29">
        <v>8235.0</v>
      </c>
      <c r="CJ58" s="27" t="inlineStr">
        <is>
          <t xml:space="preserve">set/25</t>
        </is>
      </c>
    </row>
    <row r="59">
      <c r="A59" s="28">
        <v>45887</v>
      </c>
      <c r="B59" s="29">
        <v>1425.46</v>
      </c>
      <c r="C59" s="29">
        <v>2902.84</v>
      </c>
      <c r="D59" s="29">
        <v>7.35</v>
      </c>
      <c r="E59" s="29">
        <v>8.94</v>
      </c>
      <c r="F59" s="29">
        <v>1972.55</v>
      </c>
      <c r="G59" s="29">
        <v>1231.4</v>
      </c>
      <c r="H59" s="29">
        <v>413.5</v>
      </c>
      <c r="I59" s="27" t="inlineStr">
        <is>
          <t xml:space="preserve">dez/25</t>
        </is>
      </c>
      <c r="J59" s="29">
        <v>137321.64</v>
      </c>
      <c r="K59" s="30">
        <v>5454.5</v>
      </c>
      <c r="L59" s="27" t="inlineStr">
        <is>
          <t xml:space="preserve">set/25</t>
        </is>
      </c>
      <c r="M59" s="29">
        <v>316.3</v>
      </c>
      <c r="N59" s="27" t="inlineStr">
        <is>
          <t xml:space="preserve">set/25</t>
        </is>
      </c>
      <c r="O59" s="29">
        <v>65.9</v>
      </c>
      <c r="P59" s="27" t="inlineStr">
        <is>
          <t xml:space="preserve">set/25</t>
        </is>
      </c>
      <c r="Q59" s="29">
        <v>22.98</v>
      </c>
      <c r="R59" s="27" t="inlineStr">
        <is>
          <t xml:space="preserve">nov/25</t>
        </is>
      </c>
      <c r="S59" s="30">
        <v>10.2075</v>
      </c>
      <c r="T59" s="27" t="inlineStr">
        <is>
          <t xml:space="preserve">set/25</t>
        </is>
      </c>
      <c r="U59" s="30">
        <v>3.83</v>
      </c>
      <c r="V59" s="27" t="inlineStr">
        <is>
          <t xml:space="preserve">set/25</t>
        </is>
      </c>
      <c r="W59" s="29">
        <v>280.4</v>
      </c>
      <c r="X59" s="27" t="inlineStr">
        <is>
          <t xml:space="preserve">set/25</t>
        </is>
      </c>
      <c r="Y59" s="30">
        <v>0.5327</v>
      </c>
      <c r="Z59" s="27" t="inlineStr">
        <is>
          <t xml:space="preserve">set/25</t>
        </is>
      </c>
      <c r="AA59" s="29">
        <v>397.76</v>
      </c>
      <c r="AB59" s="29">
        <v>121.11</v>
      </c>
      <c r="AC59" s="29">
        <v>308.78</v>
      </c>
      <c r="AD59" s="29">
        <v>312.06</v>
      </c>
      <c r="AE59" s="29">
        <v>300.01</v>
      </c>
      <c r="AF59" s="29">
        <v>286.67</v>
      </c>
      <c r="AG59" s="29">
        <v>297.83</v>
      </c>
      <c r="AH59" s="29">
        <v>295.08</v>
      </c>
      <c r="AI59" s="29">
        <v>305.26</v>
      </c>
      <c r="AJ59" s="29">
        <v>275.19</v>
      </c>
      <c r="AK59" s="29">
        <v>282.15</v>
      </c>
      <c r="AL59" s="29">
        <v>8.77</v>
      </c>
      <c r="AM59" s="29">
        <v>8.35</v>
      </c>
      <c r="AN59" s="29">
        <v>8.11</v>
      </c>
      <c r="AO59" s="29">
        <v>8.22</v>
      </c>
      <c r="AP59" s="29">
        <v>7.36</v>
      </c>
      <c r="AQ59" s="29">
        <v>154.97</v>
      </c>
      <c r="AR59" s="29">
        <v>170.05</v>
      </c>
      <c r="BH59" s="29">
        <v>1287.86</v>
      </c>
      <c r="BI59" s="29">
        <v>68.62</v>
      </c>
      <c r="BK59" s="29">
        <v>232.0</v>
      </c>
      <c r="BL59" s="29">
        <v>202.03</v>
      </c>
      <c r="BM59" s="29">
        <v>212.34</v>
      </c>
      <c r="BN59" s="29">
        <v>187.5</v>
      </c>
      <c r="BO59" s="29">
        <v>128.49</v>
      </c>
      <c r="BQ59" s="29">
        <v>119.49</v>
      </c>
      <c r="BR59" s="29">
        <v>122.83</v>
      </c>
      <c r="BX59" s="29">
        <v>40.0</v>
      </c>
      <c r="BY59" s="29">
        <v>52.0</v>
      </c>
      <c r="BZ59" s="29">
        <v>39.0</v>
      </c>
      <c r="CA59" s="29">
        <v>43.6</v>
      </c>
      <c r="CB59" s="29">
        <v>40.8</v>
      </c>
      <c r="CC59" s="29">
        <v>40.0</v>
      </c>
      <c r="CD59" s="29">
        <v>47.16</v>
      </c>
      <c r="CE59" s="29">
        <v>56.88</v>
      </c>
      <c r="CI59" s="29">
        <v>8047.0</v>
      </c>
      <c r="CJ59" s="27" t="inlineStr">
        <is>
          <t xml:space="preserve">set/25</t>
        </is>
      </c>
    </row>
    <row r="60">
      <c r="A60" s="28">
        <v>45888</v>
      </c>
      <c r="B60" s="29">
        <v>1422.16</v>
      </c>
      <c r="C60" s="29">
        <v>2890.64</v>
      </c>
      <c r="D60" s="29">
        <v>7.33</v>
      </c>
      <c r="E60" s="29">
        <v>9.0</v>
      </c>
      <c r="F60" s="29">
        <v>2031.55</v>
      </c>
      <c r="G60" s="29">
        <v>1299.95</v>
      </c>
      <c r="H60" s="29">
        <v>429.75</v>
      </c>
      <c r="I60" s="27" t="inlineStr">
        <is>
          <t xml:space="preserve">dez/25</t>
        </is>
      </c>
      <c r="J60" s="29">
        <v>134432.26</v>
      </c>
      <c r="K60" s="30">
        <v>5508.5</v>
      </c>
      <c r="L60" s="27" t="inlineStr">
        <is>
          <t xml:space="preserve">set/25</t>
        </is>
      </c>
      <c r="M60" s="29">
        <v>319.75</v>
      </c>
      <c r="N60" s="27" t="inlineStr">
        <is>
          <t xml:space="preserve">set/25</t>
        </is>
      </c>
      <c r="O60" s="29">
        <v>66.21</v>
      </c>
      <c r="P60" s="27" t="inlineStr">
        <is>
          <t xml:space="preserve">set/25</t>
        </is>
      </c>
      <c r="Q60" s="29">
        <v>22.79</v>
      </c>
      <c r="R60" s="27" t="inlineStr">
        <is>
          <t xml:space="preserve">nov/25</t>
        </is>
      </c>
      <c r="S60" s="30">
        <v>10.13</v>
      </c>
      <c r="T60" s="27" t="inlineStr">
        <is>
          <t xml:space="preserve">set/25</t>
        </is>
      </c>
      <c r="U60" s="30">
        <v>3.795</v>
      </c>
      <c r="V60" s="27" t="inlineStr">
        <is>
          <t xml:space="preserve">set/25</t>
        </is>
      </c>
      <c r="W60" s="29">
        <v>287.4</v>
      </c>
      <c r="X60" s="27" t="inlineStr">
        <is>
          <t xml:space="preserve">set/25</t>
        </is>
      </c>
      <c r="Y60" s="30">
        <v>0.5168</v>
      </c>
      <c r="Z60" s="27" t="inlineStr">
        <is>
          <t xml:space="preserve">set/25</t>
        </is>
      </c>
      <c r="AA60" s="29">
        <v>399.8</v>
      </c>
      <c r="AB60" s="29">
        <v>120.49</v>
      </c>
      <c r="AC60" s="29">
        <v>311.11</v>
      </c>
      <c r="AD60" s="29">
        <v>312.16</v>
      </c>
      <c r="AE60" s="29">
        <v>299.9</v>
      </c>
      <c r="AF60" s="29">
        <v>288.71</v>
      </c>
      <c r="AG60" s="29">
        <v>298.91</v>
      </c>
      <c r="AH60" s="29">
        <v>293.22</v>
      </c>
      <c r="AI60" s="29">
        <v>305.66</v>
      </c>
      <c r="AJ60" s="29">
        <v>278.25</v>
      </c>
      <c r="AK60" s="29">
        <v>284.73</v>
      </c>
      <c r="AL60" s="29">
        <v>8.83</v>
      </c>
      <c r="AM60" s="29">
        <v>8.49</v>
      </c>
      <c r="AN60" s="29">
        <v>8.24</v>
      </c>
      <c r="AO60" s="29">
        <v>8.37</v>
      </c>
      <c r="AP60" s="29">
        <v>7.34</v>
      </c>
      <c r="AQ60" s="29">
        <v>155.03</v>
      </c>
      <c r="AR60" s="29">
        <v>170.16</v>
      </c>
      <c r="BH60" s="29">
        <v>1283.59</v>
      </c>
      <c r="BI60" s="29">
        <v>67.96</v>
      </c>
      <c r="BJ60" s="29">
        <v>249.49</v>
      </c>
      <c r="BK60" s="29">
        <v>236.79</v>
      </c>
      <c r="BL60" s="29">
        <v>203.46</v>
      </c>
      <c r="BM60" s="29">
        <v>215.56</v>
      </c>
      <c r="BN60" s="29">
        <v>190.81</v>
      </c>
      <c r="BO60" s="29">
        <v>125.79</v>
      </c>
      <c r="BQ60" s="29">
        <v>118.31</v>
      </c>
      <c r="BX60" s="29">
        <v>40.0</v>
      </c>
      <c r="BY60" s="29">
        <v>52.0</v>
      </c>
      <c r="BZ60" s="29">
        <v>39.0</v>
      </c>
      <c r="CA60" s="29">
        <v>43.6</v>
      </c>
      <c r="CB60" s="29">
        <v>40.8</v>
      </c>
      <c r="CC60" s="29">
        <v>40.0</v>
      </c>
      <c r="CD60" s="29">
        <v>47.39</v>
      </c>
      <c r="CE60" s="29">
        <v>56.58</v>
      </c>
      <c r="CI60" s="29">
        <v>8012.0</v>
      </c>
      <c r="CJ60" s="27" t="inlineStr">
        <is>
          <t xml:space="preserve">set/25</t>
        </is>
      </c>
    </row>
    <row r="61">
      <c r="A61" s="28">
        <v>45889</v>
      </c>
      <c r="B61" s="29">
        <v>1420.97</v>
      </c>
      <c r="C61" s="29">
        <v>2874.39</v>
      </c>
      <c r="D61" s="29">
        <v>7.27</v>
      </c>
      <c r="E61" s="29">
        <v>9.0</v>
      </c>
      <c r="F61" s="29">
        <v>2134.15</v>
      </c>
      <c r="G61" s="29">
        <v>1383.84</v>
      </c>
      <c r="H61" s="29">
        <v>436.4</v>
      </c>
      <c r="I61" s="27" t="inlineStr">
        <is>
          <t xml:space="preserve">dez/25</t>
        </is>
      </c>
      <c r="J61" s="29">
        <v>134666.46</v>
      </c>
      <c r="K61" s="30">
        <v>5486.5</v>
      </c>
      <c r="L61" s="27" t="inlineStr">
        <is>
          <t xml:space="preserve">set/25</t>
        </is>
      </c>
      <c r="M61" s="29">
        <v>320.55</v>
      </c>
      <c r="N61" s="27" t="inlineStr">
        <is>
          <t xml:space="preserve">set/25</t>
        </is>
      </c>
      <c r="O61" s="29">
        <v>65.25</v>
      </c>
      <c r="P61" s="27" t="inlineStr">
        <is>
          <t xml:space="preserve">set/25</t>
        </is>
      </c>
      <c r="Q61" s="29">
        <v>22.8</v>
      </c>
      <c r="R61" s="27" t="inlineStr">
        <is>
          <t xml:space="preserve">nov/25</t>
        </is>
      </c>
      <c r="S61" s="30">
        <v>10.15</v>
      </c>
      <c r="T61" s="27" t="inlineStr">
        <is>
          <t xml:space="preserve">set/25</t>
        </is>
      </c>
      <c r="U61" s="30">
        <v>3.8</v>
      </c>
      <c r="V61" s="27" t="inlineStr">
        <is>
          <t xml:space="preserve">set/25</t>
        </is>
      </c>
      <c r="W61" s="29">
        <v>292.0</v>
      </c>
      <c r="X61" s="27" t="inlineStr">
        <is>
          <t xml:space="preserve">set/25</t>
        </is>
      </c>
      <c r="Y61" s="30">
        <v>0.512</v>
      </c>
      <c r="Z61" s="27" t="inlineStr">
        <is>
          <t xml:space="preserve">set/25</t>
        </is>
      </c>
      <c r="AA61" s="29">
        <v>393.22</v>
      </c>
      <c r="AB61" s="29">
        <v>119.34</v>
      </c>
      <c r="AC61" s="29">
        <v>311.21</v>
      </c>
      <c r="AD61" s="29">
        <v>311.97</v>
      </c>
      <c r="AE61" s="29">
        <v>299.2</v>
      </c>
      <c r="AF61" s="29">
        <v>290.32</v>
      </c>
      <c r="AG61" s="29">
        <v>298.77</v>
      </c>
      <c r="AH61" s="29">
        <v>290.25</v>
      </c>
      <c r="AI61" s="29">
        <v>305.53</v>
      </c>
      <c r="AJ61" s="29">
        <v>278.2</v>
      </c>
      <c r="AK61" s="29">
        <v>285.06</v>
      </c>
      <c r="AL61" s="29">
        <v>8.83</v>
      </c>
      <c r="AM61" s="29">
        <v>8.49</v>
      </c>
      <c r="AN61" s="29">
        <v>8.31</v>
      </c>
      <c r="AO61" s="29">
        <v>8.37</v>
      </c>
      <c r="AP61" s="29">
        <v>7.27</v>
      </c>
      <c r="AQ61" s="29">
        <v>154.71</v>
      </c>
      <c r="AR61" s="29">
        <v>170.16</v>
      </c>
      <c r="BH61" s="29">
        <v>1284.87</v>
      </c>
      <c r="BI61" s="29">
        <v>67.9</v>
      </c>
      <c r="BJ61" s="29">
        <v>249.49</v>
      </c>
      <c r="BK61" s="29">
        <v>238.68</v>
      </c>
      <c r="BL61" s="29">
        <v>206.19</v>
      </c>
      <c r="BM61" s="29">
        <v>215.42</v>
      </c>
      <c r="BN61" s="29">
        <v>193.69</v>
      </c>
      <c r="BO61" s="29">
        <v>125.12</v>
      </c>
      <c r="BQ61" s="29">
        <v>117.41</v>
      </c>
      <c r="BX61" s="29">
        <v>41.0</v>
      </c>
      <c r="BY61" s="29">
        <v>52.0</v>
      </c>
      <c r="BZ61" s="29">
        <v>39.0</v>
      </c>
      <c r="CA61" s="29">
        <v>43.6</v>
      </c>
      <c r="CD61" s="29">
        <v>47.4</v>
      </c>
      <c r="CE61" s="29">
        <v>57.4</v>
      </c>
      <c r="CI61" s="29">
        <v>7675.0</v>
      </c>
      <c r="CJ61" s="27" t="inlineStr">
        <is>
          <t xml:space="preserve">set/25</t>
        </is>
      </c>
    </row>
    <row r="62">
      <c r="A62" s="28">
        <v>45890</v>
      </c>
      <c r="B62" s="29">
        <v>1419.57</v>
      </c>
      <c r="C62" s="29">
        <v>2869.68</v>
      </c>
      <c r="D62" s="29">
        <v>7.27</v>
      </c>
      <c r="E62" s="29">
        <v>9.0</v>
      </c>
      <c r="F62" s="29">
        <v>2181.57</v>
      </c>
      <c r="G62" s="29">
        <v>1424.45</v>
      </c>
      <c r="H62" s="29">
        <v>446.5</v>
      </c>
      <c r="I62" s="27" t="inlineStr">
        <is>
          <t xml:space="preserve">dez/25</t>
        </is>
      </c>
      <c r="J62" s="29">
        <v>134510.85</v>
      </c>
      <c r="K62" s="30">
        <v>5489.5</v>
      </c>
      <c r="L62" s="27" t="inlineStr">
        <is>
          <t xml:space="preserve">set/25</t>
        </is>
      </c>
      <c r="M62" s="29">
        <v>317.5</v>
      </c>
      <c r="N62" s="27" t="inlineStr">
        <is>
          <t xml:space="preserve">set/25</t>
        </is>
      </c>
      <c r="O62" s="29">
        <v>66.33</v>
      </c>
      <c r="P62" s="27" t="inlineStr">
        <is>
          <t xml:space="preserve">set/25</t>
        </is>
      </c>
      <c r="Q62" s="29">
        <v>23.27</v>
      </c>
      <c r="R62" s="27" t="inlineStr">
        <is>
          <t xml:space="preserve">nov/25</t>
        </is>
      </c>
      <c r="S62" s="30">
        <v>10.345</v>
      </c>
      <c r="T62" s="27" t="inlineStr">
        <is>
          <t xml:space="preserve">set/25</t>
        </is>
      </c>
      <c r="U62" s="30">
        <v>3.8725</v>
      </c>
      <c r="V62" s="27" t="inlineStr">
        <is>
          <t xml:space="preserve">set/25</t>
        </is>
      </c>
      <c r="W62" s="29">
        <v>296.8</v>
      </c>
      <c r="X62" s="27" t="inlineStr">
        <is>
          <t xml:space="preserve">set/25</t>
        </is>
      </c>
      <c r="Y62" s="30">
        <v>0.5364</v>
      </c>
      <c r="Z62" s="27" t="inlineStr">
        <is>
          <t xml:space="preserve">set/25</t>
        </is>
      </c>
      <c r="AA62" s="29">
        <v>392.43</v>
      </c>
      <c r="AB62" s="29">
        <v>120.21</v>
      </c>
      <c r="AL62" s="29">
        <v>8.83</v>
      </c>
      <c r="AM62" s="29">
        <v>8.52</v>
      </c>
      <c r="AN62" s="29">
        <v>8.31</v>
      </c>
      <c r="AO62" s="29">
        <v>8.38</v>
      </c>
      <c r="AP62" s="29">
        <v>7.27</v>
      </c>
      <c r="AQ62" s="29">
        <v>154.73</v>
      </c>
      <c r="AR62" s="29">
        <v>170.72</v>
      </c>
      <c r="BH62" s="29">
        <v>1283.02</v>
      </c>
      <c r="BI62" s="29">
        <v>67.89</v>
      </c>
      <c r="BJ62" s="29">
        <v>250.59</v>
      </c>
      <c r="BK62" s="29">
        <v>241.5</v>
      </c>
      <c r="BL62" s="29">
        <v>209.56</v>
      </c>
      <c r="BM62" s="29">
        <v>215.71</v>
      </c>
      <c r="BN62" s="29">
        <v>196.45</v>
      </c>
      <c r="BO62" s="29">
        <v>128.39</v>
      </c>
      <c r="BQ62" s="29">
        <v>117.3</v>
      </c>
      <c r="BX62" s="29">
        <v>41.0</v>
      </c>
      <c r="BY62" s="29">
        <v>52.0</v>
      </c>
      <c r="BZ62" s="29">
        <v>39.0</v>
      </c>
      <c r="CA62" s="29">
        <v>43.6</v>
      </c>
      <c r="CB62" s="29">
        <v>40.8</v>
      </c>
      <c r="CC62" s="29">
        <v>40.0</v>
      </c>
      <c r="CD62" s="29">
        <v>47.02</v>
      </c>
      <c r="CE62" s="29">
        <v>57.55</v>
      </c>
      <c r="CI62" s="29">
        <v>7435.0</v>
      </c>
      <c r="CJ62" s="27" t="inlineStr">
        <is>
          <t xml:space="preserve">set/25</t>
        </is>
      </c>
    </row>
    <row r="63">
      <c r="A63" s="28">
        <v>45891</v>
      </c>
      <c r="B63" s="29">
        <v>1419.96</v>
      </c>
      <c r="C63" s="29">
        <v>2868.11</v>
      </c>
      <c r="D63" s="29">
        <v>7.25</v>
      </c>
      <c r="E63" s="29">
        <v>9.17</v>
      </c>
      <c r="F63" s="29">
        <v>2228.39</v>
      </c>
      <c r="G63" s="29">
        <v>1452.77</v>
      </c>
      <c r="H63" s="29">
        <v>465.4</v>
      </c>
      <c r="I63" s="27" t="inlineStr">
        <is>
          <t xml:space="preserve">dez/25</t>
        </is>
      </c>
      <c r="J63" s="29">
        <v>137968.15</v>
      </c>
      <c r="K63" s="30">
        <v>5435.0</v>
      </c>
      <c r="L63" s="27" t="inlineStr">
        <is>
          <t xml:space="preserve">set/25</t>
        </is>
      </c>
      <c r="M63" s="29">
        <v>319.6</v>
      </c>
      <c r="N63" s="27" t="inlineStr">
        <is>
          <t xml:space="preserve">set/25</t>
        </is>
      </c>
      <c r="O63" s="29">
        <v>66.1</v>
      </c>
      <c r="P63" s="27" t="inlineStr">
        <is>
          <t xml:space="preserve">set/25</t>
        </is>
      </c>
      <c r="Q63" s="29">
        <v>23.31</v>
      </c>
      <c r="R63" s="27" t="inlineStr">
        <is>
          <t xml:space="preserve">nov/25</t>
        </is>
      </c>
      <c r="S63" s="30">
        <v>10.365</v>
      </c>
      <c r="T63" s="27" t="inlineStr">
        <is>
          <t xml:space="preserve">set/25</t>
        </is>
      </c>
      <c r="U63" s="30">
        <v>3.8825</v>
      </c>
      <c r="V63" s="27" t="inlineStr">
        <is>
          <t xml:space="preserve">set/25</t>
        </is>
      </c>
      <c r="W63" s="29">
        <v>296.7</v>
      </c>
      <c r="X63" s="27" t="inlineStr">
        <is>
          <t xml:space="preserve">set/25</t>
        </is>
      </c>
      <c r="Y63" s="30">
        <v>0.5484</v>
      </c>
      <c r="Z63" s="27" t="inlineStr">
        <is>
          <t xml:space="preserve">set/25</t>
        </is>
      </c>
      <c r="AA63" s="29">
        <v>394.07</v>
      </c>
      <c r="AB63" s="29">
        <v>120.42</v>
      </c>
      <c r="AC63" s="29">
        <v>310.09</v>
      </c>
      <c r="AD63" s="29">
        <v>311.97</v>
      </c>
      <c r="AE63" s="29">
        <v>301.64</v>
      </c>
      <c r="AF63" s="29">
        <v>289.8</v>
      </c>
      <c r="AG63" s="29">
        <v>298.45</v>
      </c>
      <c r="AH63" s="29">
        <v>289.4</v>
      </c>
      <c r="AI63" s="29">
        <v>305.89</v>
      </c>
      <c r="AJ63" s="29">
        <v>279.59</v>
      </c>
      <c r="AK63" s="29">
        <v>285.33</v>
      </c>
      <c r="AL63" s="29">
        <v>8.88</v>
      </c>
      <c r="AM63" s="29">
        <v>8.54</v>
      </c>
      <c r="AN63" s="29">
        <v>8.41</v>
      </c>
      <c r="AO63" s="29">
        <v>8.41</v>
      </c>
      <c r="AP63" s="29">
        <v>7.25</v>
      </c>
      <c r="AQ63" s="29">
        <v>149.07</v>
      </c>
      <c r="AR63" s="29">
        <v>163.81</v>
      </c>
      <c r="BC63" s="29">
        <v>7.89</v>
      </c>
      <c r="BD63" s="29">
        <v>8.29</v>
      </c>
      <c r="BE63" s="29">
        <v>8.44</v>
      </c>
      <c r="BF63" s="29">
        <v>7.11</v>
      </c>
      <c r="BG63" s="29">
        <v>8.06</v>
      </c>
      <c r="BH63" s="29">
        <v>1283.02</v>
      </c>
      <c r="BI63" s="29">
        <v>67.85</v>
      </c>
      <c r="BJ63" s="29">
        <v>250.59</v>
      </c>
      <c r="BK63" s="29">
        <v>244.18</v>
      </c>
      <c r="BL63" s="29">
        <v>208.88</v>
      </c>
      <c r="BM63" s="29">
        <v>218.25</v>
      </c>
      <c r="BN63" s="29">
        <v>195.22</v>
      </c>
      <c r="BO63" s="29">
        <v>130.6</v>
      </c>
      <c r="BQ63" s="29">
        <v>118.27</v>
      </c>
      <c r="BS63" s="30">
        <v>2.683</v>
      </c>
      <c r="BT63" s="30">
        <v>3.0848</v>
      </c>
      <c r="BU63" s="29">
        <v>466.45</v>
      </c>
      <c r="BV63" s="29">
        <v>391.35</v>
      </c>
      <c r="BW63" s="29">
        <v>439.57</v>
      </c>
      <c r="BX63" s="29">
        <v>42.0</v>
      </c>
      <c r="BY63" s="29">
        <v>52.0</v>
      </c>
      <c r="BZ63" s="29">
        <v>39.0</v>
      </c>
      <c r="CA63" s="29">
        <v>43.6</v>
      </c>
      <c r="CB63" s="29">
        <v>40.8</v>
      </c>
      <c r="CC63" s="29">
        <v>40.0</v>
      </c>
      <c r="CD63" s="29">
        <v>47.02</v>
      </c>
      <c r="CE63" s="29">
        <v>56.93</v>
      </c>
      <c r="CI63" s="29">
        <v>7582.0</v>
      </c>
      <c r="CJ63" s="27" t="inlineStr">
        <is>
          <t xml:space="preserve">set/25</t>
        </is>
      </c>
    </row>
    <row r="64">
      <c r="A64" s="28">
        <v>45894</v>
      </c>
      <c r="B64" s="29">
        <v>1416.56</v>
      </c>
      <c r="C64" s="29">
        <v>2850.34</v>
      </c>
      <c r="D64" s="29">
        <v>7.25</v>
      </c>
      <c r="E64" s="29">
        <v>9.25</v>
      </c>
      <c r="F64" s="29">
        <v>2287.56</v>
      </c>
      <c r="G64" s="29">
        <v>1469.43</v>
      </c>
      <c r="H64" s="29">
        <v>463.7</v>
      </c>
      <c r="I64" s="27" t="inlineStr">
        <is>
          <t xml:space="preserve">dez/25</t>
        </is>
      </c>
      <c r="J64" s="29">
        <v>138025.17</v>
      </c>
      <c r="K64" s="30">
        <v>5420.5</v>
      </c>
      <c r="L64" s="27" t="inlineStr">
        <is>
          <t xml:space="preserve">set/25</t>
        </is>
      </c>
      <c r="M64" s="29">
        <v>320.0</v>
      </c>
      <c r="N64" s="27" t="inlineStr">
        <is>
          <t xml:space="preserve">set/25</t>
        </is>
      </c>
      <c r="O64" s="29">
        <v>66.09</v>
      </c>
      <c r="P64" s="27" t="inlineStr">
        <is>
          <t xml:space="preserve">set/25</t>
        </is>
      </c>
      <c r="Q64" s="29">
        <v>23.08</v>
      </c>
      <c r="R64" s="27" t="inlineStr">
        <is>
          <t xml:space="preserve">nov/25</t>
        </is>
      </c>
      <c r="S64" s="30">
        <v>10.255</v>
      </c>
      <c r="T64" s="27" t="inlineStr">
        <is>
          <t xml:space="preserve">set/25</t>
        </is>
      </c>
      <c r="U64" s="30">
        <v>3.8925</v>
      </c>
      <c r="V64" s="27" t="inlineStr">
        <is>
          <t xml:space="preserve">set/25</t>
        </is>
      </c>
      <c r="W64" s="29">
        <v>295.7</v>
      </c>
      <c r="X64" s="27" t="inlineStr">
        <is>
          <t xml:space="preserve">set/25</t>
        </is>
      </c>
      <c r="Y64" s="30">
        <v>0.5431</v>
      </c>
      <c r="Z64" s="27" t="inlineStr">
        <is>
          <t xml:space="preserve">set/25</t>
        </is>
      </c>
      <c r="AA64" s="29">
        <v>390.62</v>
      </c>
      <c r="AB64" s="29">
        <v>119.54</v>
      </c>
      <c r="AC64" s="29">
        <v>309.86</v>
      </c>
      <c r="AD64" s="29">
        <v>312.28</v>
      </c>
      <c r="AE64" s="29">
        <v>300.01</v>
      </c>
      <c r="AF64" s="29">
        <v>288.29</v>
      </c>
      <c r="AG64" s="29">
        <v>297.46</v>
      </c>
      <c r="AH64" s="29">
        <v>291.2</v>
      </c>
      <c r="AI64" s="29">
        <v>308.01</v>
      </c>
      <c r="AJ64" s="29">
        <v>279.37</v>
      </c>
      <c r="AK64" s="29">
        <v>286.05</v>
      </c>
      <c r="AL64" s="29">
        <v>9.01</v>
      </c>
      <c r="AM64" s="29">
        <v>8.77</v>
      </c>
      <c r="AN64" s="29">
        <v>8.64</v>
      </c>
      <c r="AO64" s="29">
        <v>8.61</v>
      </c>
      <c r="AP64" s="29">
        <v>7.25</v>
      </c>
      <c r="AQ64" s="29">
        <v>148.97</v>
      </c>
      <c r="AR64" s="29">
        <v>164.18</v>
      </c>
      <c r="BH64" s="29">
        <v>1283.02</v>
      </c>
      <c r="BI64" s="29">
        <v>67.74</v>
      </c>
      <c r="BJ64" s="29">
        <v>254.96</v>
      </c>
      <c r="BK64" s="29">
        <v>245.25</v>
      </c>
      <c r="BL64" s="29">
        <v>208.58</v>
      </c>
      <c r="BM64" s="29">
        <v>217.47</v>
      </c>
      <c r="BN64" s="29">
        <v>195.5</v>
      </c>
      <c r="BO64" s="29">
        <v>130.07</v>
      </c>
      <c r="BQ64" s="29">
        <v>119.21</v>
      </c>
      <c r="BX64" s="29">
        <v>42.0</v>
      </c>
      <c r="BY64" s="29">
        <v>52.0</v>
      </c>
      <c r="BZ64" s="29">
        <v>39.0</v>
      </c>
      <c r="CA64" s="29">
        <v>43.6</v>
      </c>
      <c r="CB64" s="29">
        <v>40.8</v>
      </c>
      <c r="CC64" s="29">
        <v>40.0</v>
      </c>
      <c r="CD64" s="29">
        <v>47.52</v>
      </c>
      <c r="CE64" s="29">
        <v>57.49</v>
      </c>
      <c r="CI64" s="29">
        <v>7957.0</v>
      </c>
      <c r="CJ64" s="27" t="inlineStr">
        <is>
          <t xml:space="preserve">set/25</t>
        </is>
      </c>
    </row>
    <row r="65">
      <c r="A65" s="28">
        <v>45895</v>
      </c>
      <c r="B65" s="29">
        <v>1407.72</v>
      </c>
      <c r="C65" s="29">
        <v>2853.45</v>
      </c>
      <c r="D65" s="29">
        <v>7.22</v>
      </c>
      <c r="E65" s="29">
        <v>9.38</v>
      </c>
      <c r="F65" s="29">
        <v>2265.81</v>
      </c>
      <c r="G65" s="29">
        <v>1510.92</v>
      </c>
      <c r="H65" s="29">
        <v>458.0</v>
      </c>
      <c r="I65" s="27" t="inlineStr">
        <is>
          <t xml:space="preserve">dez/25</t>
        </is>
      </c>
      <c r="J65" s="29">
        <v>137771.39</v>
      </c>
      <c r="K65" s="30">
        <v>5437.0</v>
      </c>
      <c r="L65" s="27" t="inlineStr">
        <is>
          <t xml:space="preserve">set/25</t>
        </is>
      </c>
      <c r="M65" s="29">
        <v>319.15</v>
      </c>
      <c r="N65" s="27" t="inlineStr">
        <is>
          <t xml:space="preserve">set/25</t>
        </is>
      </c>
      <c r="O65" s="29">
        <v>66.12</v>
      </c>
      <c r="P65" s="27" t="inlineStr">
        <is>
          <t xml:space="preserve">set/25</t>
        </is>
      </c>
      <c r="Q65" s="29">
        <v>23.13</v>
      </c>
      <c r="R65" s="27" t="inlineStr">
        <is>
          <t xml:space="preserve">nov/25</t>
        </is>
      </c>
      <c r="S65" s="30">
        <v>10.2875</v>
      </c>
      <c r="T65" s="27" t="inlineStr">
        <is>
          <t xml:space="preserve">set/25</t>
        </is>
      </c>
      <c r="U65" s="30">
        <v>3.875</v>
      </c>
      <c r="V65" s="27" t="inlineStr">
        <is>
          <t xml:space="preserve">set/25</t>
        </is>
      </c>
      <c r="W65" s="29">
        <v>297.2</v>
      </c>
      <c r="X65" s="27" t="inlineStr">
        <is>
          <t xml:space="preserve">set/25</t>
        </is>
      </c>
      <c r="Y65" s="30">
        <v>0.5276</v>
      </c>
      <c r="Z65" s="27" t="inlineStr">
        <is>
          <t xml:space="preserve">set/25</t>
        </is>
      </c>
      <c r="AA65" s="29">
        <v>391.26</v>
      </c>
      <c r="AB65" s="29">
        <v>119.04</v>
      </c>
      <c r="AL65" s="29">
        <v>9.14</v>
      </c>
      <c r="AM65" s="29">
        <v>8.93</v>
      </c>
      <c r="AN65" s="29">
        <v>8.7</v>
      </c>
      <c r="AO65" s="29">
        <v>8.69</v>
      </c>
      <c r="AP65" s="29">
        <v>7.23</v>
      </c>
      <c r="AQ65" s="29">
        <v>148.97</v>
      </c>
      <c r="AR65" s="29">
        <v>164.18</v>
      </c>
      <c r="BH65" s="29">
        <v>1283.02</v>
      </c>
      <c r="BI65" s="29">
        <v>67.4</v>
      </c>
      <c r="BJ65" s="29">
        <v>254.96</v>
      </c>
      <c r="BK65" s="29">
        <v>245.94</v>
      </c>
      <c r="BL65" s="29">
        <v>207.26</v>
      </c>
      <c r="BM65" s="29">
        <v>220.09</v>
      </c>
      <c r="BN65" s="29">
        <v>194.97</v>
      </c>
      <c r="BO65" s="29">
        <v>131.06</v>
      </c>
      <c r="BQ65" s="29">
        <v>117.21</v>
      </c>
      <c r="BX65" s="29">
        <v>42.0</v>
      </c>
      <c r="BY65" s="29">
        <v>52.0</v>
      </c>
      <c r="BZ65" s="29">
        <v>39.0</v>
      </c>
      <c r="CA65" s="29">
        <v>43.6</v>
      </c>
      <c r="CB65" s="29">
        <v>40.8</v>
      </c>
      <c r="CC65" s="29">
        <v>40.0</v>
      </c>
      <c r="CD65" s="29">
        <v>47.4</v>
      </c>
      <c r="CE65" s="29">
        <v>57.96</v>
      </c>
      <c r="CI65" s="29">
        <v>7532.0</v>
      </c>
      <c r="CJ65" s="27" t="inlineStr">
        <is>
          <t xml:space="preserve">set/25</t>
        </is>
      </c>
    </row>
    <row r="66">
      <c r="A66" s="28">
        <v>45896</v>
      </c>
      <c r="B66" s="29">
        <v>1404.77</v>
      </c>
      <c r="C66" s="29">
        <v>2879.75</v>
      </c>
      <c r="D66" s="29">
        <v>7.19</v>
      </c>
      <c r="E66" s="29">
        <v>9.38</v>
      </c>
      <c r="F66" s="29">
        <v>2299.66</v>
      </c>
      <c r="G66" s="29">
        <v>1548.95</v>
      </c>
      <c r="H66" s="29">
        <v>473.95</v>
      </c>
      <c r="I66" s="27" t="inlineStr">
        <is>
          <t xml:space="preserve">dez/25</t>
        </is>
      </c>
      <c r="J66" s="29">
        <v>139205.81</v>
      </c>
      <c r="K66" s="30">
        <v>5423.5</v>
      </c>
      <c r="L66" s="27" t="inlineStr">
        <is>
          <t xml:space="preserve">set/25</t>
        </is>
      </c>
      <c r="M66" s="29">
        <v>319.1</v>
      </c>
      <c r="N66" s="27" t="inlineStr">
        <is>
          <t xml:space="preserve">set/25</t>
        </is>
      </c>
      <c r="O66" s="29">
        <v>65.72</v>
      </c>
      <c r="P66" s="27" t="inlineStr">
        <is>
          <t xml:space="preserve">set/25</t>
        </is>
      </c>
      <c r="Q66" s="29">
        <v>23.08</v>
      </c>
      <c r="R66" s="27" t="inlineStr">
        <is>
          <t xml:space="preserve">nov/25</t>
        </is>
      </c>
      <c r="S66" s="30">
        <v>10.2725</v>
      </c>
      <c r="T66" s="27" t="inlineStr">
        <is>
          <t xml:space="preserve">set/25</t>
        </is>
      </c>
      <c r="U66" s="30">
        <v>3.825</v>
      </c>
      <c r="V66" s="27" t="inlineStr">
        <is>
          <t xml:space="preserve">set/25</t>
        </is>
      </c>
      <c r="W66" s="29">
        <v>293.1</v>
      </c>
      <c r="X66" s="27" t="inlineStr">
        <is>
          <t xml:space="preserve">set/25</t>
        </is>
      </c>
      <c r="Y66" s="30">
        <v>0.5247</v>
      </c>
      <c r="Z66" s="27" t="inlineStr">
        <is>
          <t xml:space="preserve">set/25</t>
        </is>
      </c>
      <c r="AA66" s="29">
        <v>390.63</v>
      </c>
      <c r="AB66" s="29">
        <v>117.83</v>
      </c>
      <c r="AC66" s="29">
        <v>312.04</v>
      </c>
      <c r="AD66" s="29">
        <v>313.95</v>
      </c>
      <c r="AE66" s="29">
        <v>299.5</v>
      </c>
      <c r="AF66" s="29">
        <v>291.9</v>
      </c>
      <c r="AG66" s="29">
        <v>298.38</v>
      </c>
      <c r="AH66" s="29">
        <v>291.2</v>
      </c>
      <c r="AI66" s="29">
        <v>305.65</v>
      </c>
      <c r="AJ66" s="29">
        <v>282.98</v>
      </c>
      <c r="AK66" s="29">
        <v>285.27</v>
      </c>
      <c r="AL66" s="29">
        <v>9.14</v>
      </c>
      <c r="AM66" s="29">
        <v>8.95</v>
      </c>
      <c r="AN66" s="29">
        <v>8.7</v>
      </c>
      <c r="AO66" s="29">
        <v>8.72</v>
      </c>
      <c r="AP66" s="29">
        <v>7.19</v>
      </c>
      <c r="AQ66" s="29">
        <v>148.97</v>
      </c>
      <c r="AR66" s="29">
        <v>164.18</v>
      </c>
      <c r="BH66" s="29">
        <v>1283.02</v>
      </c>
      <c r="BI66" s="29">
        <v>67.38</v>
      </c>
      <c r="BK66" s="29">
        <v>245.44</v>
      </c>
      <c r="BL66" s="29">
        <v>207.28</v>
      </c>
      <c r="BM66" s="29">
        <v>220.02</v>
      </c>
      <c r="BN66" s="29">
        <v>195.27</v>
      </c>
      <c r="BO66" s="29">
        <v>132.25</v>
      </c>
      <c r="BQ66" s="29">
        <v>117.2</v>
      </c>
      <c r="BX66" s="29">
        <v>42.0</v>
      </c>
      <c r="BY66" s="29">
        <v>52.0</v>
      </c>
      <c r="BZ66" s="29">
        <v>39.0</v>
      </c>
      <c r="CA66" s="29">
        <v>43.6</v>
      </c>
      <c r="CD66" s="29">
        <v>47.39</v>
      </c>
      <c r="CE66" s="29">
        <v>57.81</v>
      </c>
      <c r="CI66" s="29">
        <v>7731.0</v>
      </c>
      <c r="CJ66" s="27" t="inlineStr">
        <is>
          <t xml:space="preserve">set/25</t>
        </is>
      </c>
    </row>
    <row r="67">
      <c r="A67" s="28">
        <v>45897</v>
      </c>
      <c r="B67" s="29">
        <v>1408.3</v>
      </c>
      <c r="C67" s="29">
        <v>2895.34</v>
      </c>
      <c r="D67" s="29">
        <v>7.18</v>
      </c>
      <c r="E67" s="29">
        <v>9.38</v>
      </c>
      <c r="F67" s="29">
        <v>2301.68</v>
      </c>
      <c r="G67" s="29">
        <v>1529.97</v>
      </c>
      <c r="H67" s="29">
        <v>464.5</v>
      </c>
      <c r="I67" s="27" t="inlineStr">
        <is>
          <t xml:space="preserve">dez/25</t>
        </is>
      </c>
      <c r="J67" s="29">
        <v>141049.2</v>
      </c>
      <c r="K67" s="30">
        <v>5415.5</v>
      </c>
      <c r="L67" s="27" t="inlineStr">
        <is>
          <t xml:space="preserve">set/25</t>
        </is>
      </c>
      <c r="M67" s="29">
        <v>318.35</v>
      </c>
      <c r="N67" s="27" t="inlineStr">
        <is>
          <t xml:space="preserve">set/25</t>
        </is>
      </c>
      <c r="O67" s="29">
        <v>65.09</v>
      </c>
      <c r="P67" s="27" t="inlineStr">
        <is>
          <t xml:space="preserve">set/25</t>
        </is>
      </c>
      <c r="Q67" s="29">
        <v>23.09</v>
      </c>
      <c r="R67" s="27" t="inlineStr">
        <is>
          <t xml:space="preserve">nov/25</t>
        </is>
      </c>
      <c r="S67" s="30">
        <v>10.2825</v>
      </c>
      <c r="T67" s="27" t="inlineStr">
        <is>
          <t xml:space="preserve">set/25</t>
        </is>
      </c>
      <c r="U67" s="30">
        <v>3.855</v>
      </c>
      <c r="V67" s="27" t="inlineStr">
        <is>
          <t xml:space="preserve">set/25</t>
        </is>
      </c>
      <c r="W67" s="29">
        <v>286.3</v>
      </c>
      <c r="X67" s="27" t="inlineStr">
        <is>
          <t xml:space="preserve">set/25</t>
        </is>
      </c>
      <c r="Y67" s="30">
        <v>0.5175</v>
      </c>
      <c r="Z67" s="27" t="inlineStr">
        <is>
          <t xml:space="preserve">set/25</t>
        </is>
      </c>
      <c r="AA67" s="29">
        <v>390.22</v>
      </c>
      <c r="AB67" s="29">
        <v>118.6</v>
      </c>
      <c r="AC67" s="29">
        <v>312.94</v>
      </c>
      <c r="AD67" s="29">
        <v>314.45</v>
      </c>
      <c r="AE67" s="29">
        <v>299.21</v>
      </c>
      <c r="AF67" s="29">
        <v>292.56</v>
      </c>
      <c r="AG67" s="29">
        <v>297.61</v>
      </c>
      <c r="AH67" s="29">
        <v>291.2</v>
      </c>
      <c r="AI67" s="29">
        <v>305.21</v>
      </c>
      <c r="AJ67" s="29">
        <v>285.02</v>
      </c>
      <c r="AK67" s="29">
        <v>285.61</v>
      </c>
      <c r="AL67" s="29">
        <v>9.14</v>
      </c>
      <c r="AM67" s="29">
        <v>8.94</v>
      </c>
      <c r="AN67" s="29">
        <v>8.7</v>
      </c>
      <c r="AO67" s="29">
        <v>8.72</v>
      </c>
      <c r="AP67" s="29">
        <v>7.19</v>
      </c>
      <c r="AQ67" s="29">
        <v>149.15</v>
      </c>
      <c r="AR67" s="29">
        <v>164.18</v>
      </c>
      <c r="BH67" s="29">
        <v>1288.81</v>
      </c>
      <c r="BI67" s="29">
        <v>67.32</v>
      </c>
      <c r="BK67" s="29">
        <v>243.22</v>
      </c>
      <c r="BL67" s="29">
        <v>208.76</v>
      </c>
      <c r="BM67" s="29">
        <v>219.78</v>
      </c>
      <c r="BN67" s="29">
        <v>195.86</v>
      </c>
      <c r="BO67" s="29">
        <v>132.57</v>
      </c>
      <c r="BQ67" s="29">
        <v>117.95</v>
      </c>
      <c r="BX67" s="29">
        <v>42.0</v>
      </c>
      <c r="BY67" s="29">
        <v>52.0</v>
      </c>
      <c r="BZ67" s="29">
        <v>39.0</v>
      </c>
      <c r="CA67" s="29">
        <v>43.6</v>
      </c>
      <c r="CD67" s="29">
        <v>47.76</v>
      </c>
      <c r="CE67" s="29">
        <v>57.64</v>
      </c>
      <c r="CI67" s="29">
        <v>7738.0</v>
      </c>
      <c r="CJ67" s="27" t="inlineStr">
        <is>
          <t xml:space="preserve">set/25</t>
        </is>
      </c>
    </row>
    <row r="68">
      <c r="A68" s="28">
        <v>45898</v>
      </c>
      <c r="B68" s="29">
        <v>1408.3</v>
      </c>
      <c r="C68" s="29">
        <v>2891.76</v>
      </c>
      <c r="D68" s="29">
        <v>7.18</v>
      </c>
      <c r="E68" s="29">
        <v>9.38</v>
      </c>
      <c r="F68" s="29">
        <v>2323.06</v>
      </c>
      <c r="G68" s="29">
        <v>1534.41</v>
      </c>
      <c r="H68" s="29">
        <v>473.0</v>
      </c>
      <c r="I68" s="27" t="inlineStr">
        <is>
          <t xml:space="preserve">dez/25</t>
        </is>
      </c>
      <c r="J68" s="29">
        <v>141422.26</v>
      </c>
      <c r="K68" s="30">
        <v>5426.5</v>
      </c>
      <c r="L68" s="27" t="inlineStr">
        <is>
          <t xml:space="preserve">set/25</t>
        </is>
      </c>
      <c r="M68" s="29">
        <v>317.25</v>
      </c>
      <c r="N68" s="27" t="inlineStr">
        <is>
          <t xml:space="preserve">set/25</t>
        </is>
      </c>
      <c r="O68" s="29">
        <v>65.45</v>
      </c>
      <c r="P68" s="27" t="inlineStr">
        <is>
          <t xml:space="preserve">set/25</t>
        </is>
      </c>
      <c r="Q68" s="29">
        <v>23.23</v>
      </c>
      <c r="R68" s="27" t="inlineStr">
        <is>
          <t xml:space="preserve">nov/25</t>
        </is>
      </c>
      <c r="S68" s="30">
        <v>10.3675</v>
      </c>
      <c r="T68" s="27" t="inlineStr">
        <is>
          <t xml:space="preserve">set/25</t>
        </is>
      </c>
      <c r="U68" s="30">
        <v>3.98</v>
      </c>
      <c r="V68" s="27" t="inlineStr">
        <is>
          <t xml:space="preserve">set/25</t>
        </is>
      </c>
      <c r="W68" s="29">
        <v>283.6</v>
      </c>
      <c r="X68" s="27" t="inlineStr">
        <is>
          <t xml:space="preserve">set/25</t>
        </is>
      </c>
      <c r="Y68" s="30">
        <v>0.5147</v>
      </c>
      <c r="Z68" s="27" t="inlineStr">
        <is>
          <t xml:space="preserve">set/25</t>
        </is>
      </c>
      <c r="AA68" s="29">
        <v>390.68</v>
      </c>
      <c r="AB68" s="29">
        <v>118.44</v>
      </c>
      <c r="AC68" s="29">
        <v>313.04</v>
      </c>
      <c r="AD68" s="29">
        <v>315.0</v>
      </c>
      <c r="AE68" s="29">
        <v>299.57</v>
      </c>
      <c r="AF68" s="29">
        <v>293.0</v>
      </c>
      <c r="AG68" s="29">
        <v>297.37</v>
      </c>
      <c r="AH68" s="29">
        <v>291.13</v>
      </c>
      <c r="AI68" s="29">
        <v>305.34</v>
      </c>
      <c r="AJ68" s="29">
        <v>284.43</v>
      </c>
      <c r="AK68" s="29">
        <v>285.92</v>
      </c>
      <c r="AL68" s="29">
        <v>9.14</v>
      </c>
      <c r="AM68" s="29">
        <v>8.94</v>
      </c>
      <c r="AN68" s="29">
        <v>8.69</v>
      </c>
      <c r="AO68" s="29">
        <v>8.72</v>
      </c>
      <c r="AP68" s="29">
        <v>7.19</v>
      </c>
      <c r="AQ68" s="29">
        <v>149.15</v>
      </c>
      <c r="AR68" s="29">
        <v>164.18</v>
      </c>
      <c r="BC68" s="29">
        <v>7.89</v>
      </c>
      <c r="BD68" s="29">
        <v>8.27</v>
      </c>
      <c r="BE68" s="29">
        <v>8.42</v>
      </c>
      <c r="BF68" s="29">
        <v>7.1</v>
      </c>
      <c r="BG68" s="29">
        <v>8.04</v>
      </c>
      <c r="BH68" s="29">
        <v>1283.87</v>
      </c>
      <c r="BI68" s="29">
        <v>67.26</v>
      </c>
      <c r="BK68" s="29">
        <v>242.77</v>
      </c>
      <c r="BL68" s="29">
        <v>209.16</v>
      </c>
      <c r="BM68" s="29">
        <v>220.75</v>
      </c>
      <c r="BN68" s="29">
        <v>194.8</v>
      </c>
      <c r="BO68" s="29">
        <v>132.57</v>
      </c>
      <c r="BQ68" s="29">
        <v>118.51</v>
      </c>
      <c r="BS68" s="30">
        <v>2.7413</v>
      </c>
      <c r="BT68" s="30">
        <v>3.1226</v>
      </c>
      <c r="BU68" s="29">
        <v>472.04</v>
      </c>
      <c r="BV68" s="29">
        <v>398.01</v>
      </c>
      <c r="BW68" s="29">
        <v>436.4</v>
      </c>
      <c r="BX68" s="29">
        <v>42.0</v>
      </c>
      <c r="BY68" s="29">
        <v>52.0</v>
      </c>
      <c r="BZ68" s="29">
        <v>39.0</v>
      </c>
      <c r="CA68" s="29">
        <v>43.6</v>
      </c>
      <c r="CD68" s="29">
        <v>47.76</v>
      </c>
      <c r="CE68" s="29">
        <v>57.64</v>
      </c>
      <c r="CI68" s="29">
        <v>7635.0</v>
      </c>
      <c r="CJ68" s="27" t="inlineStr">
        <is>
          <t xml:space="preserve">set/25</t>
        </is>
      </c>
    </row>
    <row r="69">
      <c r="A69" s="28">
        <v>45901</v>
      </c>
      <c r="B69" s="29">
        <v>1408.88</v>
      </c>
      <c r="C69" s="29">
        <v>2896.83</v>
      </c>
      <c r="D69" s="29">
        <v>7.06</v>
      </c>
      <c r="E69" s="29">
        <v>9.4</v>
      </c>
      <c r="F69" s="29">
        <v>2332.86</v>
      </c>
      <c r="G69" s="29">
        <v>1474.4</v>
      </c>
      <c r="H69" s="29">
        <v>466.15</v>
      </c>
      <c r="I69" s="27" t="inlineStr">
        <is>
          <t xml:space="preserve">dez/25</t>
        </is>
      </c>
      <c r="J69" s="29">
        <v>141283.01</v>
      </c>
      <c r="M69" s="29">
        <v>322.55</v>
      </c>
      <c r="N69" s="27" t="inlineStr">
        <is>
          <t xml:space="preserve">out/25</t>
        </is>
      </c>
      <c r="O69" s="29">
        <v>69.6</v>
      </c>
      <c r="P69" s="27" t="inlineStr">
        <is>
          <t xml:space="preserve">nov/25</t>
        </is>
      </c>
      <c r="AA69" s="29">
        <v>388.08</v>
      </c>
      <c r="AB69" s="29">
        <v>118.84</v>
      </c>
      <c r="AC69" s="29">
        <v>313.13</v>
      </c>
      <c r="AD69" s="29">
        <v>315.13</v>
      </c>
      <c r="AE69" s="29">
        <v>298.02</v>
      </c>
      <c r="AF69" s="29">
        <v>291.89</v>
      </c>
      <c r="AG69" s="29">
        <v>296.39</v>
      </c>
      <c r="AH69" s="29">
        <v>291.14</v>
      </c>
      <c r="AI69" s="29">
        <v>305.76</v>
      </c>
      <c r="AJ69" s="29">
        <v>283.11</v>
      </c>
      <c r="AK69" s="29">
        <v>285.7</v>
      </c>
      <c r="AL69" s="29">
        <v>9.14</v>
      </c>
      <c r="AM69" s="29">
        <v>8.96</v>
      </c>
      <c r="AN69" s="29">
        <v>8.7</v>
      </c>
      <c r="AO69" s="29">
        <v>8.79</v>
      </c>
      <c r="AP69" s="29">
        <v>7.08</v>
      </c>
      <c r="AQ69" s="29">
        <v>149.25</v>
      </c>
      <c r="AR69" s="29">
        <v>164.29</v>
      </c>
      <c r="AS69" s="30">
        <v>2.44</v>
      </c>
      <c r="AT69" s="30">
        <v>2.53</v>
      </c>
      <c r="AU69" s="30">
        <v>2.34</v>
      </c>
      <c r="AV69" s="30">
        <v>2.56</v>
      </c>
      <c r="AW69" s="30">
        <v>2.46</v>
      </c>
      <c r="AX69" s="30">
        <v>2.34</v>
      </c>
      <c r="AY69" s="30">
        <v>2.36</v>
      </c>
      <c r="AZ69" s="30">
        <v>2.47</v>
      </c>
      <c r="BA69" s="30">
        <v>2.58</v>
      </c>
      <c r="BB69" s="30">
        <v>2.55</v>
      </c>
      <c r="BH69" s="29">
        <v>1283.33</v>
      </c>
      <c r="BI69" s="29">
        <v>67.25</v>
      </c>
      <c r="BK69" s="29">
        <v>245.63</v>
      </c>
      <c r="BL69" s="29">
        <v>210.1</v>
      </c>
      <c r="BM69" s="29">
        <v>221.47</v>
      </c>
      <c r="BN69" s="29">
        <v>194.71</v>
      </c>
      <c r="BO69" s="29">
        <v>131.73</v>
      </c>
      <c r="BQ69" s="29">
        <v>119.2</v>
      </c>
      <c r="BY69" s="29">
        <v>52.0</v>
      </c>
      <c r="BZ69" s="29">
        <v>39.0</v>
      </c>
      <c r="CA69" s="29">
        <v>43.6</v>
      </c>
      <c r="CD69" s="29">
        <v>48.04</v>
      </c>
      <c r="CE69" s="29">
        <v>57.49</v>
      </c>
    </row>
    <row r="70">
      <c r="A70" s="28">
        <v>45902</v>
      </c>
      <c r="B70" s="29">
        <v>1408.24</v>
      </c>
      <c r="C70" s="29">
        <v>2915.43</v>
      </c>
      <c r="D70" s="29">
        <v>7.01</v>
      </c>
      <c r="E70" s="29">
        <v>9.47</v>
      </c>
      <c r="F70" s="29">
        <v>2299.01</v>
      </c>
      <c r="G70" s="29">
        <v>1431.92</v>
      </c>
      <c r="H70" s="29">
        <v>462.8</v>
      </c>
      <c r="I70" s="27" t="inlineStr">
        <is>
          <t xml:space="preserve">dez/25</t>
        </is>
      </c>
      <c r="J70" s="29">
        <v>140335.16</v>
      </c>
      <c r="K70" s="30">
        <v>5505.5</v>
      </c>
      <c r="L70" s="27" t="inlineStr">
        <is>
          <t xml:space="preserve">out/25</t>
        </is>
      </c>
      <c r="M70" s="29">
        <v>322.95</v>
      </c>
      <c r="N70" s="27" t="inlineStr">
        <is>
          <t xml:space="preserve">out/25</t>
        </is>
      </c>
      <c r="O70" s="29">
        <v>69.12</v>
      </c>
      <c r="P70" s="27" t="inlineStr">
        <is>
          <t xml:space="preserve">nov/25</t>
        </is>
      </c>
      <c r="Q70" s="29">
        <v>22.94</v>
      </c>
      <c r="R70" s="27" t="inlineStr">
        <is>
          <t xml:space="preserve">nov/25</t>
        </is>
      </c>
      <c r="S70" s="30">
        <v>10.41</v>
      </c>
      <c r="T70" s="27" t="inlineStr">
        <is>
          <t xml:space="preserve">nov/25</t>
        </is>
      </c>
      <c r="U70" s="30">
        <v>4.23</v>
      </c>
      <c r="V70" s="27" t="inlineStr">
        <is>
          <t xml:space="preserve">dez/25</t>
        </is>
      </c>
      <c r="W70" s="29">
        <v>278.3</v>
      </c>
      <c r="X70" s="27" t="inlineStr">
        <is>
          <t xml:space="preserve">out/25</t>
        </is>
      </c>
      <c r="Y70" s="30">
        <v>0.5226</v>
      </c>
      <c r="Z70" s="27" t="inlineStr">
        <is>
          <t xml:space="preserve">out/25</t>
        </is>
      </c>
      <c r="AA70" s="29">
        <v>387.25</v>
      </c>
      <c r="AB70" s="29">
        <v>118.99</v>
      </c>
      <c r="AC70" s="29">
        <v>313.18</v>
      </c>
      <c r="AD70" s="29">
        <v>315.49</v>
      </c>
      <c r="AE70" s="29">
        <v>299.59</v>
      </c>
      <c r="AF70" s="29">
        <v>290.38</v>
      </c>
      <c r="AG70" s="29">
        <v>298.68</v>
      </c>
      <c r="AH70" s="29">
        <v>290.31</v>
      </c>
      <c r="AI70" s="29">
        <v>306.0</v>
      </c>
      <c r="AJ70" s="29">
        <v>283.38</v>
      </c>
      <c r="AK70" s="29">
        <v>286.7</v>
      </c>
      <c r="AL70" s="29">
        <v>9.15</v>
      </c>
      <c r="AM70" s="29">
        <v>8.97</v>
      </c>
      <c r="AN70" s="29">
        <v>8.69</v>
      </c>
      <c r="AO70" s="29">
        <v>8.8</v>
      </c>
      <c r="AP70" s="29">
        <v>7.02</v>
      </c>
      <c r="AQ70" s="29">
        <v>149.33</v>
      </c>
      <c r="AR70" s="29">
        <v>164.27</v>
      </c>
      <c r="BH70" s="29">
        <v>1282.12</v>
      </c>
      <c r="BI70" s="29">
        <v>66.77</v>
      </c>
      <c r="BK70" s="29">
        <v>245.48</v>
      </c>
      <c r="BL70" s="29">
        <v>209.92</v>
      </c>
      <c r="BM70" s="29">
        <v>222.15</v>
      </c>
      <c r="BN70" s="29">
        <v>200.75</v>
      </c>
      <c r="BO70" s="29">
        <v>129.73</v>
      </c>
      <c r="BQ70" s="29">
        <v>119.09</v>
      </c>
      <c r="BR70" s="29">
        <v>106.87</v>
      </c>
      <c r="BX70" s="29">
        <v>42.0</v>
      </c>
      <c r="BY70" s="29">
        <v>52.0</v>
      </c>
      <c r="BZ70" s="29">
        <v>39.0</v>
      </c>
      <c r="CA70" s="29">
        <v>43.6</v>
      </c>
      <c r="CD70" s="29">
        <v>48.11</v>
      </c>
      <c r="CE70" s="29">
        <v>57.61</v>
      </c>
      <c r="CI70" s="29">
        <v>7546.0</v>
      </c>
      <c r="CJ70" s="27" t="inlineStr">
        <is>
          <t xml:space="preserve">dez/25</t>
        </is>
      </c>
    </row>
    <row r="71">
      <c r="A71" s="28">
        <v>45903</v>
      </c>
      <c r="B71" s="29">
        <v>1398.67</v>
      </c>
      <c r="C71" s="29">
        <v>2908.59</v>
      </c>
      <c r="D71" s="29">
        <v>7.04</v>
      </c>
      <c r="E71" s="29">
        <v>9.45</v>
      </c>
      <c r="F71" s="29">
        <v>2300.2</v>
      </c>
      <c r="G71" s="29">
        <v>1427.76</v>
      </c>
      <c r="H71" s="29">
        <v>460.0</v>
      </c>
      <c r="I71" s="27" t="inlineStr">
        <is>
          <t xml:space="preserve">dez/25</t>
        </is>
      </c>
      <c r="J71" s="29">
        <v>139863.63</v>
      </c>
      <c r="K71" s="30">
        <v>5485.0</v>
      </c>
      <c r="L71" s="27" t="inlineStr">
        <is>
          <t xml:space="preserve">out/25</t>
        </is>
      </c>
      <c r="M71" s="29">
        <v>320.7</v>
      </c>
      <c r="N71" s="27" t="inlineStr">
        <is>
          <t xml:space="preserve">out/25</t>
        </is>
      </c>
      <c r="O71" s="29">
        <v>68.99</v>
      </c>
      <c r="P71" s="27" t="inlineStr">
        <is>
          <t xml:space="preserve">nov/25</t>
        </is>
      </c>
      <c r="Q71" s="29">
        <v>22.75</v>
      </c>
      <c r="R71" s="27" t="inlineStr">
        <is>
          <t xml:space="preserve">nov/25</t>
        </is>
      </c>
      <c r="S71" s="30">
        <v>10.315</v>
      </c>
      <c r="T71" s="27" t="inlineStr">
        <is>
          <t xml:space="preserve">nov/25</t>
        </is>
      </c>
      <c r="U71" s="30">
        <v>4.18</v>
      </c>
      <c r="V71" s="27" t="inlineStr">
        <is>
          <t xml:space="preserve">dez/25</t>
        </is>
      </c>
      <c r="W71" s="29">
        <v>277.6</v>
      </c>
      <c r="X71" s="27" t="inlineStr">
        <is>
          <t xml:space="preserve">out/25</t>
        </is>
      </c>
      <c r="Y71" s="30">
        <v>0.5144</v>
      </c>
      <c r="Z71" s="27" t="inlineStr">
        <is>
          <t xml:space="preserve">out/25</t>
        </is>
      </c>
      <c r="AA71" s="29">
        <v>387.89</v>
      </c>
      <c r="AB71" s="29">
        <v>117.81</v>
      </c>
      <c r="AL71" s="29">
        <v>9.14</v>
      </c>
      <c r="AM71" s="29">
        <v>8.97</v>
      </c>
      <c r="AN71" s="29">
        <v>8.69</v>
      </c>
      <c r="AO71" s="29">
        <v>8.81</v>
      </c>
      <c r="AP71" s="29">
        <v>7.05</v>
      </c>
      <c r="AQ71" s="29">
        <v>148.9</v>
      </c>
      <c r="AR71" s="29">
        <v>164.45</v>
      </c>
      <c r="BH71" s="29">
        <v>1279.54</v>
      </c>
      <c r="BI71" s="29">
        <v>66.22</v>
      </c>
      <c r="BK71" s="29">
        <v>249.31</v>
      </c>
      <c r="BL71" s="29">
        <v>213.18</v>
      </c>
      <c r="BM71" s="29">
        <v>222.1</v>
      </c>
      <c r="BN71" s="29">
        <v>200.71</v>
      </c>
      <c r="BO71" s="29">
        <v>126.61</v>
      </c>
      <c r="BQ71" s="29">
        <v>120.69</v>
      </c>
      <c r="BR71" s="29">
        <v>105.62</v>
      </c>
      <c r="BX71" s="29">
        <v>43.5</v>
      </c>
      <c r="BY71" s="29">
        <v>52.0</v>
      </c>
      <c r="BZ71" s="29">
        <v>39.0</v>
      </c>
      <c r="CA71" s="29">
        <v>43.6</v>
      </c>
      <c r="CD71" s="29">
        <v>48.11</v>
      </c>
      <c r="CE71" s="29">
        <v>56.83</v>
      </c>
      <c r="CI71" s="29">
        <v>7669.0</v>
      </c>
      <c r="CJ71" s="27" t="inlineStr">
        <is>
          <t xml:space="preserve">dez/25</t>
        </is>
      </c>
    </row>
    <row r="72">
      <c r="A72" s="28">
        <v>45904</v>
      </c>
      <c r="B72" s="29">
        <v>1395.14</v>
      </c>
      <c r="C72" s="29">
        <v>2907.03</v>
      </c>
      <c r="D72" s="29">
        <v>7.17</v>
      </c>
      <c r="E72" s="29">
        <v>9.45</v>
      </c>
      <c r="F72" s="29">
        <v>2292.66</v>
      </c>
      <c r="G72" s="29">
        <v>1402.21</v>
      </c>
      <c r="H72" s="29">
        <v>460.0</v>
      </c>
      <c r="I72" s="27" t="inlineStr">
        <is>
          <t xml:space="preserve">dez/25</t>
        </is>
      </c>
      <c r="J72" s="29">
        <v>140993.25</v>
      </c>
      <c r="K72" s="30">
        <v>5479.5</v>
      </c>
      <c r="L72" s="27" t="inlineStr">
        <is>
          <t xml:space="preserve">out/25</t>
        </is>
      </c>
      <c r="M72" s="29">
        <v>319.5</v>
      </c>
      <c r="N72" s="27" t="inlineStr">
        <is>
          <t xml:space="preserve">out/25</t>
        </is>
      </c>
      <c r="O72" s="29">
        <v>68.67</v>
      </c>
      <c r="P72" s="27" t="inlineStr">
        <is>
          <t xml:space="preserve">nov/25</t>
        </is>
      </c>
      <c r="Q72" s="29">
        <v>22.77</v>
      </c>
      <c r="R72" s="27" t="inlineStr">
        <is>
          <t xml:space="preserve">nov/25</t>
        </is>
      </c>
      <c r="S72" s="30">
        <v>10.33</v>
      </c>
      <c r="T72" s="27" t="inlineStr">
        <is>
          <t xml:space="preserve">nov/25</t>
        </is>
      </c>
      <c r="U72" s="30">
        <v>4.1975</v>
      </c>
      <c r="V72" s="27" t="inlineStr">
        <is>
          <t xml:space="preserve">dez/25</t>
        </is>
      </c>
      <c r="W72" s="29">
        <v>280.1</v>
      </c>
      <c r="X72" s="27" t="inlineStr">
        <is>
          <t xml:space="preserve">out/25</t>
        </is>
      </c>
      <c r="Y72" s="30">
        <v>0.5151</v>
      </c>
      <c r="Z72" s="27" t="inlineStr">
        <is>
          <t xml:space="preserve">out/25</t>
        </is>
      </c>
      <c r="AA72" s="29">
        <v>382.88</v>
      </c>
      <c r="AB72" s="29">
        <v>117.33</v>
      </c>
      <c r="AC72" s="29">
        <v>312.81</v>
      </c>
      <c r="AD72" s="29">
        <v>317.46</v>
      </c>
      <c r="AE72" s="29">
        <v>299.79</v>
      </c>
      <c r="AF72" s="29">
        <v>291.02</v>
      </c>
      <c r="AG72" s="29">
        <v>297.64</v>
      </c>
      <c r="AH72" s="29">
        <v>290.2</v>
      </c>
      <c r="AI72" s="29">
        <v>307.05</v>
      </c>
      <c r="AJ72" s="29">
        <v>284.08</v>
      </c>
      <c r="AK72" s="29">
        <v>286.25</v>
      </c>
      <c r="AL72" s="29">
        <v>9.14</v>
      </c>
      <c r="AM72" s="29">
        <v>8.97</v>
      </c>
      <c r="AN72" s="29">
        <v>8.69</v>
      </c>
      <c r="AO72" s="29">
        <v>8.81</v>
      </c>
      <c r="AP72" s="29">
        <v>7.18</v>
      </c>
      <c r="AQ72" s="29">
        <v>148.32</v>
      </c>
      <c r="AR72" s="29">
        <v>164.44</v>
      </c>
      <c r="BH72" s="29">
        <v>1275.89</v>
      </c>
      <c r="BI72" s="29">
        <v>66.09</v>
      </c>
      <c r="BK72" s="29">
        <v>248.53</v>
      </c>
      <c r="BL72" s="29">
        <v>212.46</v>
      </c>
      <c r="BM72" s="29">
        <v>222.69</v>
      </c>
      <c r="BN72" s="29">
        <v>200.01</v>
      </c>
      <c r="BO72" s="29">
        <v>127.2</v>
      </c>
      <c r="BQ72" s="29">
        <v>121.65</v>
      </c>
      <c r="BR72" s="29">
        <v>105.62</v>
      </c>
      <c r="BX72" s="29">
        <v>43.5</v>
      </c>
      <c r="BY72" s="29">
        <v>52.0</v>
      </c>
      <c r="BZ72" s="29">
        <v>39.0</v>
      </c>
      <c r="CA72" s="29">
        <v>43.6</v>
      </c>
      <c r="CD72" s="29">
        <v>47.88</v>
      </c>
      <c r="CE72" s="29">
        <v>57.42</v>
      </c>
      <c r="CI72" s="29">
        <v>7399.0</v>
      </c>
      <c r="CJ72" s="27" t="inlineStr">
        <is>
          <t xml:space="preserve">dez/25</t>
        </is>
      </c>
    </row>
    <row r="73">
      <c r="A73" s="28">
        <v>45905</v>
      </c>
      <c r="B73" s="29">
        <v>1396.16</v>
      </c>
      <c r="C73" s="29">
        <v>2915.31</v>
      </c>
      <c r="D73" s="29">
        <v>7.17</v>
      </c>
      <c r="E73" s="29">
        <v>9.45</v>
      </c>
      <c r="F73" s="29">
        <v>2277.03</v>
      </c>
      <c r="G73" s="29">
        <v>1358.45</v>
      </c>
      <c r="H73" s="29">
        <v>461.0</v>
      </c>
      <c r="I73" s="27" t="inlineStr">
        <is>
          <t xml:space="preserve">dez/25</t>
        </is>
      </c>
      <c r="J73" s="29">
        <v>142640.14</v>
      </c>
      <c r="K73" s="30">
        <v>5448.5</v>
      </c>
      <c r="L73" s="27" t="inlineStr">
        <is>
          <t xml:space="preserve">out/25</t>
        </is>
      </c>
      <c r="M73" s="29">
        <v>320.25</v>
      </c>
      <c r="N73" s="27" t="inlineStr">
        <is>
          <t xml:space="preserve">out/25</t>
        </is>
      </c>
      <c r="O73" s="29">
        <v>68.08</v>
      </c>
      <c r="P73" s="27" t="inlineStr">
        <is>
          <t xml:space="preserve">nov/25</t>
        </is>
      </c>
      <c r="Q73" s="29">
        <v>22.63</v>
      </c>
      <c r="R73" s="27" t="inlineStr">
        <is>
          <t xml:space="preserve">nov/25</t>
        </is>
      </c>
      <c r="S73" s="30">
        <v>10.27</v>
      </c>
      <c r="T73" s="27" t="inlineStr">
        <is>
          <t xml:space="preserve">nov/25</t>
        </is>
      </c>
      <c r="U73" s="30">
        <v>4.18</v>
      </c>
      <c r="V73" s="27" t="inlineStr">
        <is>
          <t xml:space="preserve">dez/25</t>
        </is>
      </c>
      <c r="W73" s="29">
        <v>280.5</v>
      </c>
      <c r="X73" s="27" t="inlineStr">
        <is>
          <t xml:space="preserve">out/25</t>
        </is>
      </c>
      <c r="Y73" s="30">
        <v>0.5081</v>
      </c>
      <c r="Z73" s="27" t="inlineStr">
        <is>
          <t xml:space="preserve">out/25</t>
        </is>
      </c>
      <c r="AA73" s="29">
        <v>378.44</v>
      </c>
      <c r="AB73" s="29">
        <v>119.65</v>
      </c>
      <c r="AC73" s="29">
        <v>311.88</v>
      </c>
      <c r="AD73" s="29">
        <v>316.45</v>
      </c>
      <c r="AE73" s="29">
        <v>299.96</v>
      </c>
      <c r="AF73" s="29">
        <v>290.98</v>
      </c>
      <c r="AG73" s="29">
        <v>297.11</v>
      </c>
      <c r="AH73" s="29">
        <v>289.11</v>
      </c>
      <c r="AI73" s="29">
        <v>306.29</v>
      </c>
      <c r="AJ73" s="29">
        <v>283.95</v>
      </c>
      <c r="AK73" s="29">
        <v>286.64</v>
      </c>
      <c r="AL73" s="29">
        <v>9.14</v>
      </c>
      <c r="AM73" s="29">
        <v>8.97</v>
      </c>
      <c r="AN73" s="29">
        <v>8.69</v>
      </c>
      <c r="AO73" s="29">
        <v>8.8</v>
      </c>
      <c r="AP73" s="29">
        <v>7.18</v>
      </c>
      <c r="AQ73" s="29">
        <v>148.32</v>
      </c>
      <c r="AR73" s="29">
        <v>164.93</v>
      </c>
      <c r="BC73" s="29">
        <v>7.87</v>
      </c>
      <c r="BD73" s="29">
        <v>8.24</v>
      </c>
      <c r="BE73" s="29">
        <v>8.42</v>
      </c>
      <c r="BF73" s="29">
        <v>7.16</v>
      </c>
      <c r="BG73" s="29">
        <v>8.03</v>
      </c>
      <c r="BH73" s="29">
        <v>1275.89</v>
      </c>
      <c r="BI73" s="29">
        <v>66.28</v>
      </c>
      <c r="BK73" s="29">
        <v>249.58</v>
      </c>
      <c r="BL73" s="29">
        <v>214.58</v>
      </c>
      <c r="BM73" s="29">
        <v>222.03</v>
      </c>
      <c r="BN73" s="29">
        <v>198.71</v>
      </c>
      <c r="BO73" s="29">
        <v>129.95</v>
      </c>
      <c r="BQ73" s="29">
        <v>122.68</v>
      </c>
      <c r="BR73" s="29">
        <v>105.62</v>
      </c>
      <c r="BS73" s="30">
        <v>2.7831</v>
      </c>
      <c r="BT73" s="30">
        <v>3.1838</v>
      </c>
      <c r="BU73" s="29">
        <v>491.72</v>
      </c>
      <c r="BV73" s="29">
        <v>403.58</v>
      </c>
      <c r="BW73" s="29">
        <v>440.69</v>
      </c>
      <c r="BX73" s="29">
        <v>43.5</v>
      </c>
      <c r="BY73" s="29">
        <v>52.0</v>
      </c>
      <c r="BZ73" s="29">
        <v>39.0</v>
      </c>
      <c r="CA73" s="29">
        <v>43.6</v>
      </c>
      <c r="CD73" s="29">
        <v>47.88</v>
      </c>
      <c r="CE73" s="29">
        <v>57.74</v>
      </c>
      <c r="CI73" s="29">
        <v>7471.0</v>
      </c>
      <c r="CJ73" s="27" t="inlineStr">
        <is>
          <t xml:space="preserve">dez/25</t>
        </is>
      </c>
    </row>
    <row r="74">
      <c r="A74" s="28">
        <v>45908</v>
      </c>
      <c r="B74" s="29">
        <v>1398.73</v>
      </c>
      <c r="C74" s="29">
        <v>2917.6</v>
      </c>
      <c r="D74" s="29">
        <v>7.33</v>
      </c>
      <c r="E74" s="29">
        <v>9.44</v>
      </c>
      <c r="F74" s="29">
        <v>2300.17</v>
      </c>
      <c r="G74" s="29">
        <v>1356.95</v>
      </c>
      <c r="H74" s="29">
        <v>472.0</v>
      </c>
      <c r="I74" s="27" t="inlineStr">
        <is>
          <t xml:space="preserve">dez/25</t>
        </is>
      </c>
      <c r="J74" s="29">
        <v>141791.58</v>
      </c>
      <c r="K74" s="30">
        <v>5449.0</v>
      </c>
      <c r="L74" s="27" t="inlineStr">
        <is>
          <t xml:space="preserve">out/25</t>
        </is>
      </c>
      <c r="M74" s="29">
        <v>319.15</v>
      </c>
      <c r="N74" s="27" t="inlineStr">
        <is>
          <t xml:space="preserve">out/25</t>
        </is>
      </c>
      <c r="O74" s="29">
        <v>68.25</v>
      </c>
      <c r="P74" s="27" t="inlineStr">
        <is>
          <t xml:space="preserve">nov/25</t>
        </is>
      </c>
      <c r="Q74" s="29">
        <v>22.81</v>
      </c>
      <c r="R74" s="27" t="inlineStr">
        <is>
          <t xml:space="preserve">nov/25</t>
        </is>
      </c>
      <c r="S74" s="30">
        <v>10.3375</v>
      </c>
      <c r="T74" s="27" t="inlineStr">
        <is>
          <t xml:space="preserve">nov/25</t>
        </is>
      </c>
      <c r="U74" s="30">
        <v>4.2175</v>
      </c>
      <c r="V74" s="27" t="inlineStr">
        <is>
          <t xml:space="preserve">dez/25</t>
        </is>
      </c>
      <c r="W74" s="29">
        <v>281.9</v>
      </c>
      <c r="X74" s="27" t="inlineStr">
        <is>
          <t xml:space="preserve">out/25</t>
        </is>
      </c>
      <c r="Y74" s="30">
        <v>0.5098</v>
      </c>
      <c r="Z74" s="27" t="inlineStr">
        <is>
          <t xml:space="preserve">out/25</t>
        </is>
      </c>
      <c r="AA74" s="29">
        <v>374.35</v>
      </c>
      <c r="AB74" s="29">
        <v>118.84</v>
      </c>
      <c r="AC74" s="29">
        <v>312.54</v>
      </c>
      <c r="AD74" s="29">
        <v>316.55</v>
      </c>
      <c r="AE74" s="29">
        <v>299.96</v>
      </c>
      <c r="AF74" s="29">
        <v>292.29</v>
      </c>
      <c r="AG74" s="29">
        <v>296.76</v>
      </c>
      <c r="AH74" s="29">
        <v>288.9</v>
      </c>
      <c r="AI74" s="29">
        <v>302.02</v>
      </c>
      <c r="AJ74" s="29">
        <v>283.28</v>
      </c>
      <c r="AK74" s="29">
        <v>286.66</v>
      </c>
      <c r="AL74" s="29">
        <v>9.14</v>
      </c>
      <c r="AM74" s="29">
        <v>9.04</v>
      </c>
      <c r="AN74" s="29">
        <v>8.72</v>
      </c>
      <c r="AO74" s="29">
        <v>8.78</v>
      </c>
      <c r="AP74" s="29">
        <v>7.34</v>
      </c>
      <c r="AQ74" s="29">
        <v>148.32</v>
      </c>
      <c r="AR74" s="29">
        <v>164.43</v>
      </c>
      <c r="BH74" s="29">
        <v>1274.06</v>
      </c>
      <c r="BI74" s="29">
        <v>66.19</v>
      </c>
      <c r="BK74" s="29">
        <v>252.12</v>
      </c>
      <c r="BL74" s="29">
        <v>214.16</v>
      </c>
      <c r="BM74" s="29">
        <v>223.26</v>
      </c>
      <c r="BN74" s="29">
        <v>198.86</v>
      </c>
      <c r="BO74" s="29">
        <v>132.45</v>
      </c>
      <c r="BQ74" s="29">
        <v>122.62</v>
      </c>
      <c r="BR74" s="29">
        <v>105.62</v>
      </c>
      <c r="BX74" s="29">
        <v>44.0</v>
      </c>
      <c r="BY74" s="29">
        <v>52.0</v>
      </c>
      <c r="BZ74" s="29">
        <v>39.0</v>
      </c>
      <c r="CA74" s="29">
        <v>43.6</v>
      </c>
      <c r="CD74" s="29">
        <v>48.83</v>
      </c>
      <c r="CE74" s="29">
        <v>58.17</v>
      </c>
      <c r="CI74" s="29">
        <v>7235.0</v>
      </c>
      <c r="CJ74" s="27" t="inlineStr">
        <is>
          <t xml:space="preserve">dez/25</t>
        </is>
      </c>
    </row>
    <row r="75">
      <c r="A75" s="28">
        <v>45909</v>
      </c>
      <c r="B75" s="29">
        <v>1387.86</v>
      </c>
      <c r="C75" s="29">
        <v>2911.87</v>
      </c>
      <c r="D75" s="29">
        <v>7.4</v>
      </c>
      <c r="E75" s="29">
        <v>9.42</v>
      </c>
      <c r="F75" s="29">
        <v>2318.81</v>
      </c>
      <c r="G75" s="29">
        <v>1361.12</v>
      </c>
      <c r="H75" s="29">
        <v>465.25</v>
      </c>
      <c r="I75" s="27" t="inlineStr">
        <is>
          <t xml:space="preserve">dez/25</t>
        </is>
      </c>
      <c r="J75" s="29">
        <v>141618.29</v>
      </c>
      <c r="K75" s="30">
        <v>5461.5</v>
      </c>
      <c r="L75" s="27" t="inlineStr">
        <is>
          <t xml:space="preserve">out/25</t>
        </is>
      </c>
      <c r="M75" s="29">
        <v>313.5</v>
      </c>
      <c r="N75" s="27" t="inlineStr">
        <is>
          <t xml:space="preserve">out/25</t>
        </is>
      </c>
      <c r="O75" s="29">
        <v>68.23</v>
      </c>
      <c r="P75" s="27" t="inlineStr">
        <is>
          <t xml:space="preserve">nov/25</t>
        </is>
      </c>
      <c r="Q75" s="29">
        <v>22.71</v>
      </c>
      <c r="R75" s="27" t="inlineStr">
        <is>
          <t xml:space="preserve">nov/25</t>
        </is>
      </c>
      <c r="S75" s="30">
        <v>10.3125</v>
      </c>
      <c r="T75" s="27" t="inlineStr">
        <is>
          <t xml:space="preserve">nov/25</t>
        </is>
      </c>
      <c r="U75" s="30">
        <v>4.1975</v>
      </c>
      <c r="V75" s="27" t="inlineStr">
        <is>
          <t xml:space="preserve">dez/25</t>
        </is>
      </c>
      <c r="W75" s="29">
        <v>287.7</v>
      </c>
      <c r="X75" s="27" t="inlineStr">
        <is>
          <t xml:space="preserve">out/25</t>
        </is>
      </c>
      <c r="Y75" s="30">
        <v>0.4993</v>
      </c>
      <c r="Z75" s="27" t="inlineStr">
        <is>
          <t xml:space="preserve">out/25</t>
        </is>
      </c>
      <c r="AA75" s="29">
        <v>369.27</v>
      </c>
      <c r="AB75" s="29">
        <v>119.52</v>
      </c>
      <c r="AL75" s="29">
        <v>9.14</v>
      </c>
      <c r="AM75" s="29">
        <v>9.05</v>
      </c>
      <c r="AN75" s="29">
        <v>8.72</v>
      </c>
      <c r="AO75" s="29">
        <v>8.78</v>
      </c>
      <c r="AP75" s="29">
        <v>7.41</v>
      </c>
      <c r="AQ75" s="29">
        <v>148.32</v>
      </c>
      <c r="AR75" s="29">
        <v>165.05</v>
      </c>
      <c r="BH75" s="29">
        <v>1270.79</v>
      </c>
      <c r="BI75" s="29">
        <v>66.03</v>
      </c>
      <c r="BK75" s="29">
        <v>252.06</v>
      </c>
      <c r="BL75" s="29">
        <v>219.66</v>
      </c>
      <c r="BM75" s="29">
        <v>227.77</v>
      </c>
      <c r="BN75" s="29">
        <v>200.58</v>
      </c>
      <c r="BO75" s="29">
        <v>134.78</v>
      </c>
      <c r="BQ75" s="29">
        <v>122.6</v>
      </c>
      <c r="BR75" s="29">
        <v>108.12</v>
      </c>
      <c r="BX75" s="29">
        <v>44.0</v>
      </c>
      <c r="BY75" s="29">
        <v>52.0</v>
      </c>
      <c r="BZ75" s="29">
        <v>39.0</v>
      </c>
      <c r="CA75" s="29">
        <v>43.6</v>
      </c>
      <c r="CD75" s="29">
        <v>48.77</v>
      </c>
      <c r="CE75" s="29">
        <v>57.97</v>
      </c>
      <c r="CI75" s="29">
        <v>7395.0</v>
      </c>
      <c r="CJ75" s="27" t="inlineStr">
        <is>
          <t xml:space="preserve">dez/25</t>
        </is>
      </c>
    </row>
    <row r="76">
      <c r="A76" s="28">
        <v>45910</v>
      </c>
      <c r="B76" s="29">
        <v>1382.53</v>
      </c>
      <c r="C76" s="29">
        <v>2903.39</v>
      </c>
      <c r="D76" s="29">
        <v>7.5</v>
      </c>
      <c r="E76" s="29">
        <v>9.42</v>
      </c>
      <c r="F76" s="29">
        <v>2333.43</v>
      </c>
      <c r="G76" s="29">
        <v>1385.55</v>
      </c>
      <c r="H76" s="29">
        <v>470.0</v>
      </c>
      <c r="I76" s="27" t="inlineStr">
        <is>
          <t xml:space="preserve">dez/25</t>
        </is>
      </c>
      <c r="J76" s="29">
        <v>142348.7</v>
      </c>
      <c r="K76" s="30">
        <v>5429.0</v>
      </c>
      <c r="L76" s="27" t="inlineStr">
        <is>
          <t xml:space="preserve">out/25</t>
        </is>
      </c>
      <c r="M76" s="29">
        <v>314.15</v>
      </c>
      <c r="N76" s="27" t="inlineStr">
        <is>
          <t xml:space="preserve">out/25</t>
        </is>
      </c>
      <c r="O76" s="29">
        <v>68.06</v>
      </c>
      <c r="P76" s="27" t="inlineStr">
        <is>
          <t xml:space="preserve">nov/25</t>
        </is>
      </c>
      <c r="Q76" s="29">
        <v>22.61</v>
      </c>
      <c r="R76" s="27" t="inlineStr">
        <is>
          <t xml:space="preserve">nov/25</t>
        </is>
      </c>
      <c r="S76" s="30">
        <v>10.2525</v>
      </c>
      <c r="T76" s="27" t="inlineStr">
        <is>
          <t xml:space="preserve">nov/25</t>
        </is>
      </c>
      <c r="U76" s="30">
        <v>4.17</v>
      </c>
      <c r="V76" s="27" t="inlineStr">
        <is>
          <t xml:space="preserve">dez/25</t>
        </is>
      </c>
      <c r="W76" s="29">
        <v>283.5</v>
      </c>
      <c r="X76" s="27" t="inlineStr">
        <is>
          <t xml:space="preserve">out/25</t>
        </is>
      </c>
      <c r="Y76" s="30">
        <v>0.5047</v>
      </c>
      <c r="Z76" s="27" t="inlineStr">
        <is>
          <t xml:space="preserve">out/25</t>
        </is>
      </c>
      <c r="AA76" s="29">
        <v>372.31</v>
      </c>
      <c r="AB76" s="29">
        <v>119.39</v>
      </c>
      <c r="AC76" s="29">
        <v>311.19</v>
      </c>
      <c r="AD76" s="29">
        <v>316.93</v>
      </c>
      <c r="AE76" s="29">
        <v>299.26</v>
      </c>
      <c r="AF76" s="29">
        <v>290.74</v>
      </c>
      <c r="AG76" s="29">
        <v>296.51</v>
      </c>
      <c r="AH76" s="29">
        <v>288.75</v>
      </c>
      <c r="AI76" s="29">
        <v>301.12</v>
      </c>
      <c r="AJ76" s="29">
        <v>283.69</v>
      </c>
      <c r="AK76" s="29">
        <v>286.5</v>
      </c>
      <c r="AL76" s="29">
        <v>9.13</v>
      </c>
      <c r="AM76" s="29">
        <v>9.06</v>
      </c>
      <c r="AN76" s="29">
        <v>8.72</v>
      </c>
      <c r="AO76" s="29">
        <v>8.78</v>
      </c>
      <c r="AP76" s="29">
        <v>7.51</v>
      </c>
      <c r="AQ76" s="29">
        <v>148.32</v>
      </c>
      <c r="AR76" s="29">
        <v>165.05</v>
      </c>
      <c r="BH76" s="29">
        <v>1269.72</v>
      </c>
      <c r="BI76" s="29">
        <v>65.19</v>
      </c>
      <c r="BK76" s="29">
        <v>252.37</v>
      </c>
      <c r="BL76" s="29">
        <v>217.16</v>
      </c>
      <c r="BM76" s="29">
        <v>229.12</v>
      </c>
      <c r="BN76" s="29">
        <v>197.37</v>
      </c>
      <c r="BO76" s="29">
        <v>135.6</v>
      </c>
      <c r="BQ76" s="29">
        <v>124.17</v>
      </c>
      <c r="BR76" s="29">
        <v>108.12</v>
      </c>
      <c r="BX76" s="29">
        <v>44.0</v>
      </c>
      <c r="BY76" s="29">
        <v>52.0</v>
      </c>
      <c r="BZ76" s="29">
        <v>39.0</v>
      </c>
      <c r="CA76" s="29">
        <v>43.6</v>
      </c>
      <c r="CD76" s="29">
        <v>48.88</v>
      </c>
      <c r="CE76" s="29">
        <v>59.39</v>
      </c>
      <c r="CI76" s="29">
        <v>7468.0</v>
      </c>
      <c r="CJ76" s="27" t="inlineStr">
        <is>
          <t xml:space="preserve">dez/25</t>
        </is>
      </c>
    </row>
    <row r="77">
      <c r="A77" s="28">
        <v>45911</v>
      </c>
      <c r="B77" s="29">
        <v>1387.67</v>
      </c>
      <c r="C77" s="29">
        <v>2894.33</v>
      </c>
      <c r="D77" s="29">
        <v>7.5</v>
      </c>
      <c r="E77" s="29">
        <v>9.43</v>
      </c>
      <c r="F77" s="29">
        <v>2325.54</v>
      </c>
      <c r="G77" s="29">
        <v>1392.94</v>
      </c>
      <c r="H77" s="29">
        <v>472.5</v>
      </c>
      <c r="I77" s="27" t="inlineStr">
        <is>
          <t xml:space="preserve">dez/25</t>
        </is>
      </c>
      <c r="J77" s="29">
        <v>143150.84</v>
      </c>
      <c r="K77" s="30">
        <v>5416.5</v>
      </c>
      <c r="L77" s="27" t="inlineStr">
        <is>
          <t xml:space="preserve">out/25</t>
        </is>
      </c>
      <c r="M77" s="29">
        <v>311.9</v>
      </c>
      <c r="N77" s="27" t="inlineStr">
        <is>
          <t xml:space="preserve">out/25</t>
        </is>
      </c>
      <c r="O77" s="29">
        <v>67.91</v>
      </c>
      <c r="P77" s="27" t="inlineStr">
        <is>
          <t xml:space="preserve">nov/25</t>
        </is>
      </c>
      <c r="Q77" s="29">
        <v>22.83</v>
      </c>
      <c r="R77" s="27" t="inlineStr">
        <is>
          <t xml:space="preserve">nov/25</t>
        </is>
      </c>
      <c r="S77" s="30">
        <v>10.335</v>
      </c>
      <c r="T77" s="27" t="inlineStr">
        <is>
          <t xml:space="preserve">nov/25</t>
        </is>
      </c>
      <c r="U77" s="30">
        <v>4.1975</v>
      </c>
      <c r="V77" s="27" t="inlineStr">
        <is>
          <t xml:space="preserve">dez/25</t>
        </is>
      </c>
      <c r="W77" s="29">
        <v>286.1</v>
      </c>
      <c r="X77" s="27" t="inlineStr">
        <is>
          <t xml:space="preserve">out/25</t>
        </is>
      </c>
      <c r="Y77" s="30">
        <v>0.5108</v>
      </c>
      <c r="Z77" s="27" t="inlineStr">
        <is>
          <t xml:space="preserve">out/25</t>
        </is>
      </c>
      <c r="AA77" s="29">
        <v>370.7</v>
      </c>
      <c r="AB77" s="29">
        <v>118.96</v>
      </c>
      <c r="AC77" s="29">
        <v>311.37</v>
      </c>
      <c r="AD77" s="29">
        <v>317.13</v>
      </c>
      <c r="AE77" s="29">
        <v>299.33</v>
      </c>
      <c r="AF77" s="29">
        <v>288.15</v>
      </c>
      <c r="AG77" s="29">
        <v>295.78</v>
      </c>
      <c r="AH77" s="29">
        <v>287.42</v>
      </c>
      <c r="AI77" s="29">
        <v>300.22</v>
      </c>
      <c r="AJ77" s="29">
        <v>282.89</v>
      </c>
      <c r="AK77" s="29">
        <v>286.51</v>
      </c>
      <c r="AL77" s="29">
        <v>9.14</v>
      </c>
      <c r="AM77" s="29">
        <v>9.07</v>
      </c>
      <c r="AN77" s="29">
        <v>8.73</v>
      </c>
      <c r="AO77" s="29">
        <v>8.81</v>
      </c>
      <c r="AP77" s="29">
        <v>7.51</v>
      </c>
      <c r="AQ77" s="29">
        <v>148.4</v>
      </c>
      <c r="AR77" s="29">
        <v>164.62</v>
      </c>
      <c r="BH77" s="29">
        <v>1269.72</v>
      </c>
      <c r="BI77" s="29">
        <v>64.36</v>
      </c>
      <c r="BK77" s="29">
        <v>260.17</v>
      </c>
      <c r="BL77" s="29">
        <v>222.49</v>
      </c>
      <c r="BM77" s="29">
        <v>231.72</v>
      </c>
      <c r="BN77" s="29">
        <v>198.9</v>
      </c>
      <c r="BO77" s="29">
        <v>134.45</v>
      </c>
      <c r="BQ77" s="29">
        <v>124.27</v>
      </c>
      <c r="BR77" s="29">
        <v>108.12</v>
      </c>
      <c r="BX77" s="29">
        <v>44.0</v>
      </c>
      <c r="BY77" s="29">
        <v>52.0</v>
      </c>
      <c r="BZ77" s="29">
        <v>39.0</v>
      </c>
      <c r="CA77" s="29">
        <v>43.6</v>
      </c>
      <c r="CD77" s="29">
        <v>48.88</v>
      </c>
      <c r="CE77" s="29">
        <v>58.7</v>
      </c>
      <c r="CI77" s="29">
        <v>7528.0</v>
      </c>
      <c r="CJ77" s="27" t="inlineStr">
        <is>
          <t xml:space="preserve">dez/25</t>
        </is>
      </c>
    </row>
    <row r="78">
      <c r="A78" s="28">
        <v>45912</v>
      </c>
      <c r="B78" s="29">
        <v>1382.0</v>
      </c>
      <c r="C78" s="29">
        <v>2891.19</v>
      </c>
      <c r="D78" s="29">
        <v>7.5</v>
      </c>
      <c r="E78" s="29">
        <v>9.41</v>
      </c>
      <c r="F78" s="29">
        <v>2345.68</v>
      </c>
      <c r="G78" s="29">
        <v>1421.24</v>
      </c>
      <c r="H78" s="29">
        <v>484.9</v>
      </c>
      <c r="I78" s="27" t="inlineStr">
        <is>
          <t xml:space="preserve">dez/25</t>
        </is>
      </c>
      <c r="J78" s="29">
        <v>142271.58</v>
      </c>
      <c r="K78" s="30">
        <v>5370.5</v>
      </c>
      <c r="L78" s="27" t="inlineStr">
        <is>
          <t xml:space="preserve">out/25</t>
        </is>
      </c>
      <c r="M78" s="29">
        <v>311.2</v>
      </c>
      <c r="N78" s="27" t="inlineStr">
        <is>
          <t xml:space="preserve">out/25</t>
        </is>
      </c>
      <c r="O78" s="29">
        <v>68.2</v>
      </c>
      <c r="P78" s="27" t="inlineStr">
        <is>
          <t xml:space="preserve">nov/25</t>
        </is>
      </c>
      <c r="Q78" s="29">
        <v>23.06</v>
      </c>
      <c r="R78" s="27" t="inlineStr">
        <is>
          <t xml:space="preserve">nov/25</t>
        </is>
      </c>
      <c r="S78" s="30">
        <v>10.4625</v>
      </c>
      <c r="T78" s="27" t="inlineStr">
        <is>
          <t xml:space="preserve">nov/25</t>
        </is>
      </c>
      <c r="U78" s="30">
        <v>4.3</v>
      </c>
      <c r="V78" s="27" t="inlineStr">
        <is>
          <t xml:space="preserve">dez/25</t>
        </is>
      </c>
      <c r="W78" s="29">
        <v>287.6</v>
      </c>
      <c r="X78" s="27" t="inlineStr">
        <is>
          <t xml:space="preserve">out/25</t>
        </is>
      </c>
      <c r="Y78" s="30">
        <v>0.5167</v>
      </c>
      <c r="Z78" s="27" t="inlineStr">
        <is>
          <t xml:space="preserve">out/25</t>
        </is>
      </c>
      <c r="AA78" s="29">
        <v>365.9</v>
      </c>
      <c r="AB78" s="29">
        <v>117.23</v>
      </c>
      <c r="AC78" s="29">
        <v>310.9</v>
      </c>
      <c r="AD78" s="29">
        <v>317.47</v>
      </c>
      <c r="AE78" s="29">
        <v>299.0</v>
      </c>
      <c r="AF78" s="29">
        <v>288.39</v>
      </c>
      <c r="AG78" s="29">
        <v>293.61</v>
      </c>
      <c r="AH78" s="29">
        <v>288.63</v>
      </c>
      <c r="AI78" s="29">
        <v>301.36</v>
      </c>
      <c r="AJ78" s="29">
        <v>282.49</v>
      </c>
      <c r="AK78" s="29">
        <v>286.3</v>
      </c>
      <c r="AL78" s="29">
        <v>9.07</v>
      </c>
      <c r="AM78" s="29">
        <v>9.07</v>
      </c>
      <c r="AN78" s="29">
        <v>8.72</v>
      </c>
      <c r="AO78" s="29">
        <v>8.81</v>
      </c>
      <c r="AP78" s="29">
        <v>7.51</v>
      </c>
      <c r="AQ78" s="29">
        <v>148.4</v>
      </c>
      <c r="AR78" s="29">
        <v>163.9</v>
      </c>
      <c r="BC78" s="29">
        <v>7.87</v>
      </c>
      <c r="BD78" s="29">
        <v>8.26</v>
      </c>
      <c r="BE78" s="29">
        <v>8.48</v>
      </c>
      <c r="BF78" s="29">
        <v>7.25</v>
      </c>
      <c r="BG78" s="29">
        <v>8.03</v>
      </c>
      <c r="BH78" s="29">
        <v>1267.68</v>
      </c>
      <c r="BI78" s="29">
        <v>64.36</v>
      </c>
      <c r="BK78" s="29">
        <v>260.39</v>
      </c>
      <c r="BL78" s="29">
        <v>225.15</v>
      </c>
      <c r="BM78" s="29">
        <v>234.93</v>
      </c>
      <c r="BN78" s="29">
        <v>202.59</v>
      </c>
      <c r="BO78" s="29">
        <v>134.74</v>
      </c>
      <c r="BQ78" s="29">
        <v>127.61</v>
      </c>
      <c r="BR78" s="29">
        <v>108.12</v>
      </c>
      <c r="BS78" s="30">
        <v>2.7813</v>
      </c>
      <c r="BT78" s="30">
        <v>3.2746</v>
      </c>
      <c r="BU78" s="29">
        <v>519.73</v>
      </c>
      <c r="BV78" s="29">
        <v>422.51</v>
      </c>
      <c r="BW78" s="29">
        <v>456.54</v>
      </c>
      <c r="BX78" s="29">
        <v>44.0</v>
      </c>
      <c r="BY78" s="29">
        <v>52.0</v>
      </c>
      <c r="BZ78" s="29">
        <v>39.0</v>
      </c>
      <c r="CA78" s="29">
        <v>43.6</v>
      </c>
      <c r="CD78" s="29">
        <v>48.88</v>
      </c>
      <c r="CE78" s="29">
        <v>58.66</v>
      </c>
      <c r="CI78" s="29">
        <v>7420.0</v>
      </c>
      <c r="CJ78" s="27" t="inlineStr">
        <is>
          <t xml:space="preserve">dez/25</t>
        </is>
      </c>
    </row>
    <row r="79">
      <c r="A79" s="28">
        <v>45915</v>
      </c>
      <c r="B79" s="29">
        <v>1383.7</v>
      </c>
      <c r="C79" s="29">
        <v>2910.44</v>
      </c>
      <c r="D79" s="29">
        <v>7.73</v>
      </c>
      <c r="E79" s="29">
        <v>9.35</v>
      </c>
      <c r="F79" s="29">
        <v>2376.04</v>
      </c>
      <c r="G79" s="29">
        <v>1477.18</v>
      </c>
      <c r="H79" s="29">
        <v>504.75</v>
      </c>
      <c r="I79" s="27" t="inlineStr">
        <is>
          <t xml:space="preserve">dez/25</t>
        </is>
      </c>
      <c r="J79" s="29">
        <v>143546.58</v>
      </c>
      <c r="K79" s="30">
        <v>5337.5</v>
      </c>
      <c r="L79" s="27" t="inlineStr">
        <is>
          <t xml:space="preserve">out/25</t>
        </is>
      </c>
      <c r="M79" s="29">
        <v>310.05</v>
      </c>
      <c r="N79" s="27" t="inlineStr">
        <is>
          <t xml:space="preserve">out/25</t>
        </is>
      </c>
      <c r="O79" s="29">
        <v>67.36</v>
      </c>
      <c r="P79" s="27" t="inlineStr">
        <is>
          <t xml:space="preserve">nov/25</t>
        </is>
      </c>
      <c r="Q79" s="29">
        <v>22.97</v>
      </c>
      <c r="R79" s="27" t="inlineStr">
        <is>
          <t xml:space="preserve">nov/25</t>
        </is>
      </c>
      <c r="S79" s="30">
        <v>10.4275</v>
      </c>
      <c r="T79" s="27" t="inlineStr">
        <is>
          <t xml:space="preserve">nov/25</t>
        </is>
      </c>
      <c r="U79" s="30">
        <v>4.2325</v>
      </c>
      <c r="V79" s="27" t="inlineStr">
        <is>
          <t xml:space="preserve">dez/25</t>
        </is>
      </c>
      <c r="W79" s="29">
        <v>285.2</v>
      </c>
      <c r="X79" s="27" t="inlineStr">
        <is>
          <t xml:space="preserve">out/25</t>
        </is>
      </c>
      <c r="Y79" s="30">
        <v>0.5176</v>
      </c>
      <c r="Z79" s="27" t="inlineStr">
        <is>
          <t xml:space="preserve">out/25</t>
        </is>
      </c>
      <c r="AA79" s="29">
        <v>367.03</v>
      </c>
      <c r="AB79" s="29">
        <v>117.77</v>
      </c>
      <c r="AC79" s="29">
        <v>309.61</v>
      </c>
      <c r="AD79" s="29">
        <v>317.11</v>
      </c>
      <c r="AE79" s="29">
        <v>297.0</v>
      </c>
      <c r="AF79" s="29">
        <v>292.15</v>
      </c>
      <c r="AG79" s="29">
        <v>292.14</v>
      </c>
      <c r="AH79" s="29">
        <v>286.87</v>
      </c>
      <c r="AI79" s="29">
        <v>300.56</v>
      </c>
      <c r="AJ79" s="29">
        <v>281.22</v>
      </c>
      <c r="AK79" s="29">
        <v>286.3</v>
      </c>
      <c r="AL79" s="29">
        <v>9.01</v>
      </c>
      <c r="AM79" s="29">
        <v>8.98</v>
      </c>
      <c r="AN79" s="29">
        <v>8.65</v>
      </c>
      <c r="AO79" s="29">
        <v>8.77</v>
      </c>
      <c r="AP79" s="29">
        <v>7.76</v>
      </c>
      <c r="AQ79" s="29">
        <v>148.4</v>
      </c>
      <c r="AR79" s="29">
        <v>164.17</v>
      </c>
      <c r="BH79" s="29">
        <v>1267.31</v>
      </c>
      <c r="BI79" s="29">
        <v>64.45</v>
      </c>
      <c r="BK79" s="29">
        <v>260.77</v>
      </c>
      <c r="BL79" s="29">
        <v>236.55</v>
      </c>
      <c r="BM79" s="29">
        <v>237.09</v>
      </c>
      <c r="BN79" s="29">
        <v>206.6</v>
      </c>
      <c r="BO79" s="29">
        <v>134.26</v>
      </c>
      <c r="BQ79" s="29">
        <v>128.15</v>
      </c>
      <c r="BR79" s="29">
        <v>108.12</v>
      </c>
      <c r="BX79" s="29">
        <v>44.0</v>
      </c>
      <c r="BY79" s="29">
        <v>52.0</v>
      </c>
      <c r="BZ79" s="29">
        <v>39.0</v>
      </c>
      <c r="CA79" s="29">
        <v>43.6</v>
      </c>
      <c r="CD79" s="29">
        <v>49.32</v>
      </c>
      <c r="CE79" s="29">
        <v>59.05</v>
      </c>
      <c r="CI79" s="29">
        <v>7644.0</v>
      </c>
      <c r="CJ79" s="27" t="inlineStr">
        <is>
          <t xml:space="preserve">dez/25</t>
        </is>
      </c>
    </row>
    <row r="80">
      <c r="A80" s="28">
        <v>45916</v>
      </c>
      <c r="B80" s="29">
        <v>1371.39</v>
      </c>
      <c r="C80" s="29">
        <v>2934.96</v>
      </c>
      <c r="D80" s="29">
        <v>7.96</v>
      </c>
      <c r="E80" s="29">
        <v>9.29</v>
      </c>
      <c r="F80" s="29">
        <v>2358.64</v>
      </c>
      <c r="G80" s="29">
        <v>1476.22</v>
      </c>
      <c r="H80" s="29">
        <v>488.0</v>
      </c>
      <c r="I80" s="27" t="inlineStr">
        <is>
          <t xml:space="preserve">dez/25</t>
        </is>
      </c>
      <c r="J80" s="29">
        <v>144061.74</v>
      </c>
      <c r="K80" s="30">
        <v>5314.0</v>
      </c>
      <c r="L80" s="27" t="inlineStr">
        <is>
          <t xml:space="preserve">out/25</t>
        </is>
      </c>
      <c r="M80" s="29">
        <v>306.55</v>
      </c>
      <c r="N80" s="27" t="inlineStr">
        <is>
          <t xml:space="preserve">out/25</t>
        </is>
      </c>
      <c r="O80" s="29">
        <v>67.47</v>
      </c>
      <c r="P80" s="27" t="inlineStr">
        <is>
          <t xml:space="preserve">nov/25</t>
        </is>
      </c>
      <c r="Q80" s="29">
        <v>23.15</v>
      </c>
      <c r="R80" s="27" t="inlineStr">
        <is>
          <t xml:space="preserve">nov/25</t>
        </is>
      </c>
      <c r="S80" s="30">
        <v>10.4975</v>
      </c>
      <c r="T80" s="27" t="inlineStr">
        <is>
          <t xml:space="preserve">nov/25</t>
        </is>
      </c>
      <c r="U80" s="30">
        <v>4.295</v>
      </c>
      <c r="V80" s="27" t="inlineStr">
        <is>
          <t xml:space="preserve">dez/25</t>
        </is>
      </c>
      <c r="W80" s="29">
        <v>285.8</v>
      </c>
      <c r="X80" s="27" t="inlineStr">
        <is>
          <t xml:space="preserve">out/25</t>
        </is>
      </c>
      <c r="Y80" s="30">
        <v>0.5269</v>
      </c>
      <c r="Z80" s="27" t="inlineStr">
        <is>
          <t xml:space="preserve">out/25</t>
        </is>
      </c>
      <c r="AA80" s="29">
        <v>365.21</v>
      </c>
      <c r="AB80" s="29">
        <v>117.99</v>
      </c>
      <c r="AC80" s="29">
        <v>304.15</v>
      </c>
      <c r="AD80" s="29">
        <v>316.54</v>
      </c>
      <c r="AE80" s="29">
        <v>295.53</v>
      </c>
      <c r="AF80" s="29">
        <v>292.03</v>
      </c>
      <c r="AG80" s="29">
        <v>290.96</v>
      </c>
      <c r="AH80" s="29">
        <v>286.82</v>
      </c>
      <c r="AI80" s="29">
        <v>299.77</v>
      </c>
      <c r="AJ80" s="29">
        <v>281.73</v>
      </c>
      <c r="AK80" s="29">
        <v>286.15</v>
      </c>
      <c r="AL80" s="29">
        <v>8.84</v>
      </c>
      <c r="AM80" s="29">
        <v>8.93</v>
      </c>
      <c r="AN80" s="29">
        <v>8.61</v>
      </c>
      <c r="AO80" s="29">
        <v>8.68</v>
      </c>
      <c r="AP80" s="29">
        <v>7.98</v>
      </c>
      <c r="AQ80" s="29">
        <v>148.12</v>
      </c>
      <c r="AR80" s="29">
        <v>164.17</v>
      </c>
      <c r="BH80" s="29">
        <v>1269.45</v>
      </c>
      <c r="BI80" s="29">
        <v>62.94</v>
      </c>
      <c r="BK80" s="29">
        <v>269.73</v>
      </c>
      <c r="BL80" s="29">
        <v>239.93</v>
      </c>
      <c r="BM80" s="29">
        <v>240.85</v>
      </c>
      <c r="BN80" s="29">
        <v>209.11</v>
      </c>
      <c r="BO80" s="29">
        <v>144.09</v>
      </c>
      <c r="BQ80" s="29">
        <v>129.85</v>
      </c>
      <c r="BX80" s="29">
        <v>44.0</v>
      </c>
      <c r="BY80" s="29">
        <v>52.0</v>
      </c>
      <c r="BZ80" s="29">
        <v>39.0</v>
      </c>
      <c r="CA80" s="29">
        <v>43.6</v>
      </c>
      <c r="CD80" s="29">
        <v>49.32</v>
      </c>
      <c r="CE80" s="29">
        <v>59.35</v>
      </c>
      <c r="CI80" s="29">
        <v>7371.0</v>
      </c>
      <c r="CJ80" s="27" t="inlineStr">
        <is>
          <t xml:space="preserve">dez/25</t>
        </is>
      </c>
    </row>
    <row r="81">
      <c r="A81" s="28">
        <v>45917</v>
      </c>
      <c r="B81" s="29">
        <v>1358.62</v>
      </c>
      <c r="C81" s="29">
        <v>2943.4</v>
      </c>
      <c r="D81" s="29">
        <v>7.96</v>
      </c>
      <c r="E81" s="29">
        <v>9.29</v>
      </c>
      <c r="F81" s="29">
        <v>2237.29</v>
      </c>
      <c r="G81" s="29">
        <v>1408.43</v>
      </c>
      <c r="H81" s="29">
        <v>458.5</v>
      </c>
      <c r="I81" s="27" t="inlineStr">
        <is>
          <t xml:space="preserve">dez/25</t>
        </is>
      </c>
      <c r="J81" s="29">
        <v>145593.63</v>
      </c>
      <c r="K81" s="30">
        <v>5325.5</v>
      </c>
      <c r="L81" s="27" t="inlineStr">
        <is>
          <t xml:space="preserve">out/25</t>
        </is>
      </c>
      <c r="M81" s="29">
        <v>306.9</v>
      </c>
      <c r="N81" s="27" t="inlineStr">
        <is>
          <t xml:space="preserve">out/25</t>
        </is>
      </c>
      <c r="O81" s="29">
        <v>67.25</v>
      </c>
      <c r="P81" s="27" t="inlineStr">
        <is>
          <t xml:space="preserve">nov/25</t>
        </is>
      </c>
      <c r="Q81" s="29">
        <v>23.03</v>
      </c>
      <c r="R81" s="27" t="inlineStr">
        <is>
          <t xml:space="preserve">nov/25</t>
        </is>
      </c>
      <c r="S81" s="30">
        <v>10.4375</v>
      </c>
      <c r="T81" s="27" t="inlineStr">
        <is>
          <t xml:space="preserve">nov/25</t>
        </is>
      </c>
      <c r="U81" s="30">
        <v>4.2675</v>
      </c>
      <c r="V81" s="27" t="inlineStr">
        <is>
          <t xml:space="preserve">dez/25</t>
        </is>
      </c>
      <c r="W81" s="29">
        <v>283.9</v>
      </c>
      <c r="X81" s="27" t="inlineStr">
        <is>
          <t xml:space="preserve">out/25</t>
        </is>
      </c>
      <c r="Y81" s="30">
        <v>0.5124</v>
      </c>
      <c r="Z81" s="27" t="inlineStr">
        <is>
          <t xml:space="preserve">out/25</t>
        </is>
      </c>
      <c r="AA81" s="29">
        <v>364.73</v>
      </c>
      <c r="AB81" s="29">
        <v>119.37</v>
      </c>
      <c r="AC81" s="29">
        <v>305.8</v>
      </c>
      <c r="AD81" s="29">
        <v>316.53</v>
      </c>
      <c r="AE81" s="29">
        <v>295.47</v>
      </c>
      <c r="AF81" s="29">
        <v>291.51</v>
      </c>
      <c r="AG81" s="29">
        <v>289.85</v>
      </c>
      <c r="AH81" s="29">
        <v>286.99</v>
      </c>
      <c r="AI81" s="29">
        <v>296.39</v>
      </c>
      <c r="AJ81" s="29">
        <v>280.91</v>
      </c>
      <c r="AK81" s="29">
        <v>287.17</v>
      </c>
      <c r="AL81" s="29">
        <v>8.85</v>
      </c>
      <c r="AM81" s="29">
        <v>8.92</v>
      </c>
      <c r="AN81" s="29">
        <v>8.58</v>
      </c>
      <c r="AO81" s="29">
        <v>8.59</v>
      </c>
      <c r="AP81" s="29">
        <v>7.98</v>
      </c>
      <c r="AQ81" s="29">
        <v>148.12</v>
      </c>
      <c r="AR81" s="29">
        <v>164.17</v>
      </c>
      <c r="BH81" s="29">
        <v>1260.88</v>
      </c>
      <c r="BI81" s="29">
        <v>62.57</v>
      </c>
      <c r="BK81" s="29">
        <v>272.94</v>
      </c>
      <c r="BL81" s="29">
        <v>240.6</v>
      </c>
      <c r="BM81" s="29">
        <v>248.02</v>
      </c>
      <c r="BN81" s="29">
        <v>211.99</v>
      </c>
      <c r="BO81" s="29">
        <v>145.96</v>
      </c>
      <c r="BQ81" s="29">
        <v>131.52</v>
      </c>
      <c r="BX81" s="29">
        <v>43.0</v>
      </c>
      <c r="BY81" s="29">
        <v>52.0</v>
      </c>
      <c r="BZ81" s="29">
        <v>39.0</v>
      </c>
      <c r="CA81" s="29">
        <v>43.6</v>
      </c>
      <c r="CD81" s="29">
        <v>49.76</v>
      </c>
      <c r="CE81" s="29">
        <v>57.96</v>
      </c>
      <c r="CI81" s="29">
        <v>7385.0</v>
      </c>
      <c r="CJ81" s="27" t="inlineStr">
        <is>
          <t xml:space="preserve">dez/25</t>
        </is>
      </c>
    </row>
    <row r="82">
      <c r="A82" s="28">
        <v>45918</v>
      </c>
      <c r="B82" s="29">
        <v>1339.47</v>
      </c>
      <c r="C82" s="29">
        <v>2954.79</v>
      </c>
      <c r="D82" s="29">
        <v>7.96</v>
      </c>
      <c r="E82" s="29">
        <v>9.29</v>
      </c>
      <c r="F82" s="29">
        <v>2215.26</v>
      </c>
      <c r="G82" s="29">
        <v>1389.44</v>
      </c>
      <c r="H82" s="29">
        <v>456.15</v>
      </c>
      <c r="I82" s="27" t="inlineStr">
        <is>
          <t xml:space="preserve">dez/25</t>
        </is>
      </c>
      <c r="J82" s="29">
        <v>145499.49</v>
      </c>
      <c r="K82" s="30">
        <v>5320.0</v>
      </c>
      <c r="L82" s="27" t="inlineStr">
        <is>
          <t xml:space="preserve">out/25</t>
        </is>
      </c>
      <c r="M82" s="29">
        <v>308.0</v>
      </c>
      <c r="N82" s="27" t="inlineStr">
        <is>
          <t xml:space="preserve">out/25</t>
        </is>
      </c>
      <c r="O82" s="29">
        <v>67.25</v>
      </c>
      <c r="P82" s="27" t="inlineStr">
        <is>
          <t xml:space="preserve">nov/25</t>
        </is>
      </c>
      <c r="Q82" s="29">
        <v>22.87</v>
      </c>
      <c r="R82" s="27" t="inlineStr">
        <is>
          <t xml:space="preserve">nov/25</t>
        </is>
      </c>
      <c r="S82" s="30">
        <v>10.375</v>
      </c>
      <c r="T82" s="27" t="inlineStr">
        <is>
          <t xml:space="preserve">nov/25</t>
        </is>
      </c>
      <c r="U82" s="30">
        <v>4.2375</v>
      </c>
      <c r="V82" s="27" t="inlineStr">
        <is>
          <t xml:space="preserve">dez/25</t>
        </is>
      </c>
      <c r="W82" s="29">
        <v>283.0</v>
      </c>
      <c r="X82" s="27" t="inlineStr">
        <is>
          <t xml:space="preserve">out/25</t>
        </is>
      </c>
      <c r="Y82" s="30">
        <v>0.5057</v>
      </c>
      <c r="Z82" s="27" t="inlineStr">
        <is>
          <t xml:space="preserve">out/25</t>
        </is>
      </c>
      <c r="AA82" s="29">
        <v>363.35</v>
      </c>
      <c r="AB82" s="29">
        <v>119.33</v>
      </c>
      <c r="AC82" s="29">
        <v>305.09</v>
      </c>
      <c r="AD82" s="29">
        <v>316.74</v>
      </c>
      <c r="AE82" s="29">
        <v>294.3</v>
      </c>
      <c r="AF82" s="29">
        <v>291.12</v>
      </c>
      <c r="AG82" s="29">
        <v>289.2</v>
      </c>
      <c r="AH82" s="29">
        <v>286.91</v>
      </c>
      <c r="AI82" s="29">
        <v>295.89</v>
      </c>
      <c r="AJ82" s="29">
        <v>278.52</v>
      </c>
      <c r="AK82" s="29">
        <v>287.16</v>
      </c>
      <c r="AL82" s="29">
        <v>8.75</v>
      </c>
      <c r="AM82" s="29">
        <v>8.9</v>
      </c>
      <c r="AN82" s="29">
        <v>8.58</v>
      </c>
      <c r="AO82" s="29">
        <v>8.51</v>
      </c>
      <c r="AP82" s="29">
        <v>7.98</v>
      </c>
      <c r="AQ82" s="29">
        <v>148.13</v>
      </c>
      <c r="AR82" s="29">
        <v>163.54</v>
      </c>
      <c r="BH82" s="29">
        <v>1260.31</v>
      </c>
      <c r="BI82" s="29">
        <v>62.23</v>
      </c>
      <c r="BK82" s="29">
        <v>277.44</v>
      </c>
      <c r="BL82" s="29">
        <v>238.99</v>
      </c>
      <c r="BM82" s="29">
        <v>251.49</v>
      </c>
      <c r="BN82" s="29">
        <v>213.32</v>
      </c>
      <c r="BO82" s="29">
        <v>148.53</v>
      </c>
      <c r="BQ82" s="29">
        <v>132.53</v>
      </c>
      <c r="BX82" s="29">
        <v>43.0</v>
      </c>
      <c r="BY82" s="29">
        <v>52.0</v>
      </c>
      <c r="BZ82" s="29">
        <v>39.0</v>
      </c>
      <c r="CA82" s="29">
        <v>43.6</v>
      </c>
      <c r="CD82" s="29">
        <v>49.79</v>
      </c>
      <c r="CE82" s="29">
        <v>58.22</v>
      </c>
      <c r="CI82" s="29">
        <v>7233.0</v>
      </c>
      <c r="CJ82" s="27" t="inlineStr">
        <is>
          <t xml:space="preserve">dez/25</t>
        </is>
      </c>
    </row>
    <row r="83">
      <c r="A83" s="28">
        <v>45919</v>
      </c>
      <c r="B83" s="29">
        <v>1296.89</v>
      </c>
      <c r="C83" s="29">
        <v>2950.21</v>
      </c>
      <c r="D83" s="29">
        <v>7.96</v>
      </c>
      <c r="E83" s="29">
        <v>9.19</v>
      </c>
      <c r="F83" s="29">
        <v>2147.29</v>
      </c>
      <c r="G83" s="29">
        <v>1288.48</v>
      </c>
      <c r="H83" s="29">
        <v>437.0</v>
      </c>
      <c r="I83" s="27" t="inlineStr">
        <is>
          <t xml:space="preserve">dez/25</t>
        </is>
      </c>
      <c r="J83" s="29">
        <v>145865.11</v>
      </c>
      <c r="K83" s="30">
        <v>5347.0</v>
      </c>
      <c r="L83" s="27" t="inlineStr">
        <is>
          <t xml:space="preserve">out/25</t>
        </is>
      </c>
      <c r="M83" s="29">
        <v>310.15</v>
      </c>
      <c r="N83" s="27" t="inlineStr">
        <is>
          <t xml:space="preserve">out/25</t>
        </is>
      </c>
      <c r="O83" s="29">
        <v>67.35</v>
      </c>
      <c r="P83" s="27" t="inlineStr">
        <is>
          <t xml:space="preserve">nov/25</t>
        </is>
      </c>
      <c r="Q83" s="29">
        <v>22.62</v>
      </c>
      <c r="R83" s="27" t="inlineStr">
        <is>
          <t xml:space="preserve">nov/25</t>
        </is>
      </c>
      <c r="S83" s="30">
        <v>10.255</v>
      </c>
      <c r="T83" s="27" t="inlineStr">
        <is>
          <t xml:space="preserve">nov/25</t>
        </is>
      </c>
      <c r="U83" s="30">
        <v>4.24</v>
      </c>
      <c r="V83" s="27" t="inlineStr">
        <is>
          <t xml:space="preserve">dez/25</t>
        </is>
      </c>
      <c r="W83" s="29">
        <v>282.9</v>
      </c>
      <c r="X83" s="27" t="inlineStr">
        <is>
          <t xml:space="preserve">out/25</t>
        </is>
      </c>
      <c r="Y83" s="30">
        <v>0.5003</v>
      </c>
      <c r="Z83" s="27" t="inlineStr">
        <is>
          <t xml:space="preserve">out/25</t>
        </is>
      </c>
      <c r="AA83" s="29">
        <v>366.4</v>
      </c>
      <c r="AB83" s="29">
        <v>120.45</v>
      </c>
      <c r="AL83" s="29">
        <v>8.57</v>
      </c>
      <c r="AM83" s="29">
        <v>8.8</v>
      </c>
      <c r="AN83" s="29">
        <v>8.57</v>
      </c>
      <c r="AO83" s="29">
        <v>8.48</v>
      </c>
      <c r="AP83" s="29">
        <v>7.98</v>
      </c>
      <c r="AQ83" s="29">
        <v>144.35</v>
      </c>
      <c r="AR83" s="29">
        <v>158.08</v>
      </c>
      <c r="BC83" s="29">
        <v>7.89</v>
      </c>
      <c r="BD83" s="29">
        <v>8.33</v>
      </c>
      <c r="BE83" s="29">
        <v>8.5</v>
      </c>
      <c r="BF83" s="29">
        <v>7.37</v>
      </c>
      <c r="BG83" s="29">
        <v>8.04</v>
      </c>
      <c r="BH83" s="29">
        <v>1256.83</v>
      </c>
      <c r="BI83" s="29">
        <v>61.89</v>
      </c>
      <c r="BK83" s="29">
        <v>277.22</v>
      </c>
      <c r="BL83" s="29">
        <v>241.68</v>
      </c>
      <c r="BM83" s="29">
        <v>254.04</v>
      </c>
      <c r="BN83" s="29">
        <v>214.18</v>
      </c>
      <c r="BO83" s="29">
        <v>149.38</v>
      </c>
      <c r="BQ83" s="29">
        <v>134.35</v>
      </c>
      <c r="BS83" s="30">
        <v>2.7471</v>
      </c>
      <c r="BT83" s="30">
        <v>3.2155</v>
      </c>
      <c r="BU83" s="29">
        <v>567.41</v>
      </c>
      <c r="BV83" s="29">
        <v>477.99</v>
      </c>
      <c r="BW83" s="29">
        <v>478.6</v>
      </c>
      <c r="BX83" s="29">
        <v>43.0</v>
      </c>
      <c r="BY83" s="29">
        <v>52.0</v>
      </c>
      <c r="BZ83" s="29">
        <v>39.0</v>
      </c>
      <c r="CA83" s="29">
        <v>43.6</v>
      </c>
      <c r="CD83" s="29">
        <v>49.79</v>
      </c>
      <c r="CE83" s="29">
        <v>58.22</v>
      </c>
      <c r="CI83" s="29">
        <v>7243.0</v>
      </c>
      <c r="CJ83" s="27" t="inlineStr">
        <is>
          <t xml:space="preserve">dez/25</t>
        </is>
      </c>
    </row>
    <row r="84">
      <c r="A84" s="28">
        <v>45922</v>
      </c>
      <c r="B84" s="29">
        <v>1284.76</v>
      </c>
      <c r="C84" s="29">
        <v>2963.22</v>
      </c>
      <c r="D84" s="29">
        <v>7.97</v>
      </c>
      <c r="E84" s="29">
        <v>9.07</v>
      </c>
      <c r="F84" s="29">
        <v>2133.08</v>
      </c>
      <c r="G84" s="29">
        <v>1313.22</v>
      </c>
      <c r="J84" s="29">
        <v>145109.25</v>
      </c>
      <c r="K84" s="30">
        <v>5344.5</v>
      </c>
      <c r="L84" s="27" t="inlineStr">
        <is>
          <t xml:space="preserve">out/25</t>
        </is>
      </c>
      <c r="M84" s="29">
        <v>308.6</v>
      </c>
      <c r="N84" s="27" t="inlineStr">
        <is>
          <t xml:space="preserve">out/25</t>
        </is>
      </c>
      <c r="O84" s="29">
        <v>66.56</v>
      </c>
      <c r="P84" s="27" t="inlineStr">
        <is>
          <t xml:space="preserve">nov/25</t>
        </is>
      </c>
      <c r="Q84" s="29">
        <v>22.32</v>
      </c>
      <c r="R84" s="27" t="inlineStr">
        <is>
          <t xml:space="preserve">nov/25</t>
        </is>
      </c>
      <c r="S84" s="30">
        <v>10.11</v>
      </c>
      <c r="T84" s="27" t="inlineStr">
        <is>
          <t xml:space="preserve">nov/25</t>
        </is>
      </c>
      <c r="U84" s="30">
        <v>4.2175</v>
      </c>
      <c r="V84" s="27" t="inlineStr">
        <is>
          <t xml:space="preserve">dez/25</t>
        </is>
      </c>
      <c r="W84" s="29">
        <v>278.9</v>
      </c>
      <c r="X84" s="27" t="inlineStr">
        <is>
          <t xml:space="preserve">out/25</t>
        </is>
      </c>
      <c r="Y84" s="30">
        <v>0.4917</v>
      </c>
      <c r="Z84" s="27" t="inlineStr">
        <is>
          <t xml:space="preserve">out/25</t>
        </is>
      </c>
      <c r="AA84" s="29">
        <v>367.73</v>
      </c>
      <c r="AB84" s="29">
        <v>119.7</v>
      </c>
      <c r="AC84" s="29">
        <v>303.37</v>
      </c>
      <c r="AD84" s="29">
        <v>316.53</v>
      </c>
      <c r="AE84" s="29">
        <v>292.7</v>
      </c>
      <c r="AF84" s="29">
        <v>287.9</v>
      </c>
      <c r="AG84" s="29">
        <v>290.33</v>
      </c>
      <c r="AH84" s="29">
        <v>286.52</v>
      </c>
      <c r="AI84" s="29">
        <v>296.27</v>
      </c>
      <c r="AJ84" s="29">
        <v>277.09</v>
      </c>
      <c r="AK84" s="29">
        <v>286.66</v>
      </c>
      <c r="AL84" s="29">
        <v>8.43</v>
      </c>
      <c r="AM84" s="29">
        <v>8.71</v>
      </c>
      <c r="AN84" s="29">
        <v>8.51</v>
      </c>
      <c r="AO84" s="29">
        <v>8.41</v>
      </c>
      <c r="AP84" s="29">
        <v>7.99</v>
      </c>
      <c r="AQ84" s="29">
        <v>144.09</v>
      </c>
      <c r="AR84" s="29">
        <v>158.4</v>
      </c>
      <c r="BH84" s="29">
        <v>1251.62</v>
      </c>
      <c r="BI84" s="29">
        <v>61.9</v>
      </c>
      <c r="BK84" s="29">
        <v>279.52</v>
      </c>
      <c r="BL84" s="29">
        <v>240.24</v>
      </c>
      <c r="BM84" s="29">
        <v>254.96</v>
      </c>
      <c r="BN84" s="29">
        <v>214.26</v>
      </c>
      <c r="BO84" s="29">
        <v>161.62</v>
      </c>
      <c r="BQ84" s="29">
        <v>142.06</v>
      </c>
      <c r="BX84" s="29">
        <v>43.0</v>
      </c>
      <c r="BY84" s="29">
        <v>52.0</v>
      </c>
      <c r="BZ84" s="29">
        <v>39.0</v>
      </c>
      <c r="CA84" s="29">
        <v>43.6</v>
      </c>
      <c r="CD84" s="29">
        <v>50.53</v>
      </c>
      <c r="CE84" s="29">
        <v>58.22</v>
      </c>
      <c r="CI84" s="29">
        <v>6959.0</v>
      </c>
      <c r="CJ84" s="27" t="inlineStr">
        <is>
          <t xml:space="preserve">dez/25</t>
        </is>
      </c>
    </row>
    <row r="85">
      <c r="A85" s="28">
        <v>45923</v>
      </c>
      <c r="B85" s="29">
        <v>1275.84</v>
      </c>
      <c r="C85" s="29">
        <v>2970.59</v>
      </c>
      <c r="D85" s="29">
        <v>7.97</v>
      </c>
      <c r="E85" s="29">
        <v>9.06</v>
      </c>
      <c r="F85" s="29">
        <v>2055.69</v>
      </c>
      <c r="G85" s="29">
        <v>1278.86</v>
      </c>
      <c r="J85" s="29">
        <v>146424.94</v>
      </c>
      <c r="K85" s="30">
        <v>5286.0</v>
      </c>
      <c r="L85" s="27" t="inlineStr">
        <is>
          <t xml:space="preserve">out/25</t>
        </is>
      </c>
      <c r="M85" s="29">
        <v>306.9</v>
      </c>
      <c r="N85" s="27" t="inlineStr">
        <is>
          <t xml:space="preserve">out/25</t>
        </is>
      </c>
      <c r="O85" s="29">
        <v>66.4</v>
      </c>
      <c r="P85" s="27" t="inlineStr">
        <is>
          <t xml:space="preserve">nov/25</t>
        </is>
      </c>
      <c r="Q85" s="29">
        <v>22.32</v>
      </c>
      <c r="R85" s="27" t="inlineStr">
        <is>
          <t xml:space="preserve">nov/25</t>
        </is>
      </c>
      <c r="S85" s="30">
        <v>10.12</v>
      </c>
      <c r="T85" s="27" t="inlineStr">
        <is>
          <t xml:space="preserve">nov/25</t>
        </is>
      </c>
      <c r="U85" s="30">
        <v>4.2625</v>
      </c>
      <c r="V85" s="27" t="inlineStr">
        <is>
          <t xml:space="preserve">dez/25</t>
        </is>
      </c>
      <c r="W85" s="29">
        <v>275.1</v>
      </c>
      <c r="X85" s="27" t="inlineStr">
        <is>
          <t xml:space="preserve">out/25</t>
        </is>
      </c>
      <c r="Y85" s="30">
        <v>0.4935</v>
      </c>
      <c r="Z85" s="27" t="inlineStr">
        <is>
          <t xml:space="preserve">out/25</t>
        </is>
      </c>
      <c r="AA85" s="29">
        <v>365.78</v>
      </c>
      <c r="AB85" s="29">
        <v>119.79</v>
      </c>
      <c r="AC85" s="29">
        <v>302.34</v>
      </c>
      <c r="AD85" s="29">
        <v>315.18</v>
      </c>
      <c r="AE85" s="29">
        <v>293.02</v>
      </c>
      <c r="AF85" s="29">
        <v>286.39</v>
      </c>
      <c r="AG85" s="29">
        <v>288.99</v>
      </c>
      <c r="AH85" s="29">
        <v>284.12</v>
      </c>
      <c r="AI85" s="29">
        <v>295.05</v>
      </c>
      <c r="AJ85" s="29">
        <v>277.36</v>
      </c>
      <c r="AK85" s="29">
        <v>286.91</v>
      </c>
      <c r="AL85" s="29">
        <v>8.43</v>
      </c>
      <c r="AM85" s="29">
        <v>8.68</v>
      </c>
      <c r="AN85" s="29">
        <v>8.5</v>
      </c>
      <c r="AO85" s="29">
        <v>8.39</v>
      </c>
      <c r="AP85" s="29">
        <v>8.0</v>
      </c>
      <c r="AQ85" s="29">
        <v>144.15</v>
      </c>
      <c r="AR85" s="29">
        <v>158.56</v>
      </c>
      <c r="BH85" s="29">
        <v>1241.72</v>
      </c>
      <c r="BI85" s="29">
        <v>61.28</v>
      </c>
      <c r="BK85" s="29">
        <v>280.43</v>
      </c>
      <c r="BL85" s="29">
        <v>242.14</v>
      </c>
      <c r="BM85" s="29">
        <v>256.28</v>
      </c>
      <c r="BN85" s="29">
        <v>215.38</v>
      </c>
      <c r="BO85" s="29">
        <v>164.7</v>
      </c>
      <c r="BQ85" s="29">
        <v>144.25</v>
      </c>
      <c r="BR85" s="29">
        <v>142.5</v>
      </c>
      <c r="BX85" s="29">
        <v>43.0</v>
      </c>
      <c r="BY85" s="29">
        <v>52.0</v>
      </c>
      <c r="BZ85" s="29">
        <v>39.0</v>
      </c>
      <c r="CA85" s="29">
        <v>43.2</v>
      </c>
      <c r="CD85" s="29">
        <v>50.48</v>
      </c>
      <c r="CE85" s="29">
        <v>56.88</v>
      </c>
      <c r="CI85" s="29">
        <v>6992.0</v>
      </c>
      <c r="CJ85" s="27" t="inlineStr">
        <is>
          <t xml:space="preserve">dez/25</t>
        </is>
      </c>
    </row>
    <row r="86">
      <c r="A86" s="28">
        <v>45924</v>
      </c>
      <c r="B86" s="29">
        <v>1269.4</v>
      </c>
      <c r="C86" s="29">
        <v>2960.97</v>
      </c>
      <c r="D86" s="29">
        <v>7.99</v>
      </c>
      <c r="E86" s="29">
        <v>9.02</v>
      </c>
      <c r="F86" s="29">
        <v>2075.25</v>
      </c>
      <c r="G86" s="29">
        <v>1303.92</v>
      </c>
      <c r="J86" s="29">
        <v>146491.75</v>
      </c>
      <c r="K86" s="30">
        <v>5311.5</v>
      </c>
      <c r="L86" s="27" t="inlineStr">
        <is>
          <t xml:space="preserve">out/25</t>
        </is>
      </c>
      <c r="M86" s="29">
        <v>308.5</v>
      </c>
      <c r="N86" s="27" t="inlineStr">
        <is>
          <t xml:space="preserve">out/25</t>
        </is>
      </c>
      <c r="O86" s="29">
        <v>66.18</v>
      </c>
      <c r="P86" s="27" t="inlineStr">
        <is>
          <t xml:space="preserve">nov/25</t>
        </is>
      </c>
      <c r="Q86" s="29">
        <v>22.23</v>
      </c>
      <c r="R86" s="27" t="inlineStr">
        <is>
          <t xml:space="preserve">nov/25</t>
        </is>
      </c>
      <c r="S86" s="30">
        <v>10.09</v>
      </c>
      <c r="T86" s="27" t="inlineStr">
        <is>
          <t xml:space="preserve">nov/25</t>
        </is>
      </c>
      <c r="U86" s="30">
        <v>4.2425</v>
      </c>
      <c r="V86" s="27" t="inlineStr">
        <is>
          <t xml:space="preserve">dez/25</t>
        </is>
      </c>
      <c r="W86" s="29">
        <v>271.7</v>
      </c>
      <c r="X86" s="27" t="inlineStr">
        <is>
          <t xml:space="preserve">out/25</t>
        </is>
      </c>
      <c r="Y86" s="30">
        <v>0.4929</v>
      </c>
      <c r="Z86" s="27" t="inlineStr">
        <is>
          <t xml:space="preserve">out/25</t>
        </is>
      </c>
      <c r="AA86" s="29">
        <v>365.63</v>
      </c>
      <c r="AB86" s="29">
        <v>118.7</v>
      </c>
      <c r="AL86" s="29">
        <v>8.44</v>
      </c>
      <c r="AM86" s="29">
        <v>8.68</v>
      </c>
      <c r="AN86" s="29">
        <v>8.45</v>
      </c>
      <c r="AO86" s="29">
        <v>8.36</v>
      </c>
      <c r="AP86" s="29">
        <v>8.15</v>
      </c>
      <c r="AQ86" s="29">
        <v>139.28</v>
      </c>
      <c r="AR86" s="29">
        <v>154.12</v>
      </c>
      <c r="BH86" s="29">
        <v>1238.19</v>
      </c>
      <c r="BI86" s="29">
        <v>60.85</v>
      </c>
      <c r="BK86" s="29">
        <v>280.55</v>
      </c>
      <c r="BL86" s="29">
        <v>245.57</v>
      </c>
      <c r="BM86" s="29">
        <v>258.22</v>
      </c>
      <c r="BN86" s="29">
        <v>221.94</v>
      </c>
      <c r="BO86" s="29">
        <v>164.36</v>
      </c>
      <c r="BQ86" s="29">
        <v>150.09</v>
      </c>
      <c r="BX86" s="29">
        <v>43.0</v>
      </c>
      <c r="BY86" s="29">
        <v>52.0</v>
      </c>
      <c r="BZ86" s="29">
        <v>39.0</v>
      </c>
      <c r="CA86" s="29">
        <v>43.2</v>
      </c>
      <c r="CD86" s="29">
        <v>50.0</v>
      </c>
      <c r="CE86" s="29">
        <v>57.86</v>
      </c>
      <c r="CI86" s="29">
        <v>7048.0</v>
      </c>
      <c r="CJ86" s="27" t="inlineStr">
        <is>
          <t xml:space="preserve">dez/25</t>
        </is>
      </c>
    </row>
    <row r="87">
      <c r="A87" s="28">
        <v>45925</v>
      </c>
      <c r="B87" s="29">
        <v>1278.03</v>
      </c>
      <c r="C87" s="29">
        <v>2952.19</v>
      </c>
      <c r="D87" s="29">
        <v>7.99</v>
      </c>
      <c r="E87" s="29">
        <v>9.02</v>
      </c>
      <c r="F87" s="29">
        <v>2121.88</v>
      </c>
      <c r="G87" s="29">
        <v>1288.92</v>
      </c>
      <c r="J87" s="29">
        <v>145306.23</v>
      </c>
      <c r="K87" s="30">
        <v>5369.0</v>
      </c>
      <c r="L87" s="27" t="inlineStr">
        <is>
          <t xml:space="preserve">out/25</t>
        </is>
      </c>
      <c r="M87" s="29">
        <v>307.65</v>
      </c>
      <c r="N87" s="27" t="inlineStr">
        <is>
          <t xml:space="preserve">out/25</t>
        </is>
      </c>
      <c r="O87" s="29">
        <v>66.46</v>
      </c>
      <c r="P87" s="27" t="inlineStr">
        <is>
          <t xml:space="preserve">nov/25</t>
        </is>
      </c>
      <c r="Q87" s="29">
        <v>22.34</v>
      </c>
      <c r="R87" s="27" t="inlineStr">
        <is>
          <t xml:space="preserve">nov/25</t>
        </is>
      </c>
      <c r="S87" s="30">
        <v>10.1225</v>
      </c>
      <c r="T87" s="27" t="inlineStr">
        <is>
          <t xml:space="preserve">nov/25</t>
        </is>
      </c>
      <c r="U87" s="30">
        <v>4.2575</v>
      </c>
      <c r="V87" s="27" t="inlineStr">
        <is>
          <t xml:space="preserve">dez/25</t>
        </is>
      </c>
      <c r="W87" s="29">
        <v>268.6</v>
      </c>
      <c r="X87" s="27" t="inlineStr">
        <is>
          <t xml:space="preserve">out/25</t>
        </is>
      </c>
      <c r="Y87" s="30">
        <v>0.4974</v>
      </c>
      <c r="Z87" s="27" t="inlineStr">
        <is>
          <t xml:space="preserve">out/25</t>
        </is>
      </c>
      <c r="AA87" s="29">
        <v>363.77</v>
      </c>
      <c r="AB87" s="29">
        <v>118.44</v>
      </c>
      <c r="AC87" s="29">
        <v>303.36</v>
      </c>
      <c r="AD87" s="29">
        <v>315.27</v>
      </c>
      <c r="AE87" s="29">
        <v>291.81</v>
      </c>
      <c r="AF87" s="29">
        <v>287.41</v>
      </c>
      <c r="AG87" s="29">
        <v>288.45</v>
      </c>
      <c r="AH87" s="29">
        <v>287.09</v>
      </c>
      <c r="AI87" s="29">
        <v>293.44</v>
      </c>
      <c r="AJ87" s="29">
        <v>277.21</v>
      </c>
      <c r="AK87" s="29">
        <v>285.95</v>
      </c>
      <c r="AL87" s="29">
        <v>8.44</v>
      </c>
      <c r="AM87" s="29">
        <v>8.6</v>
      </c>
      <c r="AN87" s="29">
        <v>8.43</v>
      </c>
      <c r="AO87" s="29">
        <v>8.27</v>
      </c>
      <c r="AP87" s="29">
        <v>8.15</v>
      </c>
      <c r="AQ87" s="29">
        <v>138.6</v>
      </c>
      <c r="AR87" s="29">
        <v>154.1</v>
      </c>
      <c r="BH87" s="29">
        <v>1229.21</v>
      </c>
      <c r="BI87" s="29">
        <v>60.94</v>
      </c>
      <c r="BK87" s="29">
        <v>279.54</v>
      </c>
      <c r="BL87" s="29">
        <v>245.62</v>
      </c>
      <c r="BM87" s="29">
        <v>257.8</v>
      </c>
      <c r="BN87" s="29">
        <v>223.38</v>
      </c>
      <c r="BO87" s="29">
        <v>163.82</v>
      </c>
      <c r="BQ87" s="29">
        <v>150.86</v>
      </c>
      <c r="BX87" s="29">
        <v>43.0</v>
      </c>
      <c r="BY87" s="29">
        <v>52.0</v>
      </c>
      <c r="BZ87" s="29">
        <v>39.0</v>
      </c>
      <c r="CA87" s="29">
        <v>43.2</v>
      </c>
      <c r="CD87" s="29">
        <v>50.0</v>
      </c>
      <c r="CE87" s="29">
        <v>59.46</v>
      </c>
      <c r="CI87" s="29">
        <v>6925.0</v>
      </c>
      <c r="CJ87" s="27" t="inlineStr">
        <is>
          <t xml:space="preserve">dez/25</t>
        </is>
      </c>
    </row>
    <row r="88">
      <c r="A88" s="28">
        <v>45926</v>
      </c>
      <c r="B88" s="29">
        <v>1283.03</v>
      </c>
      <c r="C88" s="29">
        <v>2939.2</v>
      </c>
      <c r="D88" s="29">
        <v>7.98</v>
      </c>
      <c r="E88" s="29">
        <v>8.96</v>
      </c>
      <c r="F88" s="29">
        <v>2124.03</v>
      </c>
      <c r="G88" s="29">
        <v>1321.13</v>
      </c>
      <c r="H88" s="29">
        <v>452.3</v>
      </c>
      <c r="I88" s="27" t="inlineStr">
        <is>
          <t xml:space="preserve">dez/25</t>
        </is>
      </c>
      <c r="J88" s="29">
        <v>145446.66</v>
      </c>
      <c r="K88" s="30">
        <v>5353.0</v>
      </c>
      <c r="L88" s="27" t="inlineStr">
        <is>
          <t xml:space="preserve">out/25</t>
        </is>
      </c>
      <c r="M88" s="29">
        <v>306.5</v>
      </c>
      <c r="N88" s="27" t="inlineStr">
        <is>
          <t xml:space="preserve">out/25</t>
        </is>
      </c>
      <c r="O88" s="29">
        <v>66.2</v>
      </c>
      <c r="P88" s="27" t="inlineStr">
        <is>
          <t xml:space="preserve">nov/25</t>
        </is>
      </c>
      <c r="Q88" s="29">
        <v>22.35</v>
      </c>
      <c r="R88" s="27" t="inlineStr">
        <is>
          <t xml:space="preserve">nov/25</t>
        </is>
      </c>
      <c r="S88" s="30">
        <v>10.1375</v>
      </c>
      <c r="T88" s="27" t="inlineStr">
        <is>
          <t xml:space="preserve">nov/25</t>
        </is>
      </c>
      <c r="U88" s="30">
        <v>4.22</v>
      </c>
      <c r="V88" s="27" t="inlineStr">
        <is>
          <t xml:space="preserve">dez/25</t>
        </is>
      </c>
      <c r="W88" s="29">
        <v>268.8</v>
      </c>
      <c r="X88" s="27" t="inlineStr">
        <is>
          <t xml:space="preserve">out/25</t>
        </is>
      </c>
      <c r="Y88" s="30">
        <v>0.496</v>
      </c>
      <c r="Z88" s="27" t="inlineStr">
        <is>
          <t xml:space="preserve">out/25</t>
        </is>
      </c>
      <c r="AA88" s="29">
        <v>363.86</v>
      </c>
      <c r="AB88" s="29">
        <v>117.61</v>
      </c>
      <c r="AC88" s="29">
        <v>305.68</v>
      </c>
      <c r="AD88" s="29">
        <v>313.49</v>
      </c>
      <c r="AE88" s="29">
        <v>291.54</v>
      </c>
      <c r="AF88" s="29">
        <v>293.78</v>
      </c>
      <c r="AG88" s="29">
        <v>288.39</v>
      </c>
      <c r="AH88" s="29">
        <v>287.69</v>
      </c>
      <c r="AI88" s="29">
        <v>294.12</v>
      </c>
      <c r="AJ88" s="29">
        <v>273.6</v>
      </c>
      <c r="AK88" s="29">
        <v>286.66</v>
      </c>
      <c r="AL88" s="29">
        <v>8.4</v>
      </c>
      <c r="AM88" s="29">
        <v>8.6</v>
      </c>
      <c r="AN88" s="29">
        <v>8.42</v>
      </c>
      <c r="AO88" s="29">
        <v>8.27</v>
      </c>
      <c r="AP88" s="29">
        <v>8.14</v>
      </c>
      <c r="AQ88" s="29">
        <v>135.02</v>
      </c>
      <c r="AR88" s="29">
        <v>147.67</v>
      </c>
      <c r="BC88" s="29">
        <v>8.0</v>
      </c>
      <c r="BD88" s="29">
        <v>8.44</v>
      </c>
      <c r="BE88" s="29">
        <v>8.53</v>
      </c>
      <c r="BF88" s="29">
        <v>7.58</v>
      </c>
      <c r="BG88" s="29">
        <v>8.11</v>
      </c>
      <c r="BH88" s="29">
        <v>1229.21</v>
      </c>
      <c r="BI88" s="29">
        <v>60.96</v>
      </c>
      <c r="BK88" s="29">
        <v>273.0</v>
      </c>
      <c r="BL88" s="29">
        <v>240.18</v>
      </c>
      <c r="BM88" s="29">
        <v>257.96</v>
      </c>
      <c r="BN88" s="29">
        <v>223.21</v>
      </c>
      <c r="BO88" s="29">
        <v>163.75</v>
      </c>
      <c r="BQ88" s="29">
        <v>151.56</v>
      </c>
      <c r="BS88" s="30">
        <v>2.7416</v>
      </c>
      <c r="BT88" s="30">
        <v>3.1184</v>
      </c>
      <c r="BU88" s="29">
        <v>582.76</v>
      </c>
      <c r="BV88" s="29">
        <v>504.33</v>
      </c>
      <c r="BW88" s="29">
        <v>493.62</v>
      </c>
      <c r="BX88" s="29">
        <v>43.0</v>
      </c>
      <c r="BY88" s="29">
        <v>52.0</v>
      </c>
      <c r="BZ88" s="29">
        <v>39.0</v>
      </c>
      <c r="CA88" s="29">
        <v>43.2</v>
      </c>
      <c r="CD88" s="29">
        <v>50.0</v>
      </c>
      <c r="CE88" s="29">
        <v>59.46</v>
      </c>
      <c r="CI88" s="29">
        <v>6908.0</v>
      </c>
      <c r="CJ88" s="27" t="inlineStr">
        <is>
          <t xml:space="preserve">dez/25</t>
        </is>
      </c>
    </row>
    <row r="89">
      <c r="A89" s="28">
        <v>45929</v>
      </c>
      <c r="B89" s="29">
        <v>1284.38</v>
      </c>
      <c r="C89" s="29">
        <v>2924.09</v>
      </c>
      <c r="D89" s="29">
        <v>7.99</v>
      </c>
      <c r="E89" s="29">
        <v>8.93</v>
      </c>
      <c r="F89" s="29">
        <v>2134.16</v>
      </c>
      <c r="G89" s="29">
        <v>1313.84</v>
      </c>
      <c r="H89" s="29">
        <v>449.15</v>
      </c>
      <c r="I89" s="27" t="inlineStr">
        <is>
          <t xml:space="preserve">dez/25</t>
        </is>
      </c>
      <c r="J89" s="29">
        <v>146336.8</v>
      </c>
      <c r="K89" s="30">
        <v>5327.0</v>
      </c>
      <c r="L89" s="27" t="inlineStr">
        <is>
          <t xml:space="preserve">out/25</t>
        </is>
      </c>
      <c r="M89" s="29">
        <v>307.4</v>
      </c>
      <c r="N89" s="27" t="inlineStr">
        <is>
          <t xml:space="preserve">out/25</t>
        </is>
      </c>
      <c r="O89" s="29">
        <v>66.11</v>
      </c>
      <c r="P89" s="27" t="inlineStr">
        <is>
          <t xml:space="preserve">nov/25</t>
        </is>
      </c>
      <c r="Q89" s="29">
        <v>22.26</v>
      </c>
      <c r="R89" s="27" t="inlineStr">
        <is>
          <t xml:space="preserve">nov/25</t>
        </is>
      </c>
      <c r="S89" s="30">
        <v>10.105</v>
      </c>
      <c r="T89" s="27" t="inlineStr">
        <is>
          <t xml:space="preserve">nov/25</t>
        </is>
      </c>
      <c r="U89" s="30">
        <v>4.215</v>
      </c>
      <c r="V89" s="27" t="inlineStr">
        <is>
          <t xml:space="preserve">dez/25</t>
        </is>
      </c>
      <c r="W89" s="29">
        <v>268.1</v>
      </c>
      <c r="X89" s="27" t="inlineStr">
        <is>
          <t xml:space="preserve">out/25</t>
        </is>
      </c>
      <c r="Y89" s="30">
        <v>0.4911</v>
      </c>
      <c r="Z89" s="27" t="inlineStr">
        <is>
          <t xml:space="preserve">out/25</t>
        </is>
      </c>
      <c r="AA89" s="29">
        <v>363.91</v>
      </c>
      <c r="AB89" s="29">
        <v>117.2</v>
      </c>
      <c r="AC89" s="29">
        <v>304.19</v>
      </c>
      <c r="AD89" s="29">
        <v>311.94</v>
      </c>
      <c r="AE89" s="29">
        <v>291.36</v>
      </c>
      <c r="AF89" s="29">
        <v>292.78</v>
      </c>
      <c r="AG89" s="29">
        <v>288.15</v>
      </c>
      <c r="AH89" s="29">
        <v>286.25</v>
      </c>
      <c r="AI89" s="29">
        <v>295.5</v>
      </c>
      <c r="AJ89" s="29">
        <v>274.89</v>
      </c>
      <c r="AK89" s="29">
        <v>286.66</v>
      </c>
      <c r="AL89" s="29">
        <v>8.35</v>
      </c>
      <c r="AM89" s="29">
        <v>8.58</v>
      </c>
      <c r="AN89" s="29">
        <v>8.4</v>
      </c>
      <c r="AO89" s="29">
        <v>8.27</v>
      </c>
      <c r="AP89" s="29">
        <v>8.14</v>
      </c>
      <c r="AQ89" s="29">
        <v>134.84</v>
      </c>
      <c r="AR89" s="29">
        <v>147.74</v>
      </c>
      <c r="BH89" s="29">
        <v>1227.33</v>
      </c>
      <c r="BI89" s="29">
        <v>61.02</v>
      </c>
      <c r="BK89" s="29">
        <v>278.63</v>
      </c>
      <c r="BL89" s="29">
        <v>243.49</v>
      </c>
      <c r="BM89" s="29">
        <v>257.81</v>
      </c>
      <c r="BN89" s="29">
        <v>223.19</v>
      </c>
      <c r="BO89" s="29">
        <v>163.19</v>
      </c>
      <c r="BQ89" s="29">
        <v>150.56</v>
      </c>
      <c r="BR89" s="29">
        <v>137.75</v>
      </c>
      <c r="BX89" s="29">
        <v>43.0</v>
      </c>
      <c r="BY89" s="29">
        <v>52.0</v>
      </c>
      <c r="BZ89" s="29">
        <v>39.0</v>
      </c>
      <c r="CA89" s="29">
        <v>43.2</v>
      </c>
      <c r="CD89" s="29">
        <v>49.78</v>
      </c>
      <c r="CE89" s="29">
        <v>59.72</v>
      </c>
      <c r="CI89" s="29">
        <v>6998.0</v>
      </c>
      <c r="CJ89" s="27" t="inlineStr">
        <is>
          <t xml:space="preserve">dez/25</t>
        </is>
      </c>
    </row>
    <row r="90">
      <c r="A90" s="28">
        <v>45930</v>
      </c>
      <c r="B90" s="29">
        <v>1260.87</v>
      </c>
      <c r="C90" s="29">
        <v>2927.27</v>
      </c>
      <c r="D90" s="29">
        <v>7.99</v>
      </c>
      <c r="E90" s="29">
        <v>8.91</v>
      </c>
      <c r="F90" s="29">
        <v>2127.5</v>
      </c>
      <c r="G90" s="29">
        <v>1342.46</v>
      </c>
      <c r="H90" s="29">
        <v>450.4</v>
      </c>
      <c r="I90" s="27" t="inlineStr">
        <is>
          <t xml:space="preserve">dez/25</t>
        </is>
      </c>
      <c r="J90" s="29">
        <v>146237.02</v>
      </c>
      <c r="K90" s="30">
        <v>5319.0</v>
      </c>
      <c r="L90" s="27" t="inlineStr">
        <is>
          <t xml:space="preserve">out/25</t>
        </is>
      </c>
      <c r="M90" s="29">
        <v>305.5</v>
      </c>
      <c r="N90" s="27" t="inlineStr">
        <is>
          <t xml:space="preserve">out/25</t>
        </is>
      </c>
      <c r="O90" s="29">
        <v>65.28</v>
      </c>
      <c r="P90" s="27" t="inlineStr">
        <is>
          <t xml:space="preserve">nov/25</t>
        </is>
      </c>
      <c r="S90" s="30">
        <v>10.0175</v>
      </c>
      <c r="T90" s="27" t="inlineStr">
        <is>
          <t xml:space="preserve">nov/25</t>
        </is>
      </c>
      <c r="U90" s="30">
        <v>4.155</v>
      </c>
      <c r="V90" s="27" t="inlineStr">
        <is>
          <t xml:space="preserve">dez/25</t>
        </is>
      </c>
      <c r="W90" s="29">
        <v>265.7</v>
      </c>
      <c r="X90" s="27" t="inlineStr">
        <is>
          <t xml:space="preserve">out/25</t>
        </is>
      </c>
      <c r="Y90" s="30">
        <v>0.4887</v>
      </c>
      <c r="Z90" s="27" t="inlineStr">
        <is>
          <t xml:space="preserve">out/25</t>
        </is>
      </c>
      <c r="AA90" s="29">
        <v>365.52</v>
      </c>
      <c r="AB90" s="29">
        <v>117.33</v>
      </c>
      <c r="AC90" s="29">
        <v>304.22</v>
      </c>
      <c r="AD90" s="29">
        <v>311.98</v>
      </c>
      <c r="AE90" s="29">
        <v>291.59</v>
      </c>
      <c r="AF90" s="29">
        <v>291.98</v>
      </c>
      <c r="AG90" s="29">
        <v>289.68</v>
      </c>
      <c r="AH90" s="29">
        <v>287.11</v>
      </c>
      <c r="AI90" s="29">
        <v>296.77</v>
      </c>
      <c r="AJ90" s="29">
        <v>276.77</v>
      </c>
      <c r="AK90" s="29">
        <v>284.99</v>
      </c>
      <c r="AL90" s="29">
        <v>8.25</v>
      </c>
      <c r="AM90" s="29">
        <v>8.58</v>
      </c>
      <c r="AN90" s="29">
        <v>8.4</v>
      </c>
      <c r="AO90" s="29">
        <v>8.25</v>
      </c>
      <c r="AP90" s="29">
        <v>8.15</v>
      </c>
      <c r="AQ90" s="29">
        <v>134.2</v>
      </c>
      <c r="AR90" s="29">
        <v>148.19</v>
      </c>
      <c r="BH90" s="29">
        <v>1225.86</v>
      </c>
      <c r="BI90" s="29">
        <v>60.03</v>
      </c>
      <c r="BK90" s="29">
        <v>278.76</v>
      </c>
      <c r="BL90" s="29">
        <v>240.91</v>
      </c>
      <c r="BM90" s="29">
        <v>256.16</v>
      </c>
      <c r="BN90" s="29">
        <v>222.57</v>
      </c>
      <c r="BO90" s="29">
        <v>161.77</v>
      </c>
      <c r="BQ90" s="29">
        <v>148.4</v>
      </c>
      <c r="BR90" s="29">
        <v>137.75</v>
      </c>
      <c r="BX90" s="29">
        <v>43.0</v>
      </c>
      <c r="BY90" s="29">
        <v>52.0</v>
      </c>
      <c r="BZ90" s="29">
        <v>40.5</v>
      </c>
      <c r="CA90" s="29">
        <v>43.2</v>
      </c>
      <c r="CD90" s="29">
        <v>49.77</v>
      </c>
      <c r="CE90" s="29">
        <v>60.88</v>
      </c>
      <c r="CI90" s="29">
        <v>6749.0</v>
      </c>
      <c r="CJ90" s="27" t="inlineStr">
        <is>
          <t xml:space="preserve">dez/25</t>
        </is>
      </c>
    </row>
    <row r="91">
      <c r="A91" s="28">
        <v>45931</v>
      </c>
      <c r="B91" s="29">
        <v>1272.97</v>
      </c>
      <c r="C91" s="29">
        <v>2920.04</v>
      </c>
      <c r="D91" s="29">
        <v>7.99</v>
      </c>
      <c r="E91" s="29">
        <v>8.88</v>
      </c>
      <c r="F91" s="29">
        <v>2163.99</v>
      </c>
      <c r="G91" s="29">
        <v>1353.43</v>
      </c>
      <c r="H91" s="29">
        <v>461.35</v>
      </c>
      <c r="I91" s="27" t="inlineStr">
        <is>
          <t xml:space="preserve">dez/25</t>
        </is>
      </c>
      <c r="J91" s="29">
        <v>145517.35</v>
      </c>
      <c r="K91" s="30">
        <v>5361.5</v>
      </c>
      <c r="L91" s="27" t="inlineStr">
        <is>
          <t xml:space="preserve">nov/25</t>
        </is>
      </c>
      <c r="M91" s="29">
        <v>317.05</v>
      </c>
      <c r="N91" s="27" t="inlineStr">
        <is>
          <t xml:space="preserve">nov/25</t>
        </is>
      </c>
      <c r="O91" s="29">
        <v>65.56</v>
      </c>
      <c r="P91" s="27" t="inlineStr">
        <is>
          <t xml:space="preserve">nov/25</t>
        </is>
      </c>
      <c r="S91" s="30">
        <v>10.13</v>
      </c>
      <c r="T91" s="27" t="inlineStr">
        <is>
          <t xml:space="preserve">nov/25</t>
        </is>
      </c>
      <c r="U91" s="30">
        <v>4.165</v>
      </c>
      <c r="V91" s="27" t="inlineStr">
        <is>
          <t xml:space="preserve">dez/25</t>
        </is>
      </c>
      <c r="W91" s="29">
        <v>273.6</v>
      </c>
      <c r="X91" s="27" t="inlineStr">
        <is>
          <t xml:space="preserve">dez/25</t>
        </is>
      </c>
      <c r="Y91" s="30">
        <v>0.5042</v>
      </c>
      <c r="Z91" s="27" t="inlineStr">
        <is>
          <t xml:space="preserve">dez/25</t>
        </is>
      </c>
      <c r="AA91" s="29">
        <v>361.99</v>
      </c>
      <c r="AB91" s="29">
        <v>115.64</v>
      </c>
      <c r="AC91" s="29">
        <v>305.19</v>
      </c>
      <c r="AD91" s="29">
        <v>313.13</v>
      </c>
      <c r="AE91" s="29">
        <v>290.99</v>
      </c>
      <c r="AF91" s="29">
        <v>291.96</v>
      </c>
      <c r="AG91" s="29">
        <v>289.35</v>
      </c>
      <c r="AH91" s="29">
        <v>291.0</v>
      </c>
      <c r="AI91" s="29">
        <v>295.84</v>
      </c>
      <c r="AJ91" s="29">
        <v>279.11</v>
      </c>
      <c r="AK91" s="29">
        <v>285.17</v>
      </c>
      <c r="AL91" s="29">
        <v>8.24</v>
      </c>
      <c r="AM91" s="29">
        <v>8.54</v>
      </c>
      <c r="AN91" s="29">
        <v>8.4</v>
      </c>
      <c r="AO91" s="29">
        <v>8.23</v>
      </c>
      <c r="AP91" s="29">
        <v>8.15</v>
      </c>
      <c r="AQ91" s="29">
        <v>133.69</v>
      </c>
      <c r="AR91" s="29">
        <v>148.19</v>
      </c>
      <c r="AS91" s="30">
        <v>2.3</v>
      </c>
      <c r="AT91" s="30">
        <v>2.39</v>
      </c>
      <c r="AU91" s="30">
        <v>2.21</v>
      </c>
      <c r="AV91" s="30">
        <v>2.42</v>
      </c>
      <c r="AW91" s="30">
        <v>2.29</v>
      </c>
      <c r="AX91" s="30">
        <v>2.2</v>
      </c>
      <c r="AY91" s="30">
        <v>2.22</v>
      </c>
      <c r="AZ91" s="30">
        <v>2.37</v>
      </c>
      <c r="BA91" s="30">
        <v>2.45</v>
      </c>
      <c r="BB91" s="30">
        <v>2.24</v>
      </c>
      <c r="BH91" s="29">
        <v>1216.57</v>
      </c>
      <c r="BI91" s="29">
        <v>59.92</v>
      </c>
      <c r="BK91" s="29">
        <v>278.73</v>
      </c>
      <c r="BL91" s="29">
        <v>244.99</v>
      </c>
      <c r="BM91" s="29">
        <v>255.72</v>
      </c>
      <c r="BN91" s="29">
        <v>218.08</v>
      </c>
      <c r="BO91" s="29">
        <v>161.74</v>
      </c>
      <c r="BQ91" s="29">
        <v>147.93</v>
      </c>
      <c r="BR91" s="29">
        <v>137.73</v>
      </c>
      <c r="BX91" s="29">
        <v>42.0</v>
      </c>
      <c r="BY91" s="29">
        <v>52.0</v>
      </c>
      <c r="BZ91" s="29">
        <v>40.0</v>
      </c>
      <c r="CA91" s="29">
        <v>43.2</v>
      </c>
      <c r="CD91" s="29">
        <v>50.23</v>
      </c>
      <c r="CE91" s="29">
        <v>60.27</v>
      </c>
      <c r="CI91" s="29">
        <v>6675.0</v>
      </c>
      <c r="CJ91" s="27" t="inlineStr">
        <is>
          <t xml:space="preserve">dez/25</t>
        </is>
      </c>
    </row>
    <row r="92">
      <c r="A92" s="28">
        <v>45932</v>
      </c>
      <c r="B92" s="29">
        <v>1240.89</v>
      </c>
      <c r="C92" s="29">
        <v>2907.86</v>
      </c>
      <c r="D92" s="29">
        <v>8.06</v>
      </c>
      <c r="E92" s="29">
        <v>8.88</v>
      </c>
      <c r="F92" s="29">
        <v>2147.82</v>
      </c>
      <c r="G92" s="29">
        <v>1344.89</v>
      </c>
      <c r="H92" s="29">
        <v>455.0</v>
      </c>
      <c r="I92" s="27" t="inlineStr">
        <is>
          <t xml:space="preserve">dez/25</t>
        </is>
      </c>
      <c r="J92" s="29">
        <v>143949.64</v>
      </c>
      <c r="K92" s="30">
        <v>5379.0</v>
      </c>
      <c r="L92" s="27" t="inlineStr">
        <is>
          <t xml:space="preserve">nov/25</t>
        </is>
      </c>
      <c r="M92" s="29">
        <v>319.6</v>
      </c>
      <c r="N92" s="27" t="inlineStr">
        <is>
          <t xml:space="preserve">nov/25</t>
        </is>
      </c>
      <c r="O92" s="29">
        <v>65.68</v>
      </c>
      <c r="P92" s="27" t="inlineStr">
        <is>
          <t xml:space="preserve">nov/25</t>
        </is>
      </c>
      <c r="S92" s="30">
        <v>10.2375</v>
      </c>
      <c r="T92" s="27" t="inlineStr">
        <is>
          <t xml:space="preserve">nov/25</t>
        </is>
      </c>
      <c r="U92" s="30">
        <v>4.2175</v>
      </c>
      <c r="V92" s="27" t="inlineStr">
        <is>
          <t xml:space="preserve">dez/25</t>
        </is>
      </c>
      <c r="W92" s="29">
        <v>279.3</v>
      </c>
      <c r="X92" s="27" t="inlineStr">
        <is>
          <t xml:space="preserve">dez/25</t>
        </is>
      </c>
      <c r="Y92" s="30">
        <v>0.5044</v>
      </c>
      <c r="Z92" s="27" t="inlineStr">
        <is>
          <t xml:space="preserve">dez/25</t>
        </is>
      </c>
      <c r="AA92" s="29">
        <v>359.96</v>
      </c>
      <c r="AB92" s="29">
        <v>117.61</v>
      </c>
      <c r="AL92" s="29">
        <v>8.24</v>
      </c>
      <c r="AM92" s="29">
        <v>8.53</v>
      </c>
      <c r="AN92" s="29">
        <v>8.4</v>
      </c>
      <c r="AO92" s="29">
        <v>8.24</v>
      </c>
      <c r="AP92" s="29">
        <v>8.08</v>
      </c>
      <c r="AQ92" s="29">
        <v>133.32</v>
      </c>
      <c r="AR92" s="29">
        <v>148.18</v>
      </c>
      <c r="BH92" s="29">
        <v>1214.43</v>
      </c>
      <c r="BI92" s="29">
        <v>59.76</v>
      </c>
      <c r="BK92" s="29">
        <v>277.72</v>
      </c>
      <c r="BL92" s="29">
        <v>240.9</v>
      </c>
      <c r="BM92" s="29">
        <v>253.65</v>
      </c>
      <c r="BN92" s="29">
        <v>218.33</v>
      </c>
      <c r="BO92" s="29">
        <v>159.07</v>
      </c>
      <c r="BQ92" s="29">
        <v>147.5</v>
      </c>
      <c r="BR92" s="29">
        <v>138.11</v>
      </c>
      <c r="BX92" s="29">
        <v>42.0</v>
      </c>
      <c r="BY92" s="29">
        <v>52.0</v>
      </c>
      <c r="BZ92" s="29">
        <v>40.0</v>
      </c>
      <c r="CA92" s="29">
        <v>43.2</v>
      </c>
      <c r="CD92" s="29">
        <v>50.23</v>
      </c>
      <c r="CE92" s="29">
        <v>59.49</v>
      </c>
      <c r="CI92" s="29">
        <v>6481.0</v>
      </c>
      <c r="CJ92" s="27" t="inlineStr">
        <is>
          <t xml:space="preserve">dez/25</t>
        </is>
      </c>
    </row>
    <row r="93">
      <c r="A93" s="28">
        <v>45933</v>
      </c>
      <c r="B93" s="29">
        <v>1234.79</v>
      </c>
      <c r="C93" s="29">
        <v>2912.64</v>
      </c>
      <c r="D93" s="29">
        <v>8.07</v>
      </c>
      <c r="E93" s="29">
        <v>8.88</v>
      </c>
      <c r="F93" s="29">
        <v>2184.71</v>
      </c>
      <c r="G93" s="29">
        <v>1389.41</v>
      </c>
      <c r="H93" s="29">
        <v>466.75</v>
      </c>
      <c r="I93" s="27" t="inlineStr">
        <is>
          <t xml:space="preserve">dez/25</t>
        </is>
      </c>
      <c r="J93" s="29">
        <v>144200.65</v>
      </c>
      <c r="K93" s="30">
        <v>5376.0</v>
      </c>
      <c r="L93" s="27" t="inlineStr">
        <is>
          <t xml:space="preserve">nov/25</t>
        </is>
      </c>
      <c r="M93" s="29">
        <v>323.8</v>
      </c>
      <c r="N93" s="27" t="inlineStr">
        <is>
          <t xml:space="preserve">nov/25</t>
        </is>
      </c>
      <c r="O93" s="29">
        <v>66.0</v>
      </c>
      <c r="P93" s="27" t="inlineStr">
        <is>
          <t xml:space="preserve">nov/25</t>
        </is>
      </c>
      <c r="Q93" s="29">
        <v>22.41</v>
      </c>
      <c r="R93" s="27" t="inlineStr">
        <is>
          <t xml:space="preserve">nov/25</t>
        </is>
      </c>
      <c r="S93" s="30">
        <v>10.18</v>
      </c>
      <c r="T93" s="27" t="inlineStr">
        <is>
          <t xml:space="preserve">nov/25</t>
        </is>
      </c>
      <c r="U93" s="30">
        <v>4.19</v>
      </c>
      <c r="V93" s="27" t="inlineStr">
        <is>
          <t xml:space="preserve">dez/25</t>
        </is>
      </c>
      <c r="W93" s="29">
        <v>278.6</v>
      </c>
      <c r="X93" s="27" t="inlineStr">
        <is>
          <t xml:space="preserve">dez/25</t>
        </is>
      </c>
      <c r="Y93" s="30">
        <v>0.5005</v>
      </c>
      <c r="Z93" s="27" t="inlineStr">
        <is>
          <t xml:space="preserve">dez/25</t>
        </is>
      </c>
      <c r="AA93" s="29">
        <v>358.98</v>
      </c>
      <c r="AB93" s="29">
        <v>116.46</v>
      </c>
      <c r="AC93" s="29">
        <v>306.53</v>
      </c>
      <c r="AD93" s="29">
        <v>313.58</v>
      </c>
      <c r="AE93" s="29">
        <v>290.79</v>
      </c>
      <c r="AF93" s="29">
        <v>290.34</v>
      </c>
      <c r="AG93" s="29">
        <v>288.88</v>
      </c>
      <c r="AH93" s="29">
        <v>284.39</v>
      </c>
      <c r="AI93" s="29">
        <v>296.82</v>
      </c>
      <c r="AJ93" s="29">
        <v>276.94</v>
      </c>
      <c r="AK93" s="29">
        <v>286.46</v>
      </c>
      <c r="AL93" s="29">
        <v>8.25</v>
      </c>
      <c r="AM93" s="29">
        <v>8.53</v>
      </c>
      <c r="AN93" s="29">
        <v>8.39</v>
      </c>
      <c r="AO93" s="29">
        <v>8.24</v>
      </c>
      <c r="AP93" s="29">
        <v>8.09</v>
      </c>
      <c r="AQ93" s="29">
        <v>144.19</v>
      </c>
      <c r="AR93" s="29">
        <v>158.59</v>
      </c>
      <c r="BC93" s="29">
        <v>8.18</v>
      </c>
      <c r="BD93" s="29">
        <v>8.54</v>
      </c>
      <c r="BE93" s="29">
        <v>8.7</v>
      </c>
      <c r="BF93" s="29">
        <v>7.82</v>
      </c>
      <c r="BG93" s="29">
        <v>8.22</v>
      </c>
      <c r="BH93" s="29">
        <v>1197.9</v>
      </c>
      <c r="BI93" s="29">
        <v>59.68</v>
      </c>
      <c r="BK93" s="29">
        <v>276.11</v>
      </c>
      <c r="BL93" s="29">
        <v>227.86</v>
      </c>
      <c r="BM93" s="29">
        <v>252.08</v>
      </c>
      <c r="BN93" s="29">
        <v>217.86</v>
      </c>
      <c r="BO93" s="29">
        <v>153.7</v>
      </c>
      <c r="BQ93" s="29">
        <v>146.14</v>
      </c>
      <c r="BR93" s="29">
        <v>138.11</v>
      </c>
      <c r="BS93" s="30">
        <v>2.7264</v>
      </c>
      <c r="BT93" s="30">
        <v>3.1238</v>
      </c>
      <c r="BU93" s="29">
        <v>585.21</v>
      </c>
      <c r="BV93" s="29">
        <v>514.04</v>
      </c>
      <c r="BW93" s="29">
        <v>512.05</v>
      </c>
      <c r="BX93" s="29">
        <v>42.0</v>
      </c>
      <c r="BY93" s="29">
        <v>52.0</v>
      </c>
      <c r="BZ93" s="29">
        <v>40.0</v>
      </c>
      <c r="CA93" s="29">
        <v>43.2</v>
      </c>
      <c r="CD93" s="29">
        <v>50.23</v>
      </c>
      <c r="CE93" s="29">
        <v>59.25</v>
      </c>
      <c r="CI93" s="29">
        <v>6190.0</v>
      </c>
      <c r="CJ93" s="27" t="inlineStr">
        <is>
          <t xml:space="preserve">dez/25</t>
        </is>
      </c>
    </row>
    <row r="94">
      <c r="A94" s="28">
        <v>45936</v>
      </c>
      <c r="B94" s="29">
        <v>1230.04</v>
      </c>
      <c r="C94" s="29">
        <v>2911.79</v>
      </c>
      <c r="D94" s="29">
        <v>8.09</v>
      </c>
      <c r="E94" s="29">
        <v>8.79</v>
      </c>
      <c r="F94" s="29">
        <v>2169.21</v>
      </c>
      <c r="G94" s="29">
        <v>1393.91</v>
      </c>
      <c r="H94" s="29">
        <v>454.25</v>
      </c>
      <c r="I94" s="27" t="inlineStr">
        <is>
          <t xml:space="preserve">dez/25</t>
        </is>
      </c>
      <c r="J94" s="29">
        <v>143608.08</v>
      </c>
      <c r="K94" s="30">
        <v>5345.0</v>
      </c>
      <c r="L94" s="27" t="inlineStr">
        <is>
          <t xml:space="preserve">nov/25</t>
        </is>
      </c>
      <c r="M94" s="29">
        <v>321.5</v>
      </c>
      <c r="N94" s="27" t="inlineStr">
        <is>
          <t xml:space="preserve">nov/25</t>
        </is>
      </c>
      <c r="O94" s="29">
        <v>66.38</v>
      </c>
      <c r="P94" s="27" t="inlineStr">
        <is>
          <t xml:space="preserve">nov/25</t>
        </is>
      </c>
      <c r="Q94" s="29">
        <v>22.42</v>
      </c>
      <c r="R94" s="27" t="inlineStr">
        <is>
          <t xml:space="preserve">nov/25</t>
        </is>
      </c>
      <c r="S94" s="30">
        <v>10.1775</v>
      </c>
      <c r="T94" s="27" t="inlineStr">
        <is>
          <t xml:space="preserve">nov/25</t>
        </is>
      </c>
      <c r="U94" s="30">
        <v>4.2175</v>
      </c>
      <c r="V94" s="27" t="inlineStr">
        <is>
          <t xml:space="preserve">dez/25</t>
        </is>
      </c>
      <c r="W94" s="29">
        <v>277.1</v>
      </c>
      <c r="X94" s="27" t="inlineStr">
        <is>
          <t xml:space="preserve">dez/25</t>
        </is>
      </c>
      <c r="Y94" s="30">
        <v>0.5038</v>
      </c>
      <c r="Z94" s="27" t="inlineStr">
        <is>
          <t xml:space="preserve">dez/25</t>
        </is>
      </c>
      <c r="AA94" s="29">
        <v>359.79</v>
      </c>
      <c r="AB94" s="29">
        <v>117.56</v>
      </c>
      <c r="AC94" s="29">
        <v>307.73</v>
      </c>
      <c r="AD94" s="29">
        <v>313.28</v>
      </c>
      <c r="AE94" s="29">
        <v>292.76</v>
      </c>
      <c r="AF94" s="29">
        <v>289.59</v>
      </c>
      <c r="AG94" s="29">
        <v>288.2</v>
      </c>
      <c r="AH94" s="29">
        <v>283.76</v>
      </c>
      <c r="AI94" s="29">
        <v>294.63</v>
      </c>
      <c r="AJ94" s="29">
        <v>275.51</v>
      </c>
      <c r="AK94" s="29">
        <v>286.05</v>
      </c>
      <c r="AL94" s="29">
        <v>8.23</v>
      </c>
      <c r="AM94" s="29">
        <v>8.47</v>
      </c>
      <c r="AN94" s="29">
        <v>8.37</v>
      </c>
      <c r="AO94" s="29">
        <v>8.24</v>
      </c>
      <c r="AP94" s="29">
        <v>8.11</v>
      </c>
      <c r="AQ94" s="29">
        <v>144.1</v>
      </c>
      <c r="AR94" s="29">
        <v>158.54</v>
      </c>
      <c r="BH94" s="29">
        <v>1199.29</v>
      </c>
      <c r="BI94" s="29">
        <v>59.73</v>
      </c>
      <c r="BK94" s="29">
        <v>276.08</v>
      </c>
      <c r="BL94" s="29">
        <v>228.1</v>
      </c>
      <c r="BM94" s="29">
        <v>252.08</v>
      </c>
      <c r="BN94" s="29">
        <v>219.58</v>
      </c>
      <c r="BO94" s="29">
        <v>154.33</v>
      </c>
      <c r="BQ94" s="29">
        <v>146.61</v>
      </c>
      <c r="BR94" s="29">
        <v>136.24</v>
      </c>
      <c r="BX94" s="29">
        <v>42.0</v>
      </c>
      <c r="BY94" s="29">
        <v>52.0</v>
      </c>
      <c r="BZ94" s="29">
        <v>40.0</v>
      </c>
      <c r="CA94" s="29">
        <v>43.2</v>
      </c>
      <c r="CB94" s="29">
        <v>42.4</v>
      </c>
      <c r="CC94" s="29">
        <v>40.0</v>
      </c>
      <c r="CD94" s="29">
        <v>50.71</v>
      </c>
      <c r="CE94" s="29">
        <v>60.17</v>
      </c>
      <c r="CI94" s="29">
        <v>6283.0</v>
      </c>
      <c r="CJ94" s="27" t="inlineStr">
        <is>
          <t xml:space="preserve">dez/25</t>
        </is>
      </c>
    </row>
    <row r="95">
      <c r="A95" s="28">
        <v>45937</v>
      </c>
      <c r="B95" s="29">
        <v>1226.51</v>
      </c>
      <c r="C95" s="29">
        <v>2917.64</v>
      </c>
      <c r="D95" s="29">
        <v>8.11</v>
      </c>
      <c r="E95" s="29">
        <v>8.81</v>
      </c>
      <c r="F95" s="29">
        <v>2176.74</v>
      </c>
      <c r="G95" s="29">
        <v>1387.19</v>
      </c>
      <c r="H95" s="29">
        <v>449.5</v>
      </c>
      <c r="I95" s="27" t="inlineStr">
        <is>
          <t xml:space="preserve">dez/25</t>
        </is>
      </c>
      <c r="J95" s="29">
        <v>141356.43</v>
      </c>
      <c r="K95" s="30">
        <v>5389.0</v>
      </c>
      <c r="L95" s="27" t="inlineStr">
        <is>
          <t xml:space="preserve">nov/25</t>
        </is>
      </c>
      <c r="M95" s="29">
        <v>323.3</v>
      </c>
      <c r="N95" s="27" t="inlineStr">
        <is>
          <t xml:space="preserve">nov/25</t>
        </is>
      </c>
      <c r="O95" s="29">
        <v>66.35</v>
      </c>
      <c r="P95" s="27" t="inlineStr">
        <is>
          <t xml:space="preserve">nov/25</t>
        </is>
      </c>
      <c r="Q95" s="29">
        <v>22.51</v>
      </c>
      <c r="R95" s="27" t="inlineStr">
        <is>
          <t xml:space="preserve">nov/25</t>
        </is>
      </c>
      <c r="S95" s="30">
        <v>10.22</v>
      </c>
      <c r="T95" s="27" t="inlineStr">
        <is>
          <t xml:space="preserve">nov/25</t>
        </is>
      </c>
      <c r="U95" s="30">
        <v>4.1975</v>
      </c>
      <c r="V95" s="27" t="inlineStr">
        <is>
          <t xml:space="preserve">dez/25</t>
        </is>
      </c>
      <c r="W95" s="29">
        <v>276.9</v>
      </c>
      <c r="X95" s="27" t="inlineStr">
        <is>
          <t xml:space="preserve">dez/25</t>
        </is>
      </c>
      <c r="Y95" s="30">
        <v>0.5104</v>
      </c>
      <c r="Z95" s="27" t="inlineStr">
        <is>
          <t xml:space="preserve">dez/25</t>
        </is>
      </c>
      <c r="AA95" s="29">
        <v>354.93</v>
      </c>
      <c r="AB95" s="29">
        <v>117.99</v>
      </c>
      <c r="AC95" s="29">
        <v>308.01</v>
      </c>
      <c r="AD95" s="29">
        <v>313.99</v>
      </c>
      <c r="AE95" s="29">
        <v>295.75</v>
      </c>
      <c r="AF95" s="29">
        <v>291.17</v>
      </c>
      <c r="AG95" s="29">
        <v>291.47</v>
      </c>
      <c r="AH95" s="29">
        <v>288.11</v>
      </c>
      <c r="AI95" s="29">
        <v>292.5</v>
      </c>
      <c r="AJ95" s="29">
        <v>275.53</v>
      </c>
      <c r="AK95" s="29">
        <v>285.81</v>
      </c>
      <c r="AL95" s="29">
        <v>8.23</v>
      </c>
      <c r="AM95" s="29">
        <v>8.44</v>
      </c>
      <c r="AN95" s="29">
        <v>8.38</v>
      </c>
      <c r="AO95" s="29">
        <v>8.24</v>
      </c>
      <c r="AP95" s="29">
        <v>8.13</v>
      </c>
      <c r="AQ95" s="29">
        <v>144.02</v>
      </c>
      <c r="AR95" s="29">
        <v>158.48</v>
      </c>
      <c r="BH95" s="29">
        <v>1199.29</v>
      </c>
      <c r="BI95" s="29">
        <v>59.35</v>
      </c>
      <c r="BK95" s="29">
        <v>277.74</v>
      </c>
      <c r="BL95" s="29">
        <v>226.25</v>
      </c>
      <c r="BM95" s="29">
        <v>250.41</v>
      </c>
      <c r="BN95" s="29">
        <v>216.56</v>
      </c>
      <c r="BO95" s="29">
        <v>156.33</v>
      </c>
      <c r="BP95" s="29">
        <v>166.0</v>
      </c>
      <c r="BQ95" s="29">
        <v>146.71</v>
      </c>
      <c r="BR95" s="29">
        <v>138.11</v>
      </c>
      <c r="BX95" s="29">
        <v>42.0</v>
      </c>
      <c r="BY95" s="29">
        <v>52.0</v>
      </c>
      <c r="BZ95" s="29">
        <v>40.0</v>
      </c>
      <c r="CA95" s="29">
        <v>43.2</v>
      </c>
      <c r="CB95" s="29">
        <v>42.4</v>
      </c>
      <c r="CC95" s="29">
        <v>40.0</v>
      </c>
      <c r="CD95" s="29">
        <v>50.71</v>
      </c>
      <c r="CE95" s="29">
        <v>60.43</v>
      </c>
      <c r="CI95" s="29">
        <v>6179.0</v>
      </c>
      <c r="CJ95" s="27" t="inlineStr">
        <is>
          <t xml:space="preserve">dez/25</t>
        </is>
      </c>
    </row>
    <row r="96">
      <c r="A96" s="28">
        <v>45938</v>
      </c>
      <c r="B96" s="29">
        <v>1234.1</v>
      </c>
      <c r="C96" s="29">
        <v>2924.92</v>
      </c>
      <c r="D96" s="29">
        <v>8.2</v>
      </c>
      <c r="E96" s="29">
        <v>8.77</v>
      </c>
      <c r="F96" s="29">
        <v>2186.03</v>
      </c>
      <c r="G96" s="29">
        <v>1388.96</v>
      </c>
      <c r="H96" s="29">
        <v>458.5</v>
      </c>
      <c r="I96" s="27" t="inlineStr">
        <is>
          <t xml:space="preserve">dez/25</t>
        </is>
      </c>
      <c r="J96" s="29">
        <v>142145.38</v>
      </c>
      <c r="K96" s="30">
        <v>5368.0</v>
      </c>
      <c r="L96" s="27" t="inlineStr">
        <is>
          <t xml:space="preserve">nov/25</t>
        </is>
      </c>
      <c r="M96" s="29">
        <v>322.2</v>
      </c>
      <c r="N96" s="27" t="inlineStr">
        <is>
          <t xml:space="preserve">nov/25</t>
        </is>
      </c>
      <c r="O96" s="29">
        <v>66.6</v>
      </c>
      <c r="P96" s="27" t="inlineStr">
        <is>
          <t xml:space="preserve">nov/25</t>
        </is>
      </c>
      <c r="Q96" s="29">
        <v>22.68</v>
      </c>
      <c r="R96" s="27" t="inlineStr">
        <is>
          <t xml:space="preserve">nov/25</t>
        </is>
      </c>
      <c r="S96" s="30">
        <v>10.295</v>
      </c>
      <c r="T96" s="27" t="inlineStr">
        <is>
          <t xml:space="preserve">nov/25</t>
        </is>
      </c>
      <c r="U96" s="30">
        <v>4.22</v>
      </c>
      <c r="V96" s="27" t="inlineStr">
        <is>
          <t xml:space="preserve">dez/25</t>
        </is>
      </c>
      <c r="W96" s="29">
        <v>278.0</v>
      </c>
      <c r="X96" s="27" t="inlineStr">
        <is>
          <t xml:space="preserve">dez/25</t>
        </is>
      </c>
      <c r="Y96" s="30">
        <v>0.5148</v>
      </c>
      <c r="Z96" s="27" t="inlineStr">
        <is>
          <t xml:space="preserve">dez/25</t>
        </is>
      </c>
      <c r="AA96" s="29">
        <v>353.73</v>
      </c>
      <c r="AB96" s="29">
        <v>117.21</v>
      </c>
      <c r="AC96" s="29">
        <v>307.53</v>
      </c>
      <c r="AD96" s="29">
        <v>315.12</v>
      </c>
      <c r="AE96" s="29">
        <v>295.32</v>
      </c>
      <c r="AF96" s="29">
        <v>293.07</v>
      </c>
      <c r="AG96" s="29">
        <v>290.8</v>
      </c>
      <c r="AH96" s="29">
        <v>287.92</v>
      </c>
      <c r="AI96" s="29">
        <v>293.81</v>
      </c>
      <c r="AJ96" s="29">
        <v>278.7</v>
      </c>
      <c r="AK96" s="29">
        <v>284.95</v>
      </c>
      <c r="AL96" s="29">
        <v>8.24</v>
      </c>
      <c r="AM96" s="29">
        <v>8.44</v>
      </c>
      <c r="AN96" s="29">
        <v>8.35</v>
      </c>
      <c r="AO96" s="29">
        <v>8.25</v>
      </c>
      <c r="AP96" s="29">
        <v>8.23</v>
      </c>
      <c r="AQ96" s="29">
        <v>144.02</v>
      </c>
      <c r="AR96" s="29">
        <v>158.48</v>
      </c>
      <c r="BH96" s="29">
        <v>1188.98</v>
      </c>
      <c r="BI96" s="29">
        <v>58.68</v>
      </c>
      <c r="BK96" s="29">
        <v>274.76</v>
      </c>
      <c r="BL96" s="29">
        <v>227.78</v>
      </c>
      <c r="BM96" s="29">
        <v>249.57</v>
      </c>
      <c r="BN96" s="29">
        <v>211.18</v>
      </c>
      <c r="BO96" s="29">
        <v>154.59</v>
      </c>
      <c r="BP96" s="29">
        <v>166.0</v>
      </c>
      <c r="BQ96" s="29">
        <v>145.72</v>
      </c>
      <c r="BR96" s="29">
        <v>137.73</v>
      </c>
      <c r="BX96" s="29">
        <v>42.0</v>
      </c>
      <c r="BY96" s="29">
        <v>52.0</v>
      </c>
      <c r="BZ96" s="29">
        <v>40.0</v>
      </c>
      <c r="CA96" s="29">
        <v>43.2</v>
      </c>
      <c r="CB96" s="29">
        <v>42.4</v>
      </c>
      <c r="CC96" s="29">
        <v>40.0</v>
      </c>
      <c r="CD96" s="29">
        <v>50.12</v>
      </c>
      <c r="CE96" s="29">
        <v>61.02</v>
      </c>
      <c r="CI96" s="29">
        <v>6000.0</v>
      </c>
      <c r="CJ96" s="27" t="inlineStr">
        <is>
          <t xml:space="preserve">dez/25</t>
        </is>
      </c>
    </row>
    <row r="97">
      <c r="A97" s="28">
        <v>45939</v>
      </c>
      <c r="B97" s="29">
        <v>1242.83</v>
      </c>
      <c r="C97" s="29">
        <v>2946.12</v>
      </c>
      <c r="D97" s="29">
        <v>8.2</v>
      </c>
      <c r="E97" s="29">
        <v>8.77</v>
      </c>
      <c r="F97" s="29">
        <v>2182.41</v>
      </c>
      <c r="G97" s="29">
        <v>1395.41</v>
      </c>
      <c r="H97" s="29">
        <v>454.0</v>
      </c>
      <c r="I97" s="27" t="inlineStr">
        <is>
          <t xml:space="preserve">dez/25</t>
        </is>
      </c>
      <c r="J97" s="29">
        <v>141708.19</v>
      </c>
      <c r="K97" s="30">
        <v>5406.0</v>
      </c>
      <c r="L97" s="27" t="inlineStr">
        <is>
          <t xml:space="preserve">nov/25</t>
        </is>
      </c>
      <c r="M97" s="29">
        <v>324.3</v>
      </c>
      <c r="N97" s="27" t="inlineStr">
        <is>
          <t xml:space="preserve">nov/25</t>
        </is>
      </c>
      <c r="O97" s="29">
        <v>67.27</v>
      </c>
      <c r="P97" s="27" t="inlineStr">
        <is>
          <t xml:space="preserve">nov/25</t>
        </is>
      </c>
      <c r="Q97" s="29">
        <v>22.51</v>
      </c>
      <c r="R97" s="27" t="inlineStr">
        <is>
          <t xml:space="preserve">nov/25</t>
        </is>
      </c>
      <c r="S97" s="30">
        <v>10.2225</v>
      </c>
      <c r="T97" s="27" t="inlineStr">
        <is>
          <t xml:space="preserve">nov/25</t>
        </is>
      </c>
      <c r="U97" s="30">
        <v>4.1825</v>
      </c>
      <c r="V97" s="27" t="inlineStr">
        <is>
          <t xml:space="preserve">dez/25</t>
        </is>
      </c>
      <c r="W97" s="29">
        <v>276.9</v>
      </c>
      <c r="X97" s="27" t="inlineStr">
        <is>
          <t xml:space="preserve">dez/25</t>
        </is>
      </c>
      <c r="Y97" s="30">
        <v>0.5094</v>
      </c>
      <c r="Z97" s="27" t="inlineStr">
        <is>
          <t xml:space="preserve">dez/25</t>
        </is>
      </c>
      <c r="AA97" s="29">
        <v>354.93</v>
      </c>
      <c r="AB97" s="29">
        <v>116.98</v>
      </c>
      <c r="AC97" s="29">
        <v>307.24</v>
      </c>
      <c r="AD97" s="29">
        <v>316.08</v>
      </c>
      <c r="AE97" s="29">
        <v>293.89</v>
      </c>
      <c r="AF97" s="29">
        <v>293.0</v>
      </c>
      <c r="AG97" s="29">
        <v>291.53</v>
      </c>
      <c r="AH97" s="29">
        <v>289.41</v>
      </c>
      <c r="AI97" s="29">
        <v>297.89</v>
      </c>
      <c r="AJ97" s="29">
        <v>279.88</v>
      </c>
      <c r="AK97" s="29">
        <v>285.52</v>
      </c>
      <c r="AL97" s="29">
        <v>8.25</v>
      </c>
      <c r="AM97" s="29">
        <v>8.44</v>
      </c>
      <c r="AN97" s="29">
        <v>8.35</v>
      </c>
      <c r="AO97" s="29">
        <v>8.27</v>
      </c>
      <c r="AP97" s="29">
        <v>8.23</v>
      </c>
      <c r="AQ97" s="29">
        <v>144.02</v>
      </c>
      <c r="AR97" s="29">
        <v>158.08</v>
      </c>
      <c r="BH97" s="29">
        <v>1186.12</v>
      </c>
      <c r="BI97" s="29">
        <v>58.62</v>
      </c>
      <c r="BK97" s="29">
        <v>274.76</v>
      </c>
      <c r="BL97" s="29">
        <v>229.07</v>
      </c>
      <c r="BM97" s="29">
        <v>247.79</v>
      </c>
      <c r="BN97" s="29">
        <v>204.72</v>
      </c>
      <c r="BO97" s="29">
        <v>155.5</v>
      </c>
      <c r="BP97" s="29">
        <v>170.0</v>
      </c>
      <c r="BQ97" s="29">
        <v>143.33</v>
      </c>
      <c r="BR97" s="29">
        <v>137.73</v>
      </c>
      <c r="BX97" s="29">
        <v>42.0</v>
      </c>
      <c r="BY97" s="29">
        <v>52.0</v>
      </c>
      <c r="BZ97" s="29">
        <v>40.0</v>
      </c>
      <c r="CA97" s="29">
        <v>43.2</v>
      </c>
      <c r="CB97" s="29">
        <v>42.4</v>
      </c>
      <c r="CC97" s="29">
        <v>40.0</v>
      </c>
      <c r="CD97" s="29">
        <v>50.11</v>
      </c>
      <c r="CE97" s="29">
        <v>60.52</v>
      </c>
      <c r="CI97" s="29">
        <v>5945.0</v>
      </c>
      <c r="CJ97" s="27" t="inlineStr">
        <is>
          <t xml:space="preserve">dez/25</t>
        </is>
      </c>
    </row>
    <row r="98">
      <c r="A98" s="28">
        <v>45940</v>
      </c>
      <c r="B98" s="29">
        <v>1238.61</v>
      </c>
      <c r="C98" s="29">
        <v>2953.95</v>
      </c>
      <c r="D98" s="29">
        <v>8.19</v>
      </c>
      <c r="E98" s="29">
        <v>8.75</v>
      </c>
      <c r="F98" s="29">
        <v>2191.74</v>
      </c>
      <c r="G98" s="29">
        <v>1388.41</v>
      </c>
      <c r="H98" s="29">
        <v>448.65</v>
      </c>
      <c r="I98" s="27" t="inlineStr">
        <is>
          <t xml:space="preserve">dez/25</t>
        </is>
      </c>
      <c r="J98" s="29">
        <v>140680.34</v>
      </c>
      <c r="K98" s="30">
        <v>5551.0</v>
      </c>
      <c r="L98" s="27" t="inlineStr">
        <is>
          <t xml:space="preserve">nov/25</t>
        </is>
      </c>
      <c r="M98" s="29">
        <v>322.65</v>
      </c>
      <c r="N98" s="27" t="inlineStr">
        <is>
          <t xml:space="preserve">nov/25</t>
        </is>
      </c>
      <c r="O98" s="29">
        <v>67.88</v>
      </c>
      <c r="P98" s="27" t="inlineStr">
        <is>
          <t xml:space="preserve">nov/25</t>
        </is>
      </c>
      <c r="Q98" s="29">
        <v>22.2</v>
      </c>
      <c r="R98" s="27" t="inlineStr">
        <is>
          <t xml:space="preserve">nov/25</t>
        </is>
      </c>
      <c r="S98" s="30">
        <v>10.0675</v>
      </c>
      <c r="T98" s="27" t="inlineStr">
        <is>
          <t xml:space="preserve">nov/25</t>
        </is>
      </c>
      <c r="U98" s="30">
        <v>4.13</v>
      </c>
      <c r="V98" s="27" t="inlineStr">
        <is>
          <t xml:space="preserve">dez/25</t>
        </is>
      </c>
      <c r="W98" s="29">
        <v>275.0</v>
      </c>
      <c r="X98" s="27" t="inlineStr">
        <is>
          <t xml:space="preserve">dez/25</t>
        </is>
      </c>
      <c r="Y98" s="30">
        <v>0.4997</v>
      </c>
      <c r="Z98" s="27" t="inlineStr">
        <is>
          <t xml:space="preserve">dez/25</t>
        </is>
      </c>
      <c r="AA98" s="29">
        <v>350.61</v>
      </c>
      <c r="AB98" s="29">
        <v>117.05</v>
      </c>
      <c r="AC98" s="29">
        <v>307.33</v>
      </c>
      <c r="AD98" s="29">
        <v>316.91</v>
      </c>
      <c r="AE98" s="29">
        <v>291.69</v>
      </c>
      <c r="AF98" s="29">
        <v>290.16</v>
      </c>
      <c r="AG98" s="29">
        <v>293.72</v>
      </c>
      <c r="AH98" s="29">
        <v>292.65</v>
      </c>
      <c r="AI98" s="29">
        <v>298.69</v>
      </c>
      <c r="AJ98" s="29">
        <v>279.77</v>
      </c>
      <c r="AK98" s="29">
        <v>285.94</v>
      </c>
      <c r="AL98" s="29">
        <v>8.25</v>
      </c>
      <c r="AM98" s="29">
        <v>8.44</v>
      </c>
      <c r="AN98" s="29">
        <v>8.36</v>
      </c>
      <c r="AO98" s="29">
        <v>8.27</v>
      </c>
      <c r="AP98" s="29">
        <v>8.21</v>
      </c>
      <c r="AQ98" s="29">
        <v>144.0</v>
      </c>
      <c r="AR98" s="29">
        <v>158.08</v>
      </c>
      <c r="BC98" s="29">
        <v>8.36</v>
      </c>
      <c r="BD98" s="29">
        <v>8.7</v>
      </c>
      <c r="BE98" s="29">
        <v>8.9</v>
      </c>
      <c r="BF98" s="29">
        <v>8.0</v>
      </c>
      <c r="BG98" s="29">
        <v>8.4</v>
      </c>
      <c r="BH98" s="29">
        <v>1160.66</v>
      </c>
      <c r="BI98" s="29">
        <v>58.77</v>
      </c>
      <c r="BK98" s="29">
        <v>270.96</v>
      </c>
      <c r="BL98" s="29">
        <v>227.54</v>
      </c>
      <c r="BM98" s="29">
        <v>247.66</v>
      </c>
      <c r="BN98" s="29">
        <v>208.67</v>
      </c>
      <c r="BO98" s="29">
        <v>160.04</v>
      </c>
      <c r="BP98" s="29">
        <v>170.0</v>
      </c>
      <c r="BQ98" s="29">
        <v>143.9</v>
      </c>
      <c r="BR98" s="29">
        <v>137.17</v>
      </c>
      <c r="BS98" s="30">
        <v>2.7156</v>
      </c>
      <c r="BT98" s="30">
        <v>3.1126</v>
      </c>
      <c r="BU98" s="29">
        <v>587.53</v>
      </c>
      <c r="BV98" s="29">
        <v>527.74</v>
      </c>
      <c r="BW98" s="29">
        <v>524.51</v>
      </c>
      <c r="BX98" s="29">
        <v>41.0</v>
      </c>
      <c r="BY98" s="29">
        <v>52.0</v>
      </c>
      <c r="BZ98" s="29">
        <v>40.0</v>
      </c>
      <c r="CA98" s="29">
        <v>43.2</v>
      </c>
      <c r="CB98" s="29">
        <v>42.4</v>
      </c>
      <c r="CC98" s="29">
        <v>40.0</v>
      </c>
      <c r="CD98" s="29">
        <v>50.11</v>
      </c>
      <c r="CE98" s="29">
        <v>60.65</v>
      </c>
      <c r="CI98" s="29">
        <v>5848.0</v>
      </c>
      <c r="CJ98" s="27" t="inlineStr">
        <is>
          <t xml:space="preserve">dez/25</t>
        </is>
      </c>
    </row>
    <row r="99">
      <c r="A99" s="28">
        <v>45943</v>
      </c>
      <c r="B99" s="29">
        <v>1229.73</v>
      </c>
      <c r="C99" s="29">
        <v>2959.91</v>
      </c>
      <c r="D99" s="29">
        <v>8.2</v>
      </c>
      <c r="E99" s="29">
        <v>8.75</v>
      </c>
      <c r="F99" s="29">
        <v>2219.96</v>
      </c>
      <c r="G99" s="29">
        <v>1414.4</v>
      </c>
      <c r="H99" s="29">
        <v>459.9</v>
      </c>
      <c r="I99" s="27" t="inlineStr">
        <is>
          <t xml:space="preserve">dez/25</t>
        </is>
      </c>
      <c r="J99" s="29">
        <v>141783.36</v>
      </c>
      <c r="K99" s="30">
        <v>5485.0</v>
      </c>
      <c r="L99" s="27" t="inlineStr">
        <is>
          <t xml:space="preserve">nov/25</t>
        </is>
      </c>
      <c r="M99" s="29">
        <v>322.0</v>
      </c>
      <c r="N99" s="27" t="inlineStr">
        <is>
          <t xml:space="preserve">nov/25</t>
        </is>
      </c>
      <c r="O99" s="29">
        <v>67.2</v>
      </c>
      <c r="P99" s="27" t="inlineStr">
        <is>
          <t xml:space="preserve">nov/25</t>
        </is>
      </c>
      <c r="Q99" s="29">
        <v>22.24</v>
      </c>
      <c r="R99" s="27" t="inlineStr">
        <is>
          <t xml:space="preserve">nov/25</t>
        </is>
      </c>
      <c r="S99" s="30">
        <v>10.0775</v>
      </c>
      <c r="T99" s="27" t="inlineStr">
        <is>
          <t xml:space="preserve">nov/25</t>
        </is>
      </c>
      <c r="U99" s="30">
        <v>4.1075</v>
      </c>
      <c r="V99" s="27" t="inlineStr">
        <is>
          <t xml:space="preserve">dez/25</t>
        </is>
      </c>
      <c r="W99" s="29">
        <v>274.1</v>
      </c>
      <c r="X99" s="27" t="inlineStr">
        <is>
          <t xml:space="preserve">dez/25</t>
        </is>
      </c>
      <c r="Y99" s="30">
        <v>0.506</v>
      </c>
      <c r="Z99" s="27" t="inlineStr">
        <is>
          <t xml:space="preserve">dez/25</t>
        </is>
      </c>
      <c r="AA99" s="29">
        <v>353.53</v>
      </c>
      <c r="AB99" s="29">
        <v>116.73</v>
      </c>
      <c r="AC99" s="29">
        <v>307.8</v>
      </c>
      <c r="AD99" s="29">
        <v>317.44</v>
      </c>
      <c r="AE99" s="29">
        <v>293.68</v>
      </c>
      <c r="AF99" s="29">
        <v>288.15</v>
      </c>
      <c r="AG99" s="29">
        <v>294.9</v>
      </c>
      <c r="AH99" s="29">
        <v>291.53</v>
      </c>
      <c r="AI99" s="29">
        <v>298.53</v>
      </c>
      <c r="AJ99" s="29">
        <v>279.69</v>
      </c>
      <c r="AK99" s="29">
        <v>286.66</v>
      </c>
      <c r="AL99" s="29">
        <v>8.25</v>
      </c>
      <c r="AM99" s="29">
        <v>8.44</v>
      </c>
      <c r="AN99" s="29">
        <v>8.36</v>
      </c>
      <c r="AO99" s="29">
        <v>8.31</v>
      </c>
      <c r="AP99" s="29">
        <v>8.22</v>
      </c>
      <c r="AQ99" s="29">
        <v>143.68</v>
      </c>
      <c r="AR99" s="29">
        <v>158.09</v>
      </c>
      <c r="BH99" s="29">
        <v>1149.79</v>
      </c>
      <c r="BI99" s="29">
        <v>58.86</v>
      </c>
      <c r="BK99" s="29">
        <v>275.38</v>
      </c>
      <c r="BL99" s="29">
        <v>227.54</v>
      </c>
      <c r="BM99" s="29">
        <v>245.97</v>
      </c>
      <c r="BN99" s="29">
        <v>209.29</v>
      </c>
      <c r="BO99" s="29">
        <v>160.04</v>
      </c>
      <c r="BP99" s="29">
        <v>170.0</v>
      </c>
      <c r="BQ99" s="29">
        <v>143.9</v>
      </c>
      <c r="BX99" s="29">
        <v>41.0</v>
      </c>
      <c r="BY99" s="29">
        <v>52.0</v>
      </c>
      <c r="BZ99" s="29">
        <v>40.0</v>
      </c>
      <c r="CA99" s="29">
        <v>43.2</v>
      </c>
      <c r="CB99" s="29">
        <v>42.4</v>
      </c>
      <c r="CC99" s="29">
        <v>40.0</v>
      </c>
      <c r="CD99" s="29">
        <v>50.11</v>
      </c>
      <c r="CE99" s="29">
        <v>60.74</v>
      </c>
      <c r="CI99" s="29">
        <v>5822.0</v>
      </c>
      <c r="CJ99" s="27" t="inlineStr">
        <is>
          <t xml:space="preserve">dez/25</t>
        </is>
      </c>
    </row>
    <row r="100">
      <c r="A100" s="28">
        <v>45944</v>
      </c>
      <c r="B100" s="29">
        <v>1232.51</v>
      </c>
      <c r="C100" s="29">
        <v>2946.57</v>
      </c>
      <c r="D100" s="29">
        <v>8.19</v>
      </c>
      <c r="E100" s="29">
        <v>8.75</v>
      </c>
      <c r="F100" s="29">
        <v>2301.24</v>
      </c>
      <c r="G100" s="29">
        <v>1416.62</v>
      </c>
      <c r="H100" s="29">
        <v>479.25</v>
      </c>
      <c r="I100" s="27" t="inlineStr">
        <is>
          <t xml:space="preserve">dez/25</t>
        </is>
      </c>
      <c r="J100" s="29">
        <v>141682.99</v>
      </c>
      <c r="K100" s="30">
        <v>5506.5</v>
      </c>
      <c r="L100" s="27" t="inlineStr">
        <is>
          <t xml:space="preserve">nov/25</t>
        </is>
      </c>
      <c r="M100" s="29">
        <v>323.8</v>
      </c>
      <c r="N100" s="27" t="inlineStr">
        <is>
          <t xml:space="preserve">nov/25</t>
        </is>
      </c>
      <c r="O100" s="29">
        <v>67.85</v>
      </c>
      <c r="P100" s="27" t="inlineStr">
        <is>
          <t xml:space="preserve">nov/25</t>
        </is>
      </c>
      <c r="Q100" s="29">
        <v>22.17</v>
      </c>
      <c r="R100" s="27" t="inlineStr">
        <is>
          <t xml:space="preserve">nov/25</t>
        </is>
      </c>
      <c r="S100" s="30">
        <v>10.065</v>
      </c>
      <c r="T100" s="27" t="inlineStr">
        <is>
          <t xml:space="preserve">nov/25</t>
        </is>
      </c>
      <c r="U100" s="30">
        <v>4.13</v>
      </c>
      <c r="V100" s="27" t="inlineStr">
        <is>
          <t xml:space="preserve">dez/25</t>
        </is>
      </c>
      <c r="W100" s="29">
        <v>274.3</v>
      </c>
      <c r="X100" s="27" t="inlineStr">
        <is>
          <t xml:space="preserve">dez/25</t>
        </is>
      </c>
      <c r="Y100" s="30">
        <v>0.5057</v>
      </c>
      <c r="Z100" s="27" t="inlineStr">
        <is>
          <t xml:space="preserve">dez/25</t>
        </is>
      </c>
      <c r="AA100" s="29">
        <v>350.48</v>
      </c>
      <c r="AB100" s="29">
        <v>115.84</v>
      </c>
      <c r="AC100" s="29">
        <v>309.14</v>
      </c>
      <c r="AD100" s="29">
        <v>317.48</v>
      </c>
      <c r="AE100" s="29">
        <v>294.13</v>
      </c>
      <c r="AF100" s="29">
        <v>288.29</v>
      </c>
      <c r="AG100" s="29">
        <v>294.08</v>
      </c>
      <c r="AH100" s="29">
        <v>294.36</v>
      </c>
      <c r="AI100" s="29">
        <v>298.65</v>
      </c>
      <c r="AJ100" s="29">
        <v>279.93</v>
      </c>
      <c r="AK100" s="29">
        <v>286.66</v>
      </c>
      <c r="AL100" s="29">
        <v>8.25</v>
      </c>
      <c r="AM100" s="29">
        <v>8.42</v>
      </c>
      <c r="AN100" s="29">
        <v>8.3</v>
      </c>
      <c r="AO100" s="29">
        <v>8.32</v>
      </c>
      <c r="AP100" s="29">
        <v>8.21</v>
      </c>
      <c r="AQ100" s="29">
        <v>143.59</v>
      </c>
      <c r="AR100" s="29">
        <v>158.13</v>
      </c>
      <c r="BH100" s="29">
        <v>1152.02</v>
      </c>
      <c r="BI100" s="29">
        <v>58.36</v>
      </c>
      <c r="BK100" s="29">
        <v>272.52</v>
      </c>
      <c r="BL100" s="29">
        <v>228.43</v>
      </c>
      <c r="BM100" s="29">
        <v>244.03</v>
      </c>
      <c r="BN100" s="29">
        <v>210.91</v>
      </c>
      <c r="BO100" s="29">
        <v>155.87</v>
      </c>
      <c r="BP100" s="29">
        <v>165.5</v>
      </c>
      <c r="BQ100" s="29">
        <v>143.73</v>
      </c>
      <c r="BR100" s="29">
        <v>137.73</v>
      </c>
      <c r="BX100" s="29">
        <v>41.0</v>
      </c>
      <c r="BY100" s="29">
        <v>52.0</v>
      </c>
      <c r="BZ100" s="29">
        <v>40.0</v>
      </c>
      <c r="CA100" s="29">
        <v>43.2</v>
      </c>
      <c r="CB100" s="29">
        <v>42.4</v>
      </c>
      <c r="CC100" s="29">
        <v>40.0</v>
      </c>
      <c r="CD100" s="29">
        <v>50.11</v>
      </c>
      <c r="CE100" s="29">
        <v>60.3</v>
      </c>
      <c r="CI100" s="29">
        <v>5899.0</v>
      </c>
      <c r="CJ100" s="27" t="inlineStr">
        <is>
          <t xml:space="preserve">dez/25</t>
        </is>
      </c>
    </row>
    <row r="101">
      <c r="A101" s="28">
        <v>45945</v>
      </c>
      <c r="B101" s="29">
        <v>1232.09</v>
      </c>
      <c r="C101" s="29">
        <v>2937.35</v>
      </c>
      <c r="D101" s="29">
        <v>8.19</v>
      </c>
      <c r="E101" s="29">
        <v>8.75</v>
      </c>
      <c r="F101" s="29">
        <v>2314.21</v>
      </c>
      <c r="G101" s="29">
        <v>1425.51</v>
      </c>
      <c r="H101" s="29">
        <v>471.5</v>
      </c>
      <c r="I101" s="27" t="inlineStr">
        <is>
          <t xml:space="preserve">dez/25</t>
        </is>
      </c>
      <c r="J101" s="29">
        <v>142603.66</v>
      </c>
      <c r="K101" s="30">
        <v>5474.5</v>
      </c>
      <c r="L101" s="27" t="inlineStr">
        <is>
          <t xml:space="preserve">nov/25</t>
        </is>
      </c>
      <c r="M101" s="29">
        <v>323.55</v>
      </c>
      <c r="N101" s="27" t="inlineStr">
        <is>
          <t xml:space="preserve">nov/25</t>
        </is>
      </c>
      <c r="O101" s="29">
        <v>67.55</v>
      </c>
      <c r="P101" s="27" t="inlineStr">
        <is>
          <t xml:space="preserve">nov/25</t>
        </is>
      </c>
      <c r="Q101" s="29">
        <v>22.21</v>
      </c>
      <c r="R101" s="27" t="inlineStr">
        <is>
          <t xml:space="preserve">nov/25</t>
        </is>
      </c>
      <c r="S101" s="30">
        <v>10.065</v>
      </c>
      <c r="T101" s="27" t="inlineStr">
        <is>
          <t xml:space="preserve">nov/25</t>
        </is>
      </c>
      <c r="U101" s="30">
        <v>4.1675</v>
      </c>
      <c r="V101" s="27" t="inlineStr">
        <is>
          <t xml:space="preserve">dez/25</t>
        </is>
      </c>
      <c r="W101" s="29">
        <v>275.9</v>
      </c>
      <c r="X101" s="27" t="inlineStr">
        <is>
          <t xml:space="preserve">dez/25</t>
        </is>
      </c>
      <c r="Y101" s="30">
        <v>0.508</v>
      </c>
      <c r="Z101" s="27" t="inlineStr">
        <is>
          <t xml:space="preserve">dez/25</t>
        </is>
      </c>
      <c r="AA101" s="29">
        <v>352.05</v>
      </c>
      <c r="AB101" s="29">
        <v>116.52</v>
      </c>
      <c r="AC101" s="29">
        <v>308.99</v>
      </c>
      <c r="AD101" s="29">
        <v>317.29</v>
      </c>
      <c r="AE101" s="29">
        <v>301.9</v>
      </c>
      <c r="AF101" s="29">
        <v>293.76</v>
      </c>
      <c r="AG101" s="29">
        <v>294.0</v>
      </c>
      <c r="AH101" s="29">
        <v>296.21</v>
      </c>
      <c r="AI101" s="29">
        <v>298.3</v>
      </c>
      <c r="AJ101" s="29">
        <v>280.2</v>
      </c>
      <c r="AK101" s="29">
        <v>285.02</v>
      </c>
      <c r="AL101" s="29">
        <v>8.24</v>
      </c>
      <c r="AM101" s="29">
        <v>8.43</v>
      </c>
      <c r="AN101" s="29">
        <v>8.32</v>
      </c>
      <c r="AO101" s="29">
        <v>8.32</v>
      </c>
      <c r="AP101" s="29">
        <v>8.22</v>
      </c>
      <c r="AQ101" s="29">
        <v>143.59</v>
      </c>
      <c r="AR101" s="29">
        <v>158.13</v>
      </c>
      <c r="BH101" s="29">
        <v>1123.56</v>
      </c>
      <c r="BI101" s="29">
        <v>58.15</v>
      </c>
      <c r="BK101" s="29">
        <v>262.11</v>
      </c>
      <c r="BL101" s="29">
        <v>215.4</v>
      </c>
      <c r="BM101" s="29">
        <v>239.67</v>
      </c>
      <c r="BN101" s="29">
        <v>213.0</v>
      </c>
      <c r="BO101" s="29">
        <v>154.32</v>
      </c>
      <c r="BQ101" s="29">
        <v>143.36</v>
      </c>
      <c r="BR101" s="29">
        <v>137.17</v>
      </c>
      <c r="BX101" s="29">
        <v>41.0</v>
      </c>
      <c r="BY101" s="29">
        <v>52.0</v>
      </c>
      <c r="BZ101" s="29">
        <v>40.0</v>
      </c>
      <c r="CA101" s="29">
        <v>43.2</v>
      </c>
      <c r="CD101" s="29">
        <v>50.39</v>
      </c>
      <c r="CE101" s="29">
        <v>61.4</v>
      </c>
      <c r="CI101" s="29">
        <v>5809.0</v>
      </c>
      <c r="CJ101" s="27" t="inlineStr">
        <is>
          <t xml:space="preserve">dez/25</t>
        </is>
      </c>
    </row>
    <row r="102">
      <c r="A102" s="28">
        <v>45946</v>
      </c>
      <c r="B102" s="29">
        <v>1207.95</v>
      </c>
      <c r="C102" s="29">
        <v>2930.81</v>
      </c>
      <c r="D102" s="29">
        <v>8.26</v>
      </c>
      <c r="E102" s="29">
        <v>8.75</v>
      </c>
      <c r="F102" s="29">
        <v>2269.67</v>
      </c>
      <c r="G102" s="29">
        <v>1420.51</v>
      </c>
      <c r="H102" s="29">
        <v>473.45</v>
      </c>
      <c r="I102" s="27" t="inlineStr">
        <is>
          <t xml:space="preserve">dez/25</t>
        </is>
      </c>
      <c r="J102" s="29">
        <v>142200.02</v>
      </c>
      <c r="K102" s="30">
        <v>5472.0</v>
      </c>
      <c r="L102" s="27" t="inlineStr">
        <is>
          <t xml:space="preserve">nov/25</t>
        </is>
      </c>
      <c r="M102" s="29">
        <v>325.35</v>
      </c>
      <c r="N102" s="27" t="inlineStr">
        <is>
          <t xml:space="preserve">nov/25</t>
        </is>
      </c>
      <c r="O102" s="29">
        <v>67.92</v>
      </c>
      <c r="P102" s="27" t="inlineStr">
        <is>
          <t xml:space="preserve">nov/25</t>
        </is>
      </c>
      <c r="Q102" s="29">
        <v>22.31</v>
      </c>
      <c r="R102" s="27" t="inlineStr">
        <is>
          <t xml:space="preserve">nov/25</t>
        </is>
      </c>
      <c r="S102" s="30">
        <v>10.1075</v>
      </c>
      <c r="T102" s="27" t="inlineStr">
        <is>
          <t xml:space="preserve">nov/25</t>
        </is>
      </c>
      <c r="U102" s="30">
        <v>4.2175</v>
      </c>
      <c r="V102" s="27" t="inlineStr">
        <is>
          <t xml:space="preserve">dez/25</t>
        </is>
      </c>
      <c r="W102" s="29">
        <v>276.9</v>
      </c>
      <c r="X102" s="27" t="inlineStr">
        <is>
          <t xml:space="preserve">dez/25</t>
        </is>
      </c>
      <c r="Y102" s="30">
        <v>0.5087</v>
      </c>
      <c r="Z102" s="27" t="inlineStr">
        <is>
          <t xml:space="preserve">dez/25</t>
        </is>
      </c>
      <c r="AA102" s="29">
        <v>351.1</v>
      </c>
      <c r="AB102" s="29">
        <v>115.67</v>
      </c>
      <c r="AC102" s="29">
        <v>309.37</v>
      </c>
      <c r="AD102" s="29">
        <v>317.89</v>
      </c>
      <c r="AE102" s="29">
        <v>301.3</v>
      </c>
      <c r="AF102" s="29">
        <v>294.57</v>
      </c>
      <c r="AG102" s="29">
        <v>295.0</v>
      </c>
      <c r="AH102" s="29">
        <v>296.19</v>
      </c>
      <c r="AI102" s="29">
        <v>297.52</v>
      </c>
      <c r="AJ102" s="29">
        <v>286.01</v>
      </c>
      <c r="AK102" s="29">
        <v>282.6</v>
      </c>
      <c r="AL102" s="29">
        <v>8.25</v>
      </c>
      <c r="AM102" s="29">
        <v>8.44</v>
      </c>
      <c r="AN102" s="29">
        <v>8.32</v>
      </c>
      <c r="AO102" s="29">
        <v>8.31</v>
      </c>
      <c r="AP102" s="29">
        <v>8.28</v>
      </c>
      <c r="AQ102" s="29">
        <v>143.59</v>
      </c>
      <c r="AR102" s="29">
        <v>158.13</v>
      </c>
      <c r="BH102" s="29">
        <v>1116.48</v>
      </c>
      <c r="BI102" s="29">
        <v>57.69</v>
      </c>
      <c r="BK102" s="29">
        <v>260.94</v>
      </c>
      <c r="BL102" s="29">
        <v>222.97</v>
      </c>
      <c r="BM102" s="29">
        <v>240.11</v>
      </c>
      <c r="BN102" s="29">
        <v>203.5</v>
      </c>
      <c r="BO102" s="29">
        <v>153.96</v>
      </c>
      <c r="BQ102" s="29">
        <v>141.75</v>
      </c>
      <c r="BR102" s="29">
        <v>135.61</v>
      </c>
      <c r="BX102" s="29">
        <v>41.0</v>
      </c>
      <c r="BY102" s="29">
        <v>52.0</v>
      </c>
      <c r="BZ102" s="29">
        <v>40.0</v>
      </c>
      <c r="CA102" s="29">
        <v>43.2</v>
      </c>
      <c r="CD102" s="29">
        <v>50.35</v>
      </c>
      <c r="CE102" s="29">
        <v>62.64</v>
      </c>
      <c r="CI102" s="29">
        <v>5991.0</v>
      </c>
      <c r="CJ102" s="27" t="inlineStr">
        <is>
          <t xml:space="preserve">dez/25</t>
        </is>
      </c>
    </row>
    <row r="103">
      <c r="A103" s="28">
        <v>45947</v>
      </c>
      <c r="B103" s="29">
        <v>1211.63</v>
      </c>
      <c r="C103" s="29">
        <v>2925.47</v>
      </c>
      <c r="D103" s="29">
        <v>8.21</v>
      </c>
      <c r="E103" s="29">
        <v>8.75</v>
      </c>
      <c r="F103" s="29">
        <v>2262.88</v>
      </c>
      <c r="G103" s="29">
        <v>1400.77</v>
      </c>
      <c r="H103" s="29">
        <v>473.85</v>
      </c>
      <c r="I103" s="27" t="inlineStr">
        <is>
          <t xml:space="preserve">dez/25</t>
        </is>
      </c>
      <c r="J103" s="29">
        <v>143398.63</v>
      </c>
      <c r="K103" s="30">
        <v>5425.0</v>
      </c>
      <c r="L103" s="27" t="inlineStr">
        <is>
          <t xml:space="preserve">nov/25</t>
        </is>
      </c>
      <c r="M103" s="29">
        <v>325.8</v>
      </c>
      <c r="N103" s="27" t="inlineStr">
        <is>
          <t xml:space="preserve">nov/25</t>
        </is>
      </c>
      <c r="O103" s="29">
        <v>68.47</v>
      </c>
      <c r="P103" s="27" t="inlineStr">
        <is>
          <t xml:space="preserve">nov/25</t>
        </is>
      </c>
      <c r="Q103" s="29">
        <v>22.5</v>
      </c>
      <c r="R103" s="27" t="inlineStr">
        <is>
          <t xml:space="preserve">nov/25</t>
        </is>
      </c>
      <c r="S103" s="30">
        <v>10.195</v>
      </c>
      <c r="T103" s="27" t="inlineStr">
        <is>
          <t xml:space="preserve">nov/25</t>
        </is>
      </c>
      <c r="U103" s="30">
        <v>4.225</v>
      </c>
      <c r="V103" s="27" t="inlineStr">
        <is>
          <t xml:space="preserve">dez/25</t>
        </is>
      </c>
      <c r="W103" s="29">
        <v>281.0</v>
      </c>
      <c r="X103" s="27" t="inlineStr">
        <is>
          <t xml:space="preserve">dez/25</t>
        </is>
      </c>
      <c r="Y103" s="30">
        <v>0.5113</v>
      </c>
      <c r="Z103" s="27" t="inlineStr">
        <is>
          <t xml:space="preserve">dez/25</t>
        </is>
      </c>
      <c r="AA103" s="29">
        <v>353.51</v>
      </c>
      <c r="AB103" s="29">
        <v>116.1</v>
      </c>
      <c r="AC103" s="29">
        <v>310.73</v>
      </c>
      <c r="AD103" s="29">
        <v>318.05</v>
      </c>
      <c r="AE103" s="29">
        <v>298.31</v>
      </c>
      <c r="AF103" s="29">
        <v>296.61</v>
      </c>
      <c r="AG103" s="29">
        <v>297.59</v>
      </c>
      <c r="AH103" s="29">
        <v>295.47</v>
      </c>
      <c r="AI103" s="29">
        <v>297.01</v>
      </c>
      <c r="AJ103" s="29">
        <v>285.84</v>
      </c>
      <c r="AK103" s="29">
        <v>282.71</v>
      </c>
      <c r="AL103" s="29">
        <v>8.25</v>
      </c>
      <c r="AM103" s="29">
        <v>8.44</v>
      </c>
      <c r="AN103" s="29">
        <v>8.31</v>
      </c>
      <c r="AO103" s="29">
        <v>8.3</v>
      </c>
      <c r="AP103" s="29">
        <v>8.24</v>
      </c>
      <c r="AQ103" s="29">
        <v>143.67</v>
      </c>
      <c r="AR103" s="29">
        <v>157.54</v>
      </c>
      <c r="BC103" s="29">
        <v>8.53</v>
      </c>
      <c r="BD103" s="29">
        <v>8.81</v>
      </c>
      <c r="BE103" s="29">
        <v>9.06</v>
      </c>
      <c r="BF103" s="29">
        <v>8.18</v>
      </c>
      <c r="BG103" s="29">
        <v>8.47</v>
      </c>
      <c r="BH103" s="29">
        <v>1111.42</v>
      </c>
      <c r="BI103" s="29">
        <v>57.69</v>
      </c>
      <c r="BK103" s="29">
        <v>257.61</v>
      </c>
      <c r="BL103" s="29">
        <v>222.53</v>
      </c>
      <c r="BM103" s="29">
        <v>240.2</v>
      </c>
      <c r="BN103" s="29">
        <v>199.23</v>
      </c>
      <c r="BO103" s="29">
        <v>153.11</v>
      </c>
      <c r="BQ103" s="29">
        <v>141.26</v>
      </c>
      <c r="BR103" s="29">
        <v>135.61</v>
      </c>
      <c r="BS103" s="30">
        <v>2.7365</v>
      </c>
      <c r="BT103" s="30">
        <v>3.1079</v>
      </c>
      <c r="BU103" s="29">
        <v>588.04</v>
      </c>
      <c r="BV103" s="29">
        <v>519.55</v>
      </c>
      <c r="BW103" s="29">
        <v>558.39</v>
      </c>
      <c r="BX103" s="29">
        <v>42.0</v>
      </c>
      <c r="BY103" s="29">
        <v>52.0</v>
      </c>
      <c r="BZ103" s="29">
        <v>40.0</v>
      </c>
      <c r="CA103" s="29">
        <v>43.2</v>
      </c>
      <c r="CD103" s="29">
        <v>50.35</v>
      </c>
      <c r="CE103" s="29">
        <v>62.62</v>
      </c>
      <c r="CI103" s="29">
        <v>5895.0</v>
      </c>
      <c r="CJ103" s="27" t="inlineStr">
        <is>
          <t xml:space="preserve">dez/25</t>
        </is>
      </c>
    </row>
    <row r="104">
      <c r="A104" s="28">
        <v>45950</v>
      </c>
      <c r="B104" s="29">
        <v>1205.06</v>
      </c>
      <c r="C104" s="29">
        <v>2927.16</v>
      </c>
      <c r="D104" s="29">
        <v>8.24</v>
      </c>
      <c r="E104" s="29">
        <v>8.75</v>
      </c>
      <c r="F104" s="29">
        <v>2275.55</v>
      </c>
      <c r="G104" s="29">
        <v>1407.41</v>
      </c>
      <c r="H104" s="29">
        <v>481.9</v>
      </c>
      <c r="I104" s="27" t="inlineStr">
        <is>
          <t xml:space="preserve">dez/25</t>
        </is>
      </c>
      <c r="J104" s="29">
        <v>144509.32</v>
      </c>
      <c r="K104" s="30">
        <v>5391.5</v>
      </c>
      <c r="L104" s="27" t="inlineStr">
        <is>
          <t xml:space="preserve">nov/25</t>
        </is>
      </c>
      <c r="M104" s="29">
        <v>325.9</v>
      </c>
      <c r="N104" s="27" t="inlineStr">
        <is>
          <t xml:space="preserve">nov/25</t>
        </is>
      </c>
      <c r="O104" s="29">
        <v>68.99</v>
      </c>
      <c r="P104" s="27" t="inlineStr">
        <is>
          <t xml:space="preserve">nov/25</t>
        </is>
      </c>
      <c r="Q104" s="29">
        <v>22.78</v>
      </c>
      <c r="R104" s="27" t="inlineStr">
        <is>
          <t xml:space="preserve">nov/25</t>
        </is>
      </c>
      <c r="S104" s="30">
        <v>10.3175</v>
      </c>
      <c r="T104" s="27" t="inlineStr">
        <is>
          <t xml:space="preserve">nov/25</t>
        </is>
      </c>
      <c r="U104" s="30">
        <v>4.2325</v>
      </c>
      <c r="V104" s="27" t="inlineStr">
        <is>
          <t xml:space="preserve">dez/25</t>
        </is>
      </c>
      <c r="W104" s="29">
        <v>285.0</v>
      </c>
      <c r="X104" s="27" t="inlineStr">
        <is>
          <t xml:space="preserve">dez/25</t>
        </is>
      </c>
      <c r="Y104" s="30">
        <v>0.5131</v>
      </c>
      <c r="Z104" s="27" t="inlineStr">
        <is>
          <t xml:space="preserve">dez/25</t>
        </is>
      </c>
      <c r="AA104" s="29">
        <v>353.35</v>
      </c>
      <c r="AB104" s="29">
        <v>114.8</v>
      </c>
      <c r="AC104" s="29">
        <v>311.38</v>
      </c>
      <c r="AD104" s="29">
        <v>317.58</v>
      </c>
      <c r="AE104" s="29">
        <v>292.12</v>
      </c>
      <c r="AF104" s="29">
        <v>296.55</v>
      </c>
      <c r="AG104" s="29">
        <v>297.03</v>
      </c>
      <c r="AH104" s="29">
        <v>296.66</v>
      </c>
      <c r="AI104" s="29">
        <v>296.33</v>
      </c>
      <c r="AJ104" s="29">
        <v>286.11</v>
      </c>
      <c r="AK104" s="29">
        <v>289.5</v>
      </c>
      <c r="AL104" s="29">
        <v>8.23</v>
      </c>
      <c r="AM104" s="29">
        <v>8.47</v>
      </c>
      <c r="AN104" s="29">
        <v>8.35</v>
      </c>
      <c r="AO104" s="29">
        <v>8.3</v>
      </c>
      <c r="AP104" s="29">
        <v>8.26</v>
      </c>
      <c r="AQ104" s="29">
        <v>143.61</v>
      </c>
      <c r="AR104" s="29">
        <v>157.13</v>
      </c>
      <c r="BH104" s="29">
        <v>1109.39</v>
      </c>
      <c r="BI104" s="29">
        <v>57.81</v>
      </c>
      <c r="BK104" s="29">
        <v>256.78</v>
      </c>
      <c r="BL104" s="29">
        <v>221.93</v>
      </c>
      <c r="BM104" s="29">
        <v>238.8</v>
      </c>
      <c r="BN104" s="29">
        <v>197.92</v>
      </c>
      <c r="BO104" s="29">
        <v>150.4</v>
      </c>
      <c r="BQ104" s="29">
        <v>140.02</v>
      </c>
      <c r="BR104" s="29">
        <v>133.96</v>
      </c>
      <c r="BX104" s="29">
        <v>42.0</v>
      </c>
      <c r="BY104" s="29">
        <v>52.0</v>
      </c>
      <c r="BZ104" s="29">
        <v>40.0</v>
      </c>
      <c r="CA104" s="29">
        <v>43.2</v>
      </c>
      <c r="CD104" s="29">
        <v>50.05</v>
      </c>
      <c r="CE104" s="29">
        <v>61.31</v>
      </c>
      <c r="CI104" s="29">
        <v>5899.0</v>
      </c>
      <c r="CJ104" s="27" t="inlineStr">
        <is>
          <t xml:space="preserve">dez/25</t>
        </is>
      </c>
    </row>
    <row r="105">
      <c r="A105" s="28">
        <v>45951</v>
      </c>
      <c r="B105" s="29">
        <v>1201.3</v>
      </c>
      <c r="C105" s="29">
        <v>2936.54</v>
      </c>
      <c r="D105" s="29">
        <v>8.12</v>
      </c>
      <c r="E105" s="29">
        <v>8.75</v>
      </c>
      <c r="F105" s="29">
        <v>2300.49</v>
      </c>
      <c r="G105" s="29">
        <v>1423.4</v>
      </c>
      <c r="H105" s="29">
        <v>492.0</v>
      </c>
      <c r="I105" s="27" t="inlineStr">
        <is>
          <t xml:space="preserve">dez/25</t>
        </is>
      </c>
      <c r="J105" s="29">
        <v>144085.15</v>
      </c>
      <c r="K105" s="30">
        <v>5403.5</v>
      </c>
      <c r="L105" s="27" t="inlineStr">
        <is>
          <t xml:space="preserve">nov/25</t>
        </is>
      </c>
      <c r="M105" s="29">
        <v>322.0</v>
      </c>
      <c r="N105" s="27" t="inlineStr">
        <is>
          <t xml:space="preserve">nov/25</t>
        </is>
      </c>
      <c r="O105" s="29">
        <v>68.49</v>
      </c>
      <c r="P105" s="27" t="inlineStr">
        <is>
          <t xml:space="preserve">nov/25</t>
        </is>
      </c>
      <c r="Q105" s="29">
        <v>22.74</v>
      </c>
      <c r="R105" s="27" t="inlineStr">
        <is>
          <t xml:space="preserve">nov/25</t>
        </is>
      </c>
      <c r="S105" s="30">
        <v>10.3075</v>
      </c>
      <c r="T105" s="27" t="inlineStr">
        <is>
          <t xml:space="preserve">nov/25</t>
        </is>
      </c>
      <c r="U105" s="30">
        <v>4.1975</v>
      </c>
      <c r="V105" s="27" t="inlineStr">
        <is>
          <t xml:space="preserve">dez/25</t>
        </is>
      </c>
      <c r="W105" s="29">
        <v>286.9</v>
      </c>
      <c r="X105" s="27" t="inlineStr">
        <is>
          <t xml:space="preserve">dez/25</t>
        </is>
      </c>
      <c r="Y105" s="30">
        <v>0.5065</v>
      </c>
      <c r="Z105" s="27" t="inlineStr">
        <is>
          <t xml:space="preserve">dez/25</t>
        </is>
      </c>
      <c r="AA105" s="29">
        <v>350.63</v>
      </c>
      <c r="AB105" s="29">
        <v>113.55</v>
      </c>
      <c r="AC105" s="29">
        <v>310.72</v>
      </c>
      <c r="AD105" s="29">
        <v>318.13</v>
      </c>
      <c r="AE105" s="29">
        <v>295.23</v>
      </c>
      <c r="AF105" s="29">
        <v>297.89</v>
      </c>
      <c r="AG105" s="29">
        <v>299.14</v>
      </c>
      <c r="AH105" s="29">
        <v>296.92</v>
      </c>
      <c r="AI105" s="29">
        <v>299.31</v>
      </c>
      <c r="AJ105" s="29">
        <v>283.29</v>
      </c>
      <c r="AK105" s="29">
        <v>290.08</v>
      </c>
      <c r="AL105" s="29">
        <v>8.23</v>
      </c>
      <c r="AM105" s="29">
        <v>8.44</v>
      </c>
      <c r="AN105" s="29">
        <v>8.35</v>
      </c>
      <c r="AO105" s="29">
        <v>8.3</v>
      </c>
      <c r="AP105" s="29">
        <v>8.19</v>
      </c>
      <c r="AQ105" s="29">
        <v>143.98</v>
      </c>
      <c r="AR105" s="29">
        <v>157.06</v>
      </c>
      <c r="BH105" s="29">
        <v>1110.43</v>
      </c>
      <c r="BI105" s="29">
        <v>57.44</v>
      </c>
      <c r="BJ105" s="29">
        <v>268.79</v>
      </c>
      <c r="BK105" s="29">
        <v>253.43</v>
      </c>
      <c r="BL105" s="29">
        <v>224.73</v>
      </c>
      <c r="BM105" s="29">
        <v>233.29</v>
      </c>
      <c r="BN105" s="29">
        <v>193.18</v>
      </c>
      <c r="BO105" s="29">
        <v>149.74</v>
      </c>
      <c r="BQ105" s="29">
        <v>139.1</v>
      </c>
      <c r="BR105" s="29">
        <v>133.13</v>
      </c>
      <c r="BX105" s="29">
        <v>42.0</v>
      </c>
      <c r="BY105" s="29">
        <v>52.0</v>
      </c>
      <c r="BZ105" s="29">
        <v>40.0</v>
      </c>
      <c r="CA105" s="29">
        <v>43.2</v>
      </c>
      <c r="CD105" s="29">
        <v>50.05</v>
      </c>
      <c r="CE105" s="29">
        <v>62.12</v>
      </c>
      <c r="CI105" s="29">
        <v>5916.0</v>
      </c>
      <c r="CJ105" s="27" t="inlineStr">
        <is>
          <t xml:space="preserve">dez/25</t>
        </is>
      </c>
    </row>
    <row r="106">
      <c r="A106" s="28">
        <v>45952</v>
      </c>
      <c r="B106" s="29">
        <v>1195.89</v>
      </c>
      <c r="C106" s="29">
        <v>2934.71</v>
      </c>
      <c r="D106" s="29">
        <v>8.12</v>
      </c>
      <c r="E106" s="29">
        <v>8.79</v>
      </c>
      <c r="F106" s="29">
        <v>2323.66</v>
      </c>
      <c r="G106" s="29">
        <v>1429.9</v>
      </c>
      <c r="H106" s="29">
        <v>497.1</v>
      </c>
      <c r="I106" s="27" t="inlineStr">
        <is>
          <t xml:space="preserve">dez/25</t>
        </is>
      </c>
      <c r="J106" s="29">
        <v>144872.79</v>
      </c>
      <c r="K106" s="30">
        <v>5414.0</v>
      </c>
      <c r="L106" s="27" t="inlineStr">
        <is>
          <t xml:space="preserve">nov/25</t>
        </is>
      </c>
      <c r="M106" s="29">
        <v>321.0</v>
      </c>
      <c r="N106" s="27" t="inlineStr">
        <is>
          <t xml:space="preserve">nov/25</t>
        </is>
      </c>
      <c r="O106" s="29">
        <v>68.59</v>
      </c>
      <c r="P106" s="27" t="inlineStr">
        <is>
          <t xml:space="preserve">nov/25</t>
        </is>
      </c>
      <c r="Q106" s="29">
        <v>22.79</v>
      </c>
      <c r="R106" s="27" t="inlineStr">
        <is>
          <t xml:space="preserve">nov/25</t>
        </is>
      </c>
      <c r="S106" s="30">
        <v>10.3475</v>
      </c>
      <c r="T106" s="27" t="inlineStr">
        <is>
          <t xml:space="preserve">nov/25</t>
        </is>
      </c>
      <c r="U106" s="30">
        <v>4.23</v>
      </c>
      <c r="V106" s="27" t="inlineStr">
        <is>
          <t xml:space="preserve">dez/25</t>
        </is>
      </c>
      <c r="W106" s="29">
        <v>290.0</v>
      </c>
      <c r="X106" s="27" t="inlineStr">
        <is>
          <t xml:space="preserve">dez/25</t>
        </is>
      </c>
      <c r="Y106" s="30">
        <v>0.5007</v>
      </c>
      <c r="Z106" s="27" t="inlineStr">
        <is>
          <t xml:space="preserve">dez/25</t>
        </is>
      </c>
      <c r="AA106" s="29">
        <v>347.2</v>
      </c>
      <c r="AB106" s="29">
        <v>112.02</v>
      </c>
      <c r="AL106" s="29">
        <v>8.25</v>
      </c>
      <c r="AM106" s="29">
        <v>8.43</v>
      </c>
      <c r="AN106" s="29">
        <v>8.34</v>
      </c>
      <c r="AO106" s="29">
        <v>8.29</v>
      </c>
      <c r="AP106" s="29">
        <v>8.18</v>
      </c>
      <c r="AQ106" s="29">
        <v>137.26</v>
      </c>
      <c r="AR106" s="29">
        <v>151.7</v>
      </c>
      <c r="BH106" s="29">
        <v>1104.95</v>
      </c>
      <c r="BI106" s="29">
        <v>57.09</v>
      </c>
      <c r="BJ106" s="29">
        <v>268.79</v>
      </c>
      <c r="BK106" s="29">
        <v>260.78</v>
      </c>
      <c r="BL106" s="29">
        <v>226.78</v>
      </c>
      <c r="BM106" s="29">
        <v>230.2</v>
      </c>
      <c r="BN106" s="29">
        <v>194.09</v>
      </c>
      <c r="BO106" s="29">
        <v>152.48</v>
      </c>
      <c r="BQ106" s="29">
        <v>136.69</v>
      </c>
      <c r="BR106" s="29">
        <v>133.13</v>
      </c>
      <c r="BX106" s="29">
        <v>41.0</v>
      </c>
      <c r="BY106" s="29">
        <v>52.0</v>
      </c>
      <c r="BZ106" s="29">
        <v>40.0</v>
      </c>
      <c r="CA106" s="29">
        <v>43.2</v>
      </c>
      <c r="CD106" s="29">
        <v>50.05</v>
      </c>
      <c r="CE106" s="29">
        <v>62.34</v>
      </c>
      <c r="CI106" s="29">
        <v>6298.0</v>
      </c>
      <c r="CJ106" s="27" t="inlineStr">
        <is>
          <t xml:space="preserve">dez/25</t>
        </is>
      </c>
    </row>
    <row r="107">
      <c r="A107" s="28">
        <v>45953</v>
      </c>
      <c r="B107" s="29">
        <v>1193.18</v>
      </c>
      <c r="C107" s="29">
        <v>2932.58</v>
      </c>
      <c r="D107" s="29">
        <v>8.12</v>
      </c>
      <c r="E107" s="29">
        <v>8.77</v>
      </c>
      <c r="F107" s="29">
        <v>2307.6</v>
      </c>
      <c r="G107" s="29">
        <v>1428.84</v>
      </c>
      <c r="H107" s="29">
        <v>486.4</v>
      </c>
      <c r="I107" s="27" t="inlineStr">
        <is>
          <t xml:space="preserve">dez/25</t>
        </is>
      </c>
      <c r="J107" s="29">
        <v>145720.98</v>
      </c>
      <c r="K107" s="30">
        <v>5394.0</v>
      </c>
      <c r="L107" s="27" t="inlineStr">
        <is>
          <t xml:space="preserve">nov/25</t>
        </is>
      </c>
      <c r="M107" s="29">
        <v>322.85</v>
      </c>
      <c r="N107" s="27" t="inlineStr">
        <is>
          <t xml:space="preserve">nov/25</t>
        </is>
      </c>
      <c r="O107" s="29">
        <v>67.2</v>
      </c>
      <c r="P107" s="27" t="inlineStr">
        <is>
          <t xml:space="preserve">nov/25</t>
        </is>
      </c>
      <c r="Q107" s="29">
        <v>23.0</v>
      </c>
      <c r="R107" s="27" t="inlineStr">
        <is>
          <t xml:space="preserve">nov/25</t>
        </is>
      </c>
      <c r="S107" s="30">
        <v>10.4475</v>
      </c>
      <c r="T107" s="27" t="inlineStr">
        <is>
          <t xml:space="preserve">nov/25</t>
        </is>
      </c>
      <c r="U107" s="30">
        <v>4.28</v>
      </c>
      <c r="V107" s="27" t="inlineStr">
        <is>
          <t xml:space="preserve">dez/25</t>
        </is>
      </c>
      <c r="W107" s="29">
        <v>292.3</v>
      </c>
      <c r="X107" s="27" t="inlineStr">
        <is>
          <t xml:space="preserve">dez/25</t>
        </is>
      </c>
      <c r="Y107" s="30">
        <v>0.5087</v>
      </c>
      <c r="Z107" s="27" t="inlineStr">
        <is>
          <t xml:space="preserve">dez/25</t>
        </is>
      </c>
      <c r="AA107" s="29">
        <v>345.09</v>
      </c>
      <c r="AB107" s="29">
        <v>112.28</v>
      </c>
      <c r="AC107" s="29">
        <v>311.4</v>
      </c>
      <c r="AD107" s="29">
        <v>319.1</v>
      </c>
      <c r="AE107" s="29">
        <v>296.85</v>
      </c>
      <c r="AF107" s="29">
        <v>299.53</v>
      </c>
      <c r="AG107" s="29">
        <v>303.32</v>
      </c>
      <c r="AH107" s="29">
        <v>295.75</v>
      </c>
      <c r="AI107" s="29">
        <v>299.42</v>
      </c>
      <c r="AJ107" s="29">
        <v>285.58</v>
      </c>
      <c r="AK107" s="29">
        <v>290.2</v>
      </c>
      <c r="AL107" s="29">
        <v>8.25</v>
      </c>
      <c r="AM107" s="29">
        <v>8.43</v>
      </c>
      <c r="AN107" s="29">
        <v>8.34</v>
      </c>
      <c r="AO107" s="29">
        <v>8.27</v>
      </c>
      <c r="AP107" s="29">
        <v>8.18</v>
      </c>
      <c r="AQ107" s="29">
        <v>137.32</v>
      </c>
      <c r="AR107" s="29">
        <v>151.65</v>
      </c>
      <c r="BH107" s="29">
        <v>1104.95</v>
      </c>
      <c r="BI107" s="29">
        <v>56.8</v>
      </c>
      <c r="BK107" s="29">
        <v>257.8</v>
      </c>
      <c r="BL107" s="29">
        <v>226.78</v>
      </c>
      <c r="BM107" s="29">
        <v>230.91</v>
      </c>
      <c r="BN107" s="29">
        <v>193.89</v>
      </c>
      <c r="BO107" s="29">
        <v>148.33</v>
      </c>
      <c r="BQ107" s="29">
        <v>136.93</v>
      </c>
      <c r="BR107" s="29">
        <v>130.63</v>
      </c>
      <c r="BX107" s="29">
        <v>41.0</v>
      </c>
      <c r="BY107" s="29">
        <v>52.0</v>
      </c>
      <c r="BZ107" s="29">
        <v>40.5</v>
      </c>
      <c r="CA107" s="29">
        <v>43.2</v>
      </c>
      <c r="CD107" s="29">
        <v>50.05</v>
      </c>
      <c r="CE107" s="29">
        <v>61.18</v>
      </c>
      <c r="CI107" s="29">
        <v>6339.0</v>
      </c>
      <c r="CJ107" s="27" t="inlineStr">
        <is>
          <t xml:space="preserve">dez/25</t>
        </is>
      </c>
    </row>
    <row r="108">
      <c r="A108" s="28">
        <v>45954</v>
      </c>
      <c r="B108" s="29">
        <v>1190.46</v>
      </c>
      <c r="C108" s="29">
        <v>2923.17</v>
      </c>
      <c r="D108" s="29">
        <v>8.02</v>
      </c>
      <c r="E108" s="29">
        <v>8.77</v>
      </c>
      <c r="F108" s="29">
        <v>2289.68</v>
      </c>
      <c r="G108" s="29">
        <v>1401.63</v>
      </c>
      <c r="H108" s="29">
        <v>477.0</v>
      </c>
      <c r="I108" s="27" t="inlineStr">
        <is>
          <t xml:space="preserve">dez/25</t>
        </is>
      </c>
      <c r="J108" s="29">
        <v>146172.21</v>
      </c>
      <c r="M108" s="29">
        <v>325.2</v>
      </c>
      <c r="N108" s="27" t="inlineStr">
        <is>
          <t xml:space="preserve">nov/25</t>
        </is>
      </c>
      <c r="O108" s="29">
        <v>67.2</v>
      </c>
      <c r="P108" s="27" t="inlineStr">
        <is>
          <t xml:space="preserve">nov/25</t>
        </is>
      </c>
      <c r="Q108" s="29">
        <v>22.98</v>
      </c>
      <c r="R108" s="27" t="inlineStr">
        <is>
          <t xml:space="preserve">nov/25</t>
        </is>
      </c>
      <c r="S108" s="30">
        <v>10.4175</v>
      </c>
      <c r="T108" s="27" t="inlineStr">
        <is>
          <t xml:space="preserve">nov/25</t>
        </is>
      </c>
      <c r="U108" s="30">
        <v>4.2325</v>
      </c>
      <c r="V108" s="27" t="inlineStr">
        <is>
          <t xml:space="preserve">dez/25</t>
        </is>
      </c>
      <c r="W108" s="29">
        <v>294.1</v>
      </c>
      <c r="X108" s="27" t="inlineStr">
        <is>
          <t xml:space="preserve">dez/25</t>
        </is>
      </c>
      <c r="Y108" s="30">
        <v>0.5027</v>
      </c>
      <c r="Z108" s="27" t="inlineStr">
        <is>
          <t xml:space="preserve">dez/25</t>
        </is>
      </c>
      <c r="AA108" s="29">
        <v>345.09</v>
      </c>
      <c r="AB108" s="29">
        <v>113.48</v>
      </c>
      <c r="AL108" s="29">
        <v>8.25</v>
      </c>
      <c r="AM108" s="29">
        <v>8.43</v>
      </c>
      <c r="AN108" s="29">
        <v>8.34</v>
      </c>
      <c r="AO108" s="29">
        <v>8.27</v>
      </c>
      <c r="AP108" s="29">
        <v>8.07</v>
      </c>
      <c r="AQ108" s="29">
        <v>133.32</v>
      </c>
      <c r="AR108" s="29">
        <v>147.45</v>
      </c>
      <c r="BC108" s="29">
        <v>8.69</v>
      </c>
      <c r="BD108" s="29">
        <v>8.9</v>
      </c>
      <c r="BE108" s="29">
        <v>9.31</v>
      </c>
      <c r="BF108" s="29">
        <v>8.49</v>
      </c>
      <c r="BG108" s="29">
        <v>8.62</v>
      </c>
      <c r="BH108" s="29">
        <v>1104.95</v>
      </c>
      <c r="BI108" s="29">
        <v>56.95</v>
      </c>
      <c r="BK108" s="29">
        <v>260.04</v>
      </c>
      <c r="BL108" s="29">
        <v>221.13</v>
      </c>
      <c r="BM108" s="29">
        <v>229.26</v>
      </c>
      <c r="BN108" s="29">
        <v>193.75</v>
      </c>
      <c r="BO108" s="29">
        <v>144.03</v>
      </c>
      <c r="BQ108" s="29">
        <v>136.18</v>
      </c>
      <c r="BR108" s="29">
        <v>130.63</v>
      </c>
      <c r="BS108" s="30">
        <v>2.7527</v>
      </c>
      <c r="BT108" s="30">
        <v>3.1411</v>
      </c>
      <c r="BU108" s="29">
        <v>591.54</v>
      </c>
      <c r="BV108" s="29">
        <v>517.59</v>
      </c>
      <c r="BW108" s="29">
        <v>550.38</v>
      </c>
      <c r="BX108" s="29">
        <v>41.0</v>
      </c>
      <c r="BY108" s="29">
        <v>52.0</v>
      </c>
      <c r="BZ108" s="29">
        <v>40.5</v>
      </c>
      <c r="CA108" s="29">
        <v>43.2</v>
      </c>
      <c r="CD108" s="29">
        <v>50.05</v>
      </c>
      <c r="CE108" s="29">
        <v>61.0</v>
      </c>
      <c r="CI108" s="29">
        <v>6319.0</v>
      </c>
      <c r="CJ108" s="27" t="inlineStr">
        <is>
          <t xml:space="preserve">dez/25</t>
        </is>
      </c>
    </row>
    <row r="109">
      <c r="A109" s="28">
        <v>45957</v>
      </c>
      <c r="B109" s="29">
        <v>1189.77</v>
      </c>
      <c r="C109" s="29">
        <v>2932.31</v>
      </c>
      <c r="D109" s="29">
        <v>8.01</v>
      </c>
      <c r="E109" s="29">
        <v>8.77</v>
      </c>
      <c r="F109" s="29">
        <v>2266.09</v>
      </c>
      <c r="G109" s="29">
        <v>1381.42</v>
      </c>
      <c r="H109" s="29">
        <v>466.1</v>
      </c>
      <c r="I109" s="27" t="inlineStr">
        <is>
          <t xml:space="preserve">dez/25</t>
        </is>
      </c>
      <c r="J109" s="29">
        <v>146969.1</v>
      </c>
      <c r="K109" s="30">
        <v>5380.5</v>
      </c>
      <c r="L109" s="27" t="inlineStr">
        <is>
          <t xml:space="preserve">nov/25</t>
        </is>
      </c>
      <c r="M109" s="29">
        <v>326.1</v>
      </c>
      <c r="N109" s="27" t="inlineStr">
        <is>
          <t xml:space="preserve">nov/25</t>
        </is>
      </c>
      <c r="O109" s="29">
        <v>67.9</v>
      </c>
      <c r="P109" s="27" t="inlineStr">
        <is>
          <t xml:space="preserve">nov/25</t>
        </is>
      </c>
      <c r="Q109" s="29">
        <v>23.5</v>
      </c>
      <c r="R109" s="27" t="inlineStr">
        <is>
          <t xml:space="preserve">nov/25</t>
        </is>
      </c>
      <c r="S109" s="30">
        <v>10.6725</v>
      </c>
      <c r="T109" s="27" t="inlineStr">
        <is>
          <t xml:space="preserve">nov/25</t>
        </is>
      </c>
      <c r="U109" s="30">
        <v>4.2875</v>
      </c>
      <c r="V109" s="27" t="inlineStr">
        <is>
          <t xml:space="preserve">dez/25</t>
        </is>
      </c>
      <c r="W109" s="29">
        <v>298.2</v>
      </c>
      <c r="X109" s="27" t="inlineStr">
        <is>
          <t xml:space="preserve">dez/25</t>
        </is>
      </c>
      <c r="Y109" s="30">
        <v>0.5077</v>
      </c>
      <c r="Z109" s="27" t="inlineStr">
        <is>
          <t xml:space="preserve">dez/25</t>
        </is>
      </c>
      <c r="AA109" s="29">
        <v>343.36</v>
      </c>
      <c r="AB109" s="29">
        <v>111.13</v>
      </c>
      <c r="AC109" s="29">
        <v>314.26</v>
      </c>
      <c r="AD109" s="29">
        <v>319.16</v>
      </c>
      <c r="AE109" s="29">
        <v>303.34</v>
      </c>
      <c r="AF109" s="29">
        <v>297.43</v>
      </c>
      <c r="AG109" s="29">
        <v>302.92</v>
      </c>
      <c r="AH109" s="29">
        <v>300.07</v>
      </c>
      <c r="AI109" s="29">
        <v>299.91</v>
      </c>
      <c r="AJ109" s="29">
        <v>287.01</v>
      </c>
      <c r="AK109" s="29">
        <v>291.66</v>
      </c>
      <c r="AL109" s="29">
        <v>8.25</v>
      </c>
      <c r="AM109" s="29">
        <v>8.37</v>
      </c>
      <c r="AN109" s="29">
        <v>8.32</v>
      </c>
      <c r="AO109" s="29">
        <v>8.27</v>
      </c>
      <c r="AP109" s="29">
        <v>8.08</v>
      </c>
      <c r="AQ109" s="29">
        <v>133.5</v>
      </c>
      <c r="AR109" s="29">
        <v>147.71</v>
      </c>
      <c r="BH109" s="29">
        <v>1099.5</v>
      </c>
      <c r="BI109" s="29">
        <v>57.24</v>
      </c>
      <c r="BK109" s="29">
        <v>258.61</v>
      </c>
      <c r="BL109" s="29">
        <v>218.48</v>
      </c>
      <c r="BM109" s="29">
        <v>228.53</v>
      </c>
      <c r="BN109" s="29">
        <v>198.0</v>
      </c>
      <c r="BO109" s="29">
        <v>142.19</v>
      </c>
      <c r="BQ109" s="29">
        <v>135.38</v>
      </c>
      <c r="BR109" s="29">
        <v>132.64</v>
      </c>
      <c r="BX109" s="29">
        <v>41.0</v>
      </c>
      <c r="BY109" s="29">
        <v>52.0</v>
      </c>
      <c r="BZ109" s="29">
        <v>40.5</v>
      </c>
      <c r="CA109" s="29">
        <v>43.2</v>
      </c>
      <c r="CD109" s="29">
        <v>50.32</v>
      </c>
      <c r="CE109" s="29">
        <v>62.0</v>
      </c>
      <c r="CI109" s="29">
        <v>6182.0</v>
      </c>
      <c r="CJ109" s="27" t="inlineStr">
        <is>
          <t xml:space="preserve">dez/25</t>
        </is>
      </c>
    </row>
    <row r="110">
      <c r="A110" s="28">
        <v>45958</v>
      </c>
      <c r="B110" s="29">
        <v>1190.08</v>
      </c>
      <c r="C110" s="29">
        <v>2924.41</v>
      </c>
      <c r="D110" s="29">
        <v>8.01</v>
      </c>
      <c r="E110" s="29">
        <v>8.75</v>
      </c>
      <c r="F110" s="29">
        <v>2214.0</v>
      </c>
      <c r="G110" s="29">
        <v>1371.3</v>
      </c>
      <c r="H110" s="29">
        <v>470.4</v>
      </c>
      <c r="I110" s="27" t="inlineStr">
        <is>
          <t xml:space="preserve">dez/25</t>
        </is>
      </c>
      <c r="J110" s="29">
        <v>147428.9</v>
      </c>
      <c r="K110" s="30">
        <v>5364.5</v>
      </c>
      <c r="L110" s="27" t="inlineStr">
        <is>
          <t xml:space="preserve">nov/25</t>
        </is>
      </c>
      <c r="M110" s="29">
        <v>327.0</v>
      </c>
      <c r="N110" s="27" t="inlineStr">
        <is>
          <t xml:space="preserve">nov/25</t>
        </is>
      </c>
      <c r="O110" s="29">
        <v>67.54</v>
      </c>
      <c r="P110" s="27" t="inlineStr">
        <is>
          <t xml:space="preserve">nov/25</t>
        </is>
      </c>
      <c r="Q110" s="29">
        <v>23.62</v>
      </c>
      <c r="R110" s="27" t="inlineStr">
        <is>
          <t xml:space="preserve">nov/25</t>
        </is>
      </c>
      <c r="S110" s="30">
        <v>10.7825</v>
      </c>
      <c r="T110" s="27" t="inlineStr">
        <is>
          <t xml:space="preserve">nov/25</t>
        </is>
      </c>
      <c r="U110" s="30">
        <v>4.32</v>
      </c>
      <c r="V110" s="27" t="inlineStr">
        <is>
          <t xml:space="preserve">dez/25</t>
        </is>
      </c>
      <c r="W110" s="29">
        <v>306.5</v>
      </c>
      <c r="X110" s="27" t="inlineStr">
        <is>
          <t xml:space="preserve">dez/25</t>
        </is>
      </c>
      <c r="Y110" s="30">
        <v>0.5026</v>
      </c>
      <c r="Z110" s="27" t="inlineStr">
        <is>
          <t xml:space="preserve">dez/25</t>
        </is>
      </c>
      <c r="AA110" s="29">
        <v>348.03</v>
      </c>
      <c r="AB110" s="29">
        <v>111.04</v>
      </c>
      <c r="AC110" s="29">
        <v>316.99</v>
      </c>
      <c r="AD110" s="29">
        <v>319.18</v>
      </c>
      <c r="AE110" s="29">
        <v>303.12</v>
      </c>
      <c r="AF110" s="29">
        <v>297.65</v>
      </c>
      <c r="AG110" s="29">
        <v>304.65</v>
      </c>
      <c r="AH110" s="29">
        <v>301.95</v>
      </c>
      <c r="AI110" s="29">
        <v>302.04</v>
      </c>
      <c r="AJ110" s="29">
        <v>286.37</v>
      </c>
      <c r="AK110" s="29">
        <v>293.0</v>
      </c>
      <c r="AL110" s="29">
        <v>8.25</v>
      </c>
      <c r="AM110" s="29">
        <v>8.31</v>
      </c>
      <c r="AN110" s="29">
        <v>8.29</v>
      </c>
      <c r="AO110" s="29">
        <v>8.26</v>
      </c>
      <c r="AP110" s="29">
        <v>8.08</v>
      </c>
      <c r="AQ110" s="29">
        <v>133.5</v>
      </c>
      <c r="AR110" s="29">
        <v>147.71</v>
      </c>
      <c r="BH110" s="29">
        <v>1086.04</v>
      </c>
      <c r="BI110" s="29">
        <v>56.7</v>
      </c>
      <c r="BK110" s="29">
        <v>259.27</v>
      </c>
      <c r="BL110" s="29">
        <v>215.17</v>
      </c>
      <c r="BM110" s="29">
        <v>231.88</v>
      </c>
      <c r="BN110" s="29">
        <v>198.5</v>
      </c>
      <c r="BO110" s="29">
        <v>142.03</v>
      </c>
      <c r="BQ110" s="29">
        <v>134.85</v>
      </c>
      <c r="BR110" s="29">
        <v>134.31</v>
      </c>
      <c r="BX110" s="29">
        <v>41.0</v>
      </c>
      <c r="BY110" s="29">
        <v>52.0</v>
      </c>
      <c r="BZ110" s="29">
        <v>40.5</v>
      </c>
      <c r="CA110" s="29">
        <v>43.2</v>
      </c>
      <c r="CD110" s="29">
        <v>50.33</v>
      </c>
      <c r="CE110" s="29">
        <v>61.2</v>
      </c>
      <c r="CI110" s="29">
        <v>6002.0</v>
      </c>
      <c r="CJ110" s="27" t="inlineStr">
        <is>
          <t xml:space="preserve">dez/25</t>
        </is>
      </c>
    </row>
    <row r="111">
      <c r="A111" s="28">
        <v>45959</v>
      </c>
      <c r="B111" s="29">
        <v>1192.47</v>
      </c>
      <c r="C111" s="29">
        <v>2922.64</v>
      </c>
      <c r="D111" s="29">
        <v>8.01</v>
      </c>
      <c r="E111" s="29">
        <v>8.75</v>
      </c>
      <c r="F111" s="29">
        <v>2217.39</v>
      </c>
      <c r="G111" s="29">
        <v>1389.91</v>
      </c>
      <c r="H111" s="29">
        <v>475.2</v>
      </c>
      <c r="I111" s="27" t="inlineStr">
        <is>
          <t xml:space="preserve">dez/25</t>
        </is>
      </c>
      <c r="J111" s="29">
        <v>148632.93</v>
      </c>
      <c r="K111" s="30">
        <v>5360.5</v>
      </c>
      <c r="L111" s="27" t="inlineStr">
        <is>
          <t xml:space="preserve">nov/25</t>
        </is>
      </c>
      <c r="M111" s="29">
        <v>329.3</v>
      </c>
      <c r="N111" s="27" t="inlineStr">
        <is>
          <t xml:space="preserve">nov/25</t>
        </is>
      </c>
      <c r="O111" s="29">
        <v>68.47</v>
      </c>
      <c r="P111" s="27" t="inlineStr">
        <is>
          <t xml:space="preserve">nov/25</t>
        </is>
      </c>
      <c r="Q111" s="29">
        <v>23.8</v>
      </c>
      <c r="R111" s="27" t="inlineStr">
        <is>
          <t xml:space="preserve">nov/25</t>
        </is>
      </c>
      <c r="S111" s="30">
        <v>10.8025</v>
      </c>
      <c r="T111" s="27" t="inlineStr">
        <is>
          <t xml:space="preserve">nov/25</t>
        </is>
      </c>
      <c r="U111" s="30">
        <v>4.34</v>
      </c>
      <c r="V111" s="27" t="inlineStr">
        <is>
          <t xml:space="preserve">dez/25</t>
        </is>
      </c>
      <c r="W111" s="29">
        <v>308.7</v>
      </c>
      <c r="X111" s="27" t="inlineStr">
        <is>
          <t xml:space="preserve">dez/25</t>
        </is>
      </c>
      <c r="Y111" s="30">
        <v>0.5016</v>
      </c>
      <c r="Z111" s="27" t="inlineStr">
        <is>
          <t xml:space="preserve">dez/25</t>
        </is>
      </c>
      <c r="AA111" s="29">
        <v>345.38</v>
      </c>
      <c r="AB111" s="29">
        <v>111.77</v>
      </c>
      <c r="AC111" s="29">
        <v>317.95</v>
      </c>
      <c r="AD111" s="29">
        <v>319.47</v>
      </c>
      <c r="AE111" s="29">
        <v>302.66</v>
      </c>
      <c r="AF111" s="29">
        <v>300.78</v>
      </c>
      <c r="AG111" s="29">
        <v>306.57</v>
      </c>
      <c r="AH111" s="29">
        <v>301.73</v>
      </c>
      <c r="AI111" s="29">
        <v>305.68</v>
      </c>
      <c r="AJ111" s="29">
        <v>286.69</v>
      </c>
      <c r="AK111" s="29">
        <v>291.96</v>
      </c>
      <c r="AL111" s="29">
        <v>8.24</v>
      </c>
      <c r="AM111" s="29">
        <v>8.33</v>
      </c>
      <c r="AN111" s="29">
        <v>8.29</v>
      </c>
      <c r="AO111" s="29">
        <v>8.25</v>
      </c>
      <c r="AP111" s="29">
        <v>8.08</v>
      </c>
      <c r="AQ111" s="29">
        <v>133.5</v>
      </c>
      <c r="AR111" s="29">
        <v>147.71</v>
      </c>
      <c r="BH111" s="29">
        <v>1082.27</v>
      </c>
      <c r="BI111" s="29">
        <v>56.47</v>
      </c>
      <c r="BJ111" s="29">
        <v>281.04</v>
      </c>
      <c r="BK111" s="29">
        <v>260.71</v>
      </c>
      <c r="BL111" s="29">
        <v>216.27</v>
      </c>
      <c r="BM111" s="29">
        <v>236.54</v>
      </c>
      <c r="BN111" s="29">
        <v>195.5</v>
      </c>
      <c r="BO111" s="29">
        <v>141.12</v>
      </c>
      <c r="BQ111" s="29">
        <v>133.67</v>
      </c>
      <c r="BR111" s="29">
        <v>133.39</v>
      </c>
      <c r="BX111" s="29">
        <v>43.0</v>
      </c>
      <c r="BY111" s="29">
        <v>52.0</v>
      </c>
      <c r="BZ111" s="29">
        <v>40.5</v>
      </c>
      <c r="CA111" s="29">
        <v>43.2</v>
      </c>
      <c r="CD111" s="29">
        <v>50.33</v>
      </c>
      <c r="CE111" s="29">
        <v>61.53</v>
      </c>
      <c r="CI111" s="29">
        <v>6044.0</v>
      </c>
      <c r="CJ111" s="27" t="inlineStr">
        <is>
          <t xml:space="preserve">dez/25</t>
        </is>
      </c>
    </row>
    <row r="112">
      <c r="A112" s="28">
        <v>45960</v>
      </c>
      <c r="B112" s="29">
        <v>1193.61</v>
      </c>
      <c r="C112" s="29">
        <v>2926.27</v>
      </c>
      <c r="D112" s="29">
        <v>8.01</v>
      </c>
      <c r="E112" s="29">
        <v>8.75</v>
      </c>
      <c r="F112" s="29">
        <v>2210.41</v>
      </c>
      <c r="G112" s="29">
        <v>1405.03</v>
      </c>
      <c r="H112" s="29">
        <v>476.2</v>
      </c>
      <c r="I112" s="27" t="inlineStr">
        <is>
          <t xml:space="preserve">dez/25</t>
        </is>
      </c>
      <c r="J112" s="29">
        <v>148780.22</v>
      </c>
      <c r="K112" s="30">
        <v>5386.5</v>
      </c>
      <c r="L112" s="27" t="inlineStr">
        <is>
          <t xml:space="preserve">nov/25</t>
        </is>
      </c>
      <c r="M112" s="29">
        <v>329.2</v>
      </c>
      <c r="N112" s="27" t="inlineStr">
        <is>
          <t xml:space="preserve">nov/25</t>
        </is>
      </c>
      <c r="O112" s="29">
        <v>67.66</v>
      </c>
      <c r="P112" s="27" t="inlineStr">
        <is>
          <t xml:space="preserve">nov/25</t>
        </is>
      </c>
      <c r="Q112" s="29">
        <v>24.03</v>
      </c>
      <c r="R112" s="27" t="inlineStr">
        <is>
          <t xml:space="preserve">nov/25</t>
        </is>
      </c>
      <c r="S112" s="30">
        <v>10.9125</v>
      </c>
      <c r="T112" s="27" t="inlineStr">
        <is>
          <t xml:space="preserve">nov/25</t>
        </is>
      </c>
      <c r="U112" s="30">
        <v>4.3025</v>
      </c>
      <c r="V112" s="27" t="inlineStr">
        <is>
          <t xml:space="preserve">dez/25</t>
        </is>
      </c>
      <c r="W112" s="29">
        <v>315.6</v>
      </c>
      <c r="X112" s="27" t="inlineStr">
        <is>
          <t xml:space="preserve">dez/25</t>
        </is>
      </c>
      <c r="Y112" s="30">
        <v>0.4965</v>
      </c>
      <c r="Z112" s="27" t="inlineStr">
        <is>
          <t xml:space="preserve">dez/25</t>
        </is>
      </c>
      <c r="AA112" s="29">
        <v>348.2</v>
      </c>
      <c r="AB112" s="29">
        <v>112.92</v>
      </c>
      <c r="AC112" s="29">
        <v>318.58</v>
      </c>
      <c r="AD112" s="29">
        <v>320.12</v>
      </c>
      <c r="AE112" s="29">
        <v>305.94</v>
      </c>
      <c r="AF112" s="29">
        <v>302.71</v>
      </c>
      <c r="AG112" s="29">
        <v>308.52</v>
      </c>
      <c r="AH112" s="29">
        <v>302.93</v>
      </c>
      <c r="AI112" s="29">
        <v>306.01</v>
      </c>
      <c r="AJ112" s="29">
        <v>287.1</v>
      </c>
      <c r="AK112" s="29">
        <v>302.68</v>
      </c>
      <c r="AL112" s="29">
        <v>8.23</v>
      </c>
      <c r="AM112" s="29">
        <v>8.35</v>
      </c>
      <c r="AN112" s="29">
        <v>8.29</v>
      </c>
      <c r="AO112" s="29">
        <v>8.25</v>
      </c>
      <c r="AP112" s="29">
        <v>8.08</v>
      </c>
      <c r="AQ112" s="29">
        <v>133.55</v>
      </c>
      <c r="AR112" s="29">
        <v>147.71</v>
      </c>
      <c r="BH112" s="29">
        <v>1084.59</v>
      </c>
      <c r="BI112" s="29">
        <v>56.05</v>
      </c>
      <c r="BK112" s="29">
        <v>266.08</v>
      </c>
      <c r="BL112" s="29">
        <v>215.85</v>
      </c>
      <c r="BM112" s="29">
        <v>233.35</v>
      </c>
      <c r="BN112" s="29">
        <v>193.89</v>
      </c>
      <c r="BO112" s="29">
        <v>140.68</v>
      </c>
      <c r="BQ112" s="29">
        <v>133.92</v>
      </c>
      <c r="BR112" s="29">
        <v>133.39</v>
      </c>
      <c r="BX112" s="29">
        <v>45.0</v>
      </c>
      <c r="BY112" s="29">
        <v>52.0</v>
      </c>
      <c r="BZ112" s="29">
        <v>40.5</v>
      </c>
      <c r="CA112" s="29">
        <v>43.2</v>
      </c>
      <c r="CD112" s="29">
        <v>50.39</v>
      </c>
      <c r="CE112" s="29">
        <v>61.16</v>
      </c>
      <c r="CI112" s="29">
        <v>6058.0</v>
      </c>
      <c r="CJ112" s="27" t="inlineStr">
        <is>
          <t xml:space="preserve">dez/25</t>
        </is>
      </c>
    </row>
    <row r="113">
      <c r="A113" s="28">
        <v>45961</v>
      </c>
      <c r="B113" s="29">
        <v>1193.61</v>
      </c>
      <c r="C113" s="29">
        <v>2934.47</v>
      </c>
      <c r="D113" s="29">
        <v>8.01</v>
      </c>
      <c r="E113" s="29">
        <v>8.77</v>
      </c>
      <c r="F113" s="29">
        <v>2206.59</v>
      </c>
      <c r="G113" s="29">
        <v>1405.91</v>
      </c>
      <c r="H113" s="29">
        <v>476.3</v>
      </c>
      <c r="I113" s="27" t="inlineStr">
        <is>
          <t xml:space="preserve">dez/25</t>
        </is>
      </c>
      <c r="J113" s="29">
        <v>149540.43</v>
      </c>
      <c r="K113" s="30">
        <v>5384.0</v>
      </c>
      <c r="L113" s="27" t="inlineStr">
        <is>
          <t xml:space="preserve">nov/25</t>
        </is>
      </c>
      <c r="M113" s="29">
        <v>329.2</v>
      </c>
      <c r="N113" s="27" t="inlineStr">
        <is>
          <t xml:space="preserve">nov/25</t>
        </is>
      </c>
      <c r="O113" s="29">
        <v>68.04</v>
      </c>
      <c r="P113" s="27" t="inlineStr">
        <is>
          <t xml:space="preserve">nov/25</t>
        </is>
      </c>
      <c r="S113" s="30">
        <v>10.9975</v>
      </c>
      <c r="T113" s="27" t="inlineStr">
        <is>
          <t xml:space="preserve">nov/25</t>
        </is>
      </c>
      <c r="U113" s="30">
        <v>4.315</v>
      </c>
      <c r="V113" s="27" t="inlineStr">
        <is>
          <t xml:space="preserve">dez/25</t>
        </is>
      </c>
      <c r="W113" s="29">
        <v>321.6</v>
      </c>
      <c r="X113" s="27" t="inlineStr">
        <is>
          <t xml:space="preserve">dez/25</t>
        </is>
      </c>
      <c r="Y113" s="30">
        <v>0.4868</v>
      </c>
      <c r="Z113" s="27" t="inlineStr">
        <is>
          <t xml:space="preserve">dez/25</t>
        </is>
      </c>
      <c r="AA113" s="29">
        <v>348.58</v>
      </c>
      <c r="AB113" s="29">
        <v>113.65</v>
      </c>
      <c r="AC113" s="29">
        <v>319.42</v>
      </c>
      <c r="AD113" s="29">
        <v>320.29</v>
      </c>
      <c r="AE113" s="29">
        <v>305.93</v>
      </c>
      <c r="AF113" s="29">
        <v>301.77</v>
      </c>
      <c r="AG113" s="29">
        <v>308.95</v>
      </c>
      <c r="AH113" s="29">
        <v>302.59</v>
      </c>
      <c r="AI113" s="29">
        <v>304.81</v>
      </c>
      <c r="AJ113" s="29">
        <v>287.77</v>
      </c>
      <c r="AK113" s="29">
        <v>308.72</v>
      </c>
      <c r="AL113" s="29">
        <v>8.23</v>
      </c>
      <c r="AM113" s="29">
        <v>8.35</v>
      </c>
      <c r="AN113" s="29">
        <v>8.28</v>
      </c>
      <c r="AO113" s="29">
        <v>8.25</v>
      </c>
      <c r="AP113" s="29">
        <v>8.08</v>
      </c>
      <c r="AQ113" s="29">
        <v>139.03</v>
      </c>
      <c r="AR113" s="29">
        <v>152.96</v>
      </c>
      <c r="BC113" s="29">
        <v>8.73</v>
      </c>
      <c r="BD113" s="29">
        <v>8.96</v>
      </c>
      <c r="BE113" s="29">
        <v>9.49</v>
      </c>
      <c r="BF113" s="29">
        <v>8.58</v>
      </c>
      <c r="BG113" s="29">
        <v>8.75</v>
      </c>
      <c r="BH113" s="29">
        <v>1079.84</v>
      </c>
      <c r="BI113" s="29">
        <v>56.31</v>
      </c>
      <c r="BK113" s="29">
        <v>263.59</v>
      </c>
      <c r="BL113" s="29">
        <v>215.85</v>
      </c>
      <c r="BM113" s="29">
        <v>236.72</v>
      </c>
      <c r="BN113" s="29">
        <v>195.56</v>
      </c>
      <c r="BO113" s="29">
        <v>140.51</v>
      </c>
      <c r="BQ113" s="29">
        <v>132.9</v>
      </c>
      <c r="BR113" s="29">
        <v>129.29</v>
      </c>
      <c r="BS113" s="30">
        <v>2.7781</v>
      </c>
      <c r="BT113" s="30">
        <v>3.1801</v>
      </c>
      <c r="BU113" s="29">
        <v>593.51</v>
      </c>
      <c r="BV113" s="29">
        <v>519.51</v>
      </c>
      <c r="BW113" s="29">
        <v>547.19</v>
      </c>
      <c r="BX113" s="29">
        <v>45.0</v>
      </c>
      <c r="BY113" s="29">
        <v>52.0</v>
      </c>
      <c r="BZ113" s="29">
        <v>40.5</v>
      </c>
      <c r="CA113" s="29">
        <v>43.2</v>
      </c>
      <c r="CI113" s="29">
        <v>6151.0</v>
      </c>
      <c r="CJ113" s="27" t="inlineStr">
        <is>
          <t xml:space="preserve">dez/25</t>
        </is>
      </c>
    </row>
    <row r="114">
      <c r="A114" s="28">
        <v>45962</v>
      </c>
      <c r="AS114" s="30">
        <v>2.11</v>
      </c>
      <c r="AT114" s="30">
        <v>2.19</v>
      </c>
      <c r="AU114" s="30">
        <v>2.02</v>
      </c>
      <c r="AV114" s="30">
        <v>2.23</v>
      </c>
      <c r="AW114" s="30">
        <v>2.06</v>
      </c>
      <c r="AX114" s="30">
        <v>2.01</v>
      </c>
      <c r="AY114" s="30">
        <v>2.07</v>
      </c>
      <c r="AZ114" s="30">
        <v>2.2</v>
      </c>
      <c r="BA114" s="30">
        <v>2.28</v>
      </c>
      <c r="BB114" s="30">
        <v>2.02</v>
      </c>
    </row>
    <row r="115">
      <c r="A115" s="28">
        <v>45964</v>
      </c>
      <c r="B115" s="29">
        <v>1194.71</v>
      </c>
      <c r="C115" s="29">
        <v>2932.36</v>
      </c>
      <c r="D115" s="29">
        <v>7.99</v>
      </c>
      <c r="E115" s="29">
        <v>8.74</v>
      </c>
      <c r="F115" s="29">
        <v>2253.33</v>
      </c>
      <c r="G115" s="29">
        <v>1412.98</v>
      </c>
      <c r="H115" s="29">
        <v>489.15</v>
      </c>
      <c r="I115" s="27" t="inlineStr">
        <is>
          <t xml:space="preserve">dez/25</t>
        </is>
      </c>
      <c r="J115" s="29">
        <v>150454.24</v>
      </c>
      <c r="K115" s="30">
        <v>5394.5</v>
      </c>
      <c r="L115" s="27" t="inlineStr">
        <is>
          <t xml:space="preserve">dez/25</t>
        </is>
      </c>
      <c r="M115" s="29">
        <v>337.7</v>
      </c>
      <c r="N115" s="27" t="inlineStr">
        <is>
          <t xml:space="preserve">dez/25</t>
        </is>
      </c>
      <c r="O115" s="29">
        <v>72.25</v>
      </c>
      <c r="P115" s="27" t="inlineStr">
        <is>
          <t xml:space="preserve">jan/26</t>
        </is>
      </c>
      <c r="Q115" s="29">
        <v>25.3</v>
      </c>
      <c r="R115" s="27" t="inlineStr">
        <is>
          <t xml:space="preserve">mai/26</t>
        </is>
      </c>
      <c r="S115" s="30">
        <v>11.3425</v>
      </c>
      <c r="T115" s="27" t="inlineStr">
        <is>
          <t xml:space="preserve">jan/26</t>
        </is>
      </c>
      <c r="U115" s="30">
        <v>4.3425</v>
      </c>
      <c r="V115" s="27" t="inlineStr">
        <is>
          <t xml:space="preserve">dez/25</t>
        </is>
      </c>
      <c r="W115" s="29">
        <v>320.8</v>
      </c>
      <c r="X115" s="27" t="inlineStr">
        <is>
          <t xml:space="preserve">dez/25</t>
        </is>
      </c>
      <c r="Y115" s="30">
        <v>0.4984</v>
      </c>
      <c r="Z115" s="27" t="inlineStr">
        <is>
          <t xml:space="preserve">dez/25</t>
        </is>
      </c>
      <c r="AA115" s="29">
        <v>349.33</v>
      </c>
      <c r="AB115" s="29">
        <v>112.34</v>
      </c>
      <c r="AC115" s="29">
        <v>319.26</v>
      </c>
      <c r="AD115" s="29">
        <v>320.52</v>
      </c>
      <c r="AE115" s="29">
        <v>305.89</v>
      </c>
      <c r="AF115" s="29">
        <v>302.0</v>
      </c>
      <c r="AG115" s="29">
        <v>307.88</v>
      </c>
      <c r="AH115" s="29">
        <v>304.46</v>
      </c>
      <c r="AI115" s="29">
        <v>304.71</v>
      </c>
      <c r="AJ115" s="29">
        <v>288.26</v>
      </c>
      <c r="AK115" s="29">
        <v>305.59</v>
      </c>
      <c r="AL115" s="29">
        <v>8.24</v>
      </c>
      <c r="AM115" s="29">
        <v>8.34</v>
      </c>
      <c r="AN115" s="29">
        <v>8.28</v>
      </c>
      <c r="AO115" s="29">
        <v>8.18</v>
      </c>
      <c r="AP115" s="29">
        <v>8.07</v>
      </c>
      <c r="AQ115" s="29">
        <v>139.06</v>
      </c>
      <c r="AR115" s="29">
        <v>153.16</v>
      </c>
      <c r="BH115" s="29">
        <v>1081.17</v>
      </c>
      <c r="BI115" s="29">
        <v>56.37</v>
      </c>
      <c r="BK115" s="29">
        <v>262.63</v>
      </c>
      <c r="BL115" s="29">
        <v>215.92</v>
      </c>
      <c r="BM115" s="29">
        <v>237.43</v>
      </c>
      <c r="BN115" s="29">
        <v>200.56</v>
      </c>
      <c r="BO115" s="29">
        <v>141.01</v>
      </c>
      <c r="BQ115" s="29">
        <v>133.3</v>
      </c>
      <c r="BR115" s="29">
        <v>129.29</v>
      </c>
      <c r="BX115" s="29">
        <v>45.0</v>
      </c>
      <c r="BY115" s="29">
        <v>52.0</v>
      </c>
      <c r="BZ115" s="29">
        <v>40.5</v>
      </c>
      <c r="CA115" s="29">
        <v>43.2</v>
      </c>
      <c r="CD115" s="29">
        <v>46.29</v>
      </c>
      <c r="CE115" s="29">
        <v>61.12</v>
      </c>
      <c r="CI115" s="29">
        <v>6559.0</v>
      </c>
      <c r="CJ115" s="27" t="inlineStr">
        <is>
          <t xml:space="preserve">dez/25</t>
        </is>
      </c>
    </row>
    <row r="116">
      <c r="A116" s="28">
        <v>45965</v>
      </c>
      <c r="B116" s="29">
        <v>1197.19</v>
      </c>
      <c r="C116" s="29">
        <v>2932.79</v>
      </c>
      <c r="D116" s="29">
        <v>8.02</v>
      </c>
      <c r="E116" s="29">
        <v>8.77</v>
      </c>
      <c r="F116" s="29">
        <v>2272.55</v>
      </c>
      <c r="G116" s="29">
        <v>1434.97</v>
      </c>
      <c r="H116" s="29">
        <v>487.0</v>
      </c>
      <c r="I116" s="27" t="inlineStr">
        <is>
          <t xml:space="preserve">dez/25</t>
        </is>
      </c>
      <c r="J116" s="29">
        <v>150704.2</v>
      </c>
      <c r="K116" s="30">
        <v>5443.0</v>
      </c>
      <c r="L116" s="27" t="inlineStr">
        <is>
          <t xml:space="preserve">dez/25</t>
        </is>
      </c>
      <c r="M116" s="29">
        <v>337.5</v>
      </c>
      <c r="N116" s="27" t="inlineStr">
        <is>
          <t xml:space="preserve">dez/25</t>
        </is>
      </c>
      <c r="O116" s="29">
        <v>71.84</v>
      </c>
      <c r="P116" s="27" t="inlineStr">
        <is>
          <t xml:space="preserve">jan/26</t>
        </is>
      </c>
      <c r="Q116" s="29">
        <v>25.04</v>
      </c>
      <c r="R116" s="27" t="inlineStr">
        <is>
          <t xml:space="preserve">mai/26</t>
        </is>
      </c>
      <c r="S116" s="30">
        <v>11.215</v>
      </c>
      <c r="T116" s="27" t="inlineStr">
        <is>
          <t xml:space="preserve">jan/26</t>
        </is>
      </c>
      <c r="U116" s="30">
        <v>4.315</v>
      </c>
      <c r="V116" s="27" t="inlineStr">
        <is>
          <t xml:space="preserve">dez/25</t>
        </is>
      </c>
      <c r="W116" s="29">
        <v>317.4</v>
      </c>
      <c r="X116" s="27" t="inlineStr">
        <is>
          <t xml:space="preserve">dez/25</t>
        </is>
      </c>
      <c r="Y116" s="30">
        <v>0.4953</v>
      </c>
      <c r="Z116" s="27" t="inlineStr">
        <is>
          <t xml:space="preserve">dez/25</t>
        </is>
      </c>
      <c r="AA116" s="29">
        <v>345.64</v>
      </c>
      <c r="AB116" s="29">
        <v>109.68</v>
      </c>
      <c r="AL116" s="29">
        <v>8.24</v>
      </c>
      <c r="AM116" s="29">
        <v>8.35</v>
      </c>
      <c r="AN116" s="29">
        <v>8.31</v>
      </c>
      <c r="AO116" s="29">
        <v>8.18</v>
      </c>
      <c r="AP116" s="29">
        <v>8.08</v>
      </c>
      <c r="AQ116" s="29">
        <v>139.09</v>
      </c>
      <c r="AR116" s="29">
        <v>153.19</v>
      </c>
      <c r="BH116" s="29">
        <v>1071.21</v>
      </c>
      <c r="BI116" s="29">
        <v>55.77</v>
      </c>
      <c r="BK116" s="29">
        <v>261.87</v>
      </c>
      <c r="BL116" s="29">
        <v>226.89</v>
      </c>
      <c r="BM116" s="29">
        <v>238.26</v>
      </c>
      <c r="BN116" s="29">
        <v>198.89</v>
      </c>
      <c r="BO116" s="29">
        <v>140.44</v>
      </c>
      <c r="BQ116" s="29">
        <v>134.12</v>
      </c>
      <c r="BR116" s="29">
        <v>129.29</v>
      </c>
      <c r="BX116" s="29">
        <v>45.0</v>
      </c>
      <c r="BY116" s="29">
        <v>52.0</v>
      </c>
      <c r="BZ116" s="29">
        <v>40.5</v>
      </c>
      <c r="CA116" s="29">
        <v>44.0</v>
      </c>
      <c r="CD116" s="29">
        <v>46.0</v>
      </c>
      <c r="CE116" s="29">
        <v>61.17</v>
      </c>
      <c r="CI116" s="29">
        <v>6600.0</v>
      </c>
      <c r="CJ116" s="27" t="inlineStr">
        <is>
          <t xml:space="preserve">dez/25</t>
        </is>
      </c>
    </row>
    <row r="117">
      <c r="A117" s="28">
        <v>45966</v>
      </c>
      <c r="B117" s="29">
        <v>1200.52</v>
      </c>
      <c r="C117" s="29">
        <v>2953.77</v>
      </c>
      <c r="D117" s="29">
        <v>8.02</v>
      </c>
      <c r="E117" s="29">
        <v>8.76</v>
      </c>
      <c r="F117" s="29">
        <v>2305.83</v>
      </c>
      <c r="G117" s="29">
        <v>1431.75</v>
      </c>
      <c r="H117" s="29">
        <v>498.6</v>
      </c>
      <c r="I117" s="27" t="inlineStr">
        <is>
          <t xml:space="preserve">dez/25</t>
        </is>
      </c>
      <c r="J117" s="29">
        <v>153294.44</v>
      </c>
      <c r="K117" s="30">
        <v>5388.0</v>
      </c>
      <c r="L117" s="27" t="inlineStr">
        <is>
          <t xml:space="preserve">dez/25</t>
        </is>
      </c>
      <c r="M117" s="29">
        <v>334.65</v>
      </c>
      <c r="N117" s="27" t="inlineStr">
        <is>
          <t xml:space="preserve">dez/25</t>
        </is>
      </c>
      <c r="O117" s="29">
        <v>71.77</v>
      </c>
      <c r="P117" s="27" t="inlineStr">
        <is>
          <t xml:space="preserve">jan/26</t>
        </is>
      </c>
      <c r="Q117" s="29">
        <v>25.36</v>
      </c>
      <c r="R117" s="27" t="inlineStr">
        <is>
          <t xml:space="preserve">mai/26</t>
        </is>
      </c>
      <c r="S117" s="30">
        <v>11.3425</v>
      </c>
      <c r="T117" s="27" t="inlineStr">
        <is>
          <t xml:space="preserve">jan/26</t>
        </is>
      </c>
      <c r="U117" s="30">
        <v>4.3525</v>
      </c>
      <c r="V117" s="27" t="inlineStr">
        <is>
          <t xml:space="preserve">dez/25</t>
        </is>
      </c>
      <c r="W117" s="29">
        <v>324.8</v>
      </c>
      <c r="X117" s="27" t="inlineStr">
        <is>
          <t xml:space="preserve">dez/25</t>
        </is>
      </c>
      <c r="Y117" s="30">
        <v>0.4969</v>
      </c>
      <c r="Z117" s="27" t="inlineStr">
        <is>
          <t xml:space="preserve">dez/25</t>
        </is>
      </c>
      <c r="AA117" s="29">
        <v>344.44</v>
      </c>
      <c r="AB117" s="29">
        <v>108.97</v>
      </c>
      <c r="AC117" s="29">
        <v>322.71</v>
      </c>
      <c r="AD117" s="29">
        <v>324.07</v>
      </c>
      <c r="AE117" s="29">
        <v>309.13</v>
      </c>
      <c r="AF117" s="29">
        <v>305.12</v>
      </c>
      <c r="AG117" s="29">
        <v>313.08</v>
      </c>
      <c r="AH117" s="29">
        <v>303.81</v>
      </c>
      <c r="AI117" s="29">
        <v>310.12</v>
      </c>
      <c r="AJ117" s="29">
        <v>287.97</v>
      </c>
      <c r="AK117" s="29">
        <v>310.6</v>
      </c>
      <c r="AL117" s="29">
        <v>8.25</v>
      </c>
      <c r="AM117" s="29">
        <v>8.39</v>
      </c>
      <c r="AN117" s="29">
        <v>8.31</v>
      </c>
      <c r="AO117" s="29">
        <v>8.18</v>
      </c>
      <c r="AP117" s="29">
        <v>8.08</v>
      </c>
      <c r="AQ117" s="29">
        <v>139.1</v>
      </c>
      <c r="AR117" s="29">
        <v>153.23</v>
      </c>
      <c r="BH117" s="29">
        <v>1054.15</v>
      </c>
      <c r="BI117" s="29">
        <v>55.73</v>
      </c>
      <c r="BK117" s="29">
        <v>260.98</v>
      </c>
      <c r="BL117" s="29">
        <v>222.39</v>
      </c>
      <c r="BM117" s="29">
        <v>238.26</v>
      </c>
      <c r="BN117" s="29">
        <v>198.0</v>
      </c>
      <c r="BO117" s="29">
        <v>140.72</v>
      </c>
      <c r="BP117" s="29">
        <v>149.55</v>
      </c>
      <c r="BQ117" s="29">
        <v>133.01</v>
      </c>
      <c r="BR117" s="29">
        <v>128.0</v>
      </c>
      <c r="BX117" s="29">
        <v>45.0</v>
      </c>
      <c r="BY117" s="29">
        <v>52.0</v>
      </c>
      <c r="BZ117" s="29">
        <v>40.5</v>
      </c>
      <c r="CA117" s="29">
        <v>44.0</v>
      </c>
      <c r="CD117" s="29">
        <v>45.41</v>
      </c>
      <c r="CE117" s="29">
        <v>59.66</v>
      </c>
      <c r="CI117" s="29">
        <v>6396.0</v>
      </c>
      <c r="CJ117" s="27" t="inlineStr">
        <is>
          <t xml:space="preserve">dez/25</t>
        </is>
      </c>
    </row>
    <row r="118">
      <c r="A118" s="28">
        <v>45967</v>
      </c>
      <c r="B118" s="29">
        <v>1197.67</v>
      </c>
      <c r="C118" s="29">
        <v>2959.79</v>
      </c>
      <c r="D118" s="29">
        <v>8.03</v>
      </c>
      <c r="E118" s="29">
        <v>8.71</v>
      </c>
      <c r="F118" s="29">
        <v>2250.02</v>
      </c>
      <c r="G118" s="29">
        <v>1392.99</v>
      </c>
      <c r="H118" s="29">
        <v>488.4</v>
      </c>
      <c r="I118" s="27" t="inlineStr">
        <is>
          <t xml:space="preserve">dez/25</t>
        </is>
      </c>
      <c r="J118" s="29">
        <v>153338.63</v>
      </c>
      <c r="K118" s="30">
        <v>5377.5</v>
      </c>
      <c r="L118" s="27" t="inlineStr">
        <is>
          <t xml:space="preserve">dez/25</t>
        </is>
      </c>
      <c r="M118" s="29">
        <v>325.3</v>
      </c>
      <c r="N118" s="27" t="inlineStr">
        <is>
          <t xml:space="preserve">dez/25</t>
        </is>
      </c>
      <c r="O118" s="29">
        <v>71.5</v>
      </c>
      <c r="P118" s="27" t="inlineStr">
        <is>
          <t xml:space="preserve">jan/26</t>
        </is>
      </c>
      <c r="Q118" s="29">
        <v>24.9</v>
      </c>
      <c r="R118" s="27" t="inlineStr">
        <is>
          <t xml:space="preserve">mai/26</t>
        </is>
      </c>
      <c r="S118" s="30">
        <v>11.075</v>
      </c>
      <c r="T118" s="27" t="inlineStr">
        <is>
          <t xml:space="preserve">jan/26</t>
        </is>
      </c>
      <c r="U118" s="30">
        <v>4.2875</v>
      </c>
      <c r="V118" s="27" t="inlineStr">
        <is>
          <t xml:space="preserve">dez/25</t>
        </is>
      </c>
      <c r="W118" s="29">
        <v>312.7</v>
      </c>
      <c r="X118" s="27" t="inlineStr">
        <is>
          <t xml:space="preserve">dez/25</t>
        </is>
      </c>
      <c r="Y118" s="30">
        <v>0.4935</v>
      </c>
      <c r="Z118" s="27" t="inlineStr">
        <is>
          <t xml:space="preserve">dez/25</t>
        </is>
      </c>
      <c r="AA118" s="29">
        <v>344.47</v>
      </c>
      <c r="AB118" s="29">
        <v>108.32</v>
      </c>
      <c r="AC118" s="29">
        <v>322.73</v>
      </c>
      <c r="AD118" s="29">
        <v>323.04</v>
      </c>
      <c r="AE118" s="29">
        <v>311.69</v>
      </c>
      <c r="AF118" s="29">
        <v>304.81</v>
      </c>
      <c r="AG118" s="29">
        <v>314.21</v>
      </c>
      <c r="AH118" s="29">
        <v>304.47</v>
      </c>
      <c r="AI118" s="29">
        <v>309.74</v>
      </c>
      <c r="AJ118" s="29">
        <v>288.35</v>
      </c>
      <c r="AK118" s="29">
        <v>311.26</v>
      </c>
      <c r="AL118" s="29">
        <v>8.25</v>
      </c>
      <c r="AM118" s="29">
        <v>8.39</v>
      </c>
      <c r="AN118" s="29">
        <v>8.31</v>
      </c>
      <c r="AO118" s="29">
        <v>8.18</v>
      </c>
      <c r="AP118" s="29">
        <v>8.08</v>
      </c>
      <c r="AQ118" s="29">
        <v>139.1</v>
      </c>
      <c r="AR118" s="29">
        <v>153.23</v>
      </c>
      <c r="BH118" s="29">
        <v>1054.15</v>
      </c>
      <c r="BI118" s="29">
        <v>55.29</v>
      </c>
      <c r="BK118" s="29">
        <v>256.3</v>
      </c>
      <c r="BL118" s="29">
        <v>223.08</v>
      </c>
      <c r="BM118" s="29">
        <v>238.26</v>
      </c>
      <c r="BN118" s="29">
        <v>198.0</v>
      </c>
      <c r="BO118" s="29">
        <v>140.72</v>
      </c>
      <c r="BP118" s="29">
        <v>150.72</v>
      </c>
      <c r="BQ118" s="29">
        <v>133.4</v>
      </c>
      <c r="BR118" s="29">
        <v>128.0</v>
      </c>
      <c r="BX118" s="29">
        <v>46.5</v>
      </c>
      <c r="BY118" s="29">
        <v>52.0</v>
      </c>
      <c r="BZ118" s="29">
        <v>41.0</v>
      </c>
      <c r="CA118" s="29">
        <v>44.0</v>
      </c>
      <c r="CD118" s="29">
        <v>45.41</v>
      </c>
      <c r="CE118" s="29">
        <v>59.86</v>
      </c>
      <c r="CI118" s="29">
        <v>6185.0</v>
      </c>
      <c r="CJ118" s="27" t="inlineStr">
        <is>
          <t xml:space="preserve">dez/25</t>
        </is>
      </c>
    </row>
    <row r="119">
      <c r="A119" s="28">
        <v>45968</v>
      </c>
      <c r="B119" s="29">
        <v>1197.58</v>
      </c>
      <c r="C119" s="29">
        <v>2968.8</v>
      </c>
      <c r="D119" s="29">
        <v>8.03</v>
      </c>
      <c r="E119" s="29">
        <v>8.76</v>
      </c>
      <c r="F119" s="29">
        <v>2290.64</v>
      </c>
      <c r="G119" s="29">
        <v>1409.48</v>
      </c>
      <c r="H119" s="29">
        <v>498.2</v>
      </c>
      <c r="I119" s="27" t="inlineStr">
        <is>
          <t xml:space="preserve">dez/25</t>
        </is>
      </c>
      <c r="J119" s="29">
        <v>154063.53</v>
      </c>
      <c r="K119" s="30">
        <v>5356.0</v>
      </c>
      <c r="L119" s="27" t="inlineStr">
        <is>
          <t xml:space="preserve">dez/25</t>
        </is>
      </c>
      <c r="M119" s="29">
        <v>324.0</v>
      </c>
      <c r="N119" s="27" t="inlineStr">
        <is>
          <t xml:space="preserve">dez/25</t>
        </is>
      </c>
      <c r="O119" s="29">
        <v>71.05</v>
      </c>
      <c r="P119" s="27" t="inlineStr">
        <is>
          <t xml:space="preserve">jan/26</t>
        </is>
      </c>
      <c r="Q119" s="29">
        <v>25.05</v>
      </c>
      <c r="R119" s="27" t="inlineStr">
        <is>
          <t xml:space="preserve">mai/26</t>
        </is>
      </c>
      <c r="S119" s="30">
        <v>11.17</v>
      </c>
      <c r="T119" s="27" t="inlineStr">
        <is>
          <t xml:space="preserve">jan/26</t>
        </is>
      </c>
      <c r="U119" s="30">
        <v>4.2725</v>
      </c>
      <c r="V119" s="27" t="inlineStr">
        <is>
          <t xml:space="preserve">dez/25</t>
        </is>
      </c>
      <c r="W119" s="29">
        <v>317.1</v>
      </c>
      <c r="X119" s="27" t="inlineStr">
        <is>
          <t xml:space="preserve">dez/25</t>
        </is>
      </c>
      <c r="Y119" s="30">
        <v>0.4968</v>
      </c>
      <c r="Z119" s="27" t="inlineStr">
        <is>
          <t xml:space="preserve">dez/25</t>
        </is>
      </c>
      <c r="AA119" s="29">
        <v>344.48</v>
      </c>
      <c r="AB119" s="29">
        <v>107.16</v>
      </c>
      <c r="AC119" s="29">
        <v>322.96</v>
      </c>
      <c r="AD119" s="29">
        <v>322.11</v>
      </c>
      <c r="AE119" s="29">
        <v>312.76</v>
      </c>
      <c r="AF119" s="29">
        <v>304.15</v>
      </c>
      <c r="AG119" s="29">
        <v>315.77</v>
      </c>
      <c r="AH119" s="29">
        <v>305.13</v>
      </c>
      <c r="AI119" s="29">
        <v>308.2</v>
      </c>
      <c r="AJ119" s="29">
        <v>289.67</v>
      </c>
      <c r="AK119" s="29">
        <v>306.92</v>
      </c>
      <c r="AL119" s="29">
        <v>8.31</v>
      </c>
      <c r="AM119" s="29">
        <v>8.4</v>
      </c>
      <c r="AN119" s="29">
        <v>8.37</v>
      </c>
      <c r="AO119" s="29">
        <v>8.21</v>
      </c>
      <c r="AP119" s="29">
        <v>8.09</v>
      </c>
      <c r="AQ119" s="29">
        <v>139.09</v>
      </c>
      <c r="AR119" s="29">
        <v>153.32</v>
      </c>
      <c r="BC119" s="29">
        <v>8.89</v>
      </c>
      <c r="BD119" s="29">
        <v>9.04</v>
      </c>
      <c r="BE119" s="29">
        <v>9.62</v>
      </c>
      <c r="BF119" s="29">
        <v>8.64</v>
      </c>
      <c r="BG119" s="29">
        <v>8.92</v>
      </c>
      <c r="BH119" s="29">
        <v>1042.62</v>
      </c>
      <c r="BI119" s="29">
        <v>55.51</v>
      </c>
      <c r="BK119" s="29">
        <v>255.63</v>
      </c>
      <c r="BL119" s="29">
        <v>223.59</v>
      </c>
      <c r="BM119" s="29">
        <v>238.73</v>
      </c>
      <c r="BN119" s="29">
        <v>198.0</v>
      </c>
      <c r="BO119" s="29">
        <v>137.86</v>
      </c>
      <c r="BP119" s="29">
        <v>150.72</v>
      </c>
      <c r="BQ119" s="29">
        <v>132.69</v>
      </c>
      <c r="BR119" s="29">
        <v>127.5</v>
      </c>
      <c r="BS119" s="30">
        <v>2.7997</v>
      </c>
      <c r="BT119" s="30">
        <v>3.2094</v>
      </c>
      <c r="BU119" s="29">
        <v>594.68</v>
      </c>
      <c r="BV119" s="29">
        <v>513.79</v>
      </c>
      <c r="BW119" s="29">
        <v>552.03</v>
      </c>
      <c r="BX119" s="29">
        <v>46.0</v>
      </c>
      <c r="BY119" s="29">
        <v>52.0</v>
      </c>
      <c r="BZ119" s="29">
        <v>41.0</v>
      </c>
      <c r="CA119" s="29">
        <v>44.0</v>
      </c>
      <c r="CD119" s="29">
        <v>45.41</v>
      </c>
      <c r="CE119" s="29">
        <v>59.58</v>
      </c>
      <c r="CI119" s="29">
        <v>6013.0</v>
      </c>
      <c r="CJ119" s="27" t="inlineStr">
        <is>
          <t xml:space="preserve">dez/25</t>
        </is>
      </c>
    </row>
    <row r="120">
      <c r="A120" s="28">
        <v>45971</v>
      </c>
      <c r="B120" s="29">
        <v>1201.88</v>
      </c>
      <c r="C120" s="29">
        <v>2989.23</v>
      </c>
      <c r="D120" s="29">
        <v>8.04</v>
      </c>
      <c r="E120" s="29">
        <v>8.76</v>
      </c>
      <c r="F120" s="29">
        <v>2291.24</v>
      </c>
      <c r="G120" s="29">
        <v>1393.99</v>
      </c>
      <c r="H120" s="29">
        <v>503.8</v>
      </c>
      <c r="I120" s="27" t="inlineStr">
        <is>
          <t xml:space="preserve">dez/25</t>
        </is>
      </c>
      <c r="J120" s="29">
        <v>155257.31</v>
      </c>
      <c r="K120" s="30">
        <v>5311.5</v>
      </c>
      <c r="L120" s="27" t="inlineStr">
        <is>
          <t xml:space="preserve">dez/25</t>
        </is>
      </c>
      <c r="M120" s="29">
        <v>321.5</v>
      </c>
      <c r="N120" s="27" t="inlineStr">
        <is>
          <t xml:space="preserve">dez/25</t>
        </is>
      </c>
      <c r="O120" s="29">
        <v>70.7</v>
      </c>
      <c r="P120" s="27" t="inlineStr">
        <is>
          <t xml:space="preserve">jan/26</t>
        </is>
      </c>
      <c r="Q120" s="29">
        <v>25.34</v>
      </c>
      <c r="R120" s="27" t="inlineStr">
        <is>
          <t xml:space="preserve">mai/26</t>
        </is>
      </c>
      <c r="S120" s="30">
        <v>11.3</v>
      </c>
      <c r="T120" s="27" t="inlineStr">
        <is>
          <t xml:space="preserve">jan/26</t>
        </is>
      </c>
      <c r="U120" s="30">
        <v>4.2975</v>
      </c>
      <c r="V120" s="27" t="inlineStr">
        <is>
          <t xml:space="preserve">dez/25</t>
        </is>
      </c>
      <c r="W120" s="29">
        <v>320.0</v>
      </c>
      <c r="X120" s="27" t="inlineStr">
        <is>
          <t xml:space="preserve">dez/25</t>
        </is>
      </c>
      <c r="Y120" s="30">
        <v>0.5058</v>
      </c>
      <c r="Z120" s="27" t="inlineStr">
        <is>
          <t xml:space="preserve">dez/25</t>
        </is>
      </c>
      <c r="AA120" s="29">
        <v>342.29</v>
      </c>
      <c r="AB120" s="29">
        <v>107.84</v>
      </c>
      <c r="AC120" s="29">
        <v>322.73</v>
      </c>
      <c r="AD120" s="29">
        <v>321.69</v>
      </c>
      <c r="AE120" s="29">
        <v>310.91</v>
      </c>
      <c r="AF120" s="29">
        <v>303.44</v>
      </c>
      <c r="AG120" s="29">
        <v>317.54</v>
      </c>
      <c r="AH120" s="29">
        <v>304.51</v>
      </c>
      <c r="AI120" s="29">
        <v>309.02</v>
      </c>
      <c r="AJ120" s="29">
        <v>287.18</v>
      </c>
      <c r="AK120" s="29">
        <v>305.97</v>
      </c>
      <c r="AL120" s="29">
        <v>8.35</v>
      </c>
      <c r="AM120" s="29">
        <v>8.42</v>
      </c>
      <c r="AN120" s="29">
        <v>8.37</v>
      </c>
      <c r="AO120" s="29">
        <v>8.25</v>
      </c>
      <c r="AP120" s="29">
        <v>8.06</v>
      </c>
      <c r="AQ120" s="29">
        <v>138.8</v>
      </c>
      <c r="AR120" s="29">
        <v>152.19</v>
      </c>
      <c r="BH120" s="29">
        <v>1041.3</v>
      </c>
      <c r="BI120" s="29">
        <v>55.69</v>
      </c>
      <c r="BK120" s="29">
        <v>252.18</v>
      </c>
      <c r="BL120" s="29">
        <v>222.28</v>
      </c>
      <c r="BM120" s="29">
        <v>238.24</v>
      </c>
      <c r="BN120" s="29">
        <v>195.0</v>
      </c>
      <c r="BO120" s="29">
        <v>136.18</v>
      </c>
      <c r="BP120" s="29">
        <v>150.72</v>
      </c>
      <c r="BQ120" s="29">
        <v>132.59</v>
      </c>
      <c r="BR120" s="29">
        <v>128.0</v>
      </c>
      <c r="BX120" s="29">
        <v>46.0</v>
      </c>
      <c r="BY120" s="29">
        <v>52.0</v>
      </c>
      <c r="BZ120" s="29">
        <v>41.0</v>
      </c>
      <c r="CA120" s="29">
        <v>44.0</v>
      </c>
      <c r="CD120" s="29">
        <v>40.47</v>
      </c>
      <c r="CE120" s="29">
        <v>59.49</v>
      </c>
      <c r="CI120" s="29">
        <v>6102.0</v>
      </c>
      <c r="CJ120" s="27" t="inlineStr">
        <is>
          <t xml:space="preserve">dez/25</t>
        </is>
      </c>
    </row>
    <row r="121">
      <c r="A121" s="28">
        <v>45972</v>
      </c>
      <c r="B121" s="29">
        <v>1196.25</v>
      </c>
      <c r="C121" s="29">
        <v>2987.77</v>
      </c>
      <c r="D121" s="29">
        <v>8.04</v>
      </c>
      <c r="E121" s="29">
        <v>8.82</v>
      </c>
      <c r="F121" s="29">
        <v>2294.47</v>
      </c>
      <c r="G121" s="29">
        <v>1380.12</v>
      </c>
      <c r="H121" s="29">
        <v>509.0</v>
      </c>
      <c r="I121" s="27" t="inlineStr">
        <is>
          <t xml:space="preserve">dez/25</t>
        </is>
      </c>
      <c r="J121" s="29">
        <v>157748.6</v>
      </c>
      <c r="K121" s="30">
        <v>5295.5</v>
      </c>
      <c r="L121" s="27" t="inlineStr">
        <is>
          <t xml:space="preserve">dez/25</t>
        </is>
      </c>
      <c r="M121" s="29">
        <v>321.7</v>
      </c>
      <c r="N121" s="27" t="inlineStr">
        <is>
          <t xml:space="preserve">dez/25</t>
        </is>
      </c>
      <c r="O121" s="29">
        <v>70.45</v>
      </c>
      <c r="P121" s="27" t="inlineStr">
        <is>
          <t xml:space="preserve">jan/26</t>
        </is>
      </c>
      <c r="Q121" s="29">
        <v>25.34</v>
      </c>
      <c r="R121" s="27" t="inlineStr">
        <is>
          <t xml:space="preserve">mai/26</t>
        </is>
      </c>
      <c r="S121" s="30">
        <v>11.2725</v>
      </c>
      <c r="T121" s="27" t="inlineStr">
        <is>
          <t xml:space="preserve">jan/26</t>
        </is>
      </c>
      <c r="U121" s="30">
        <v>4.32</v>
      </c>
      <c r="V121" s="27" t="inlineStr">
        <is>
          <t xml:space="preserve">dez/25</t>
        </is>
      </c>
      <c r="W121" s="29">
        <v>316.9</v>
      </c>
      <c r="X121" s="27" t="inlineStr">
        <is>
          <t xml:space="preserve">dez/25</t>
        </is>
      </c>
      <c r="Y121" s="30">
        <v>0.511</v>
      </c>
      <c r="Z121" s="27" t="inlineStr">
        <is>
          <t xml:space="preserve">dez/25</t>
        </is>
      </c>
      <c r="AA121" s="29">
        <v>341.54</v>
      </c>
      <c r="AB121" s="29">
        <v>108.71</v>
      </c>
      <c r="AC121" s="29">
        <v>321.94</v>
      </c>
      <c r="AD121" s="29">
        <v>321.05</v>
      </c>
      <c r="AE121" s="29">
        <v>309.59</v>
      </c>
      <c r="AF121" s="29">
        <v>302.65</v>
      </c>
      <c r="AG121" s="29">
        <v>317.84</v>
      </c>
      <c r="AH121" s="29">
        <v>305.32</v>
      </c>
      <c r="AI121" s="29">
        <v>308.16</v>
      </c>
      <c r="AJ121" s="29">
        <v>281.88</v>
      </c>
      <c r="AK121" s="29">
        <v>309.03</v>
      </c>
      <c r="AL121" s="29">
        <v>8.44</v>
      </c>
      <c r="AM121" s="29">
        <v>8.42</v>
      </c>
      <c r="AN121" s="29">
        <v>8.37</v>
      </c>
      <c r="AO121" s="29">
        <v>8.26</v>
      </c>
      <c r="AP121" s="29">
        <v>8.07</v>
      </c>
      <c r="AQ121" s="29">
        <v>138.78</v>
      </c>
      <c r="AR121" s="29">
        <v>152.19</v>
      </c>
      <c r="BH121" s="29">
        <v>1041.07</v>
      </c>
      <c r="BI121" s="29">
        <v>55.42</v>
      </c>
      <c r="BK121" s="29">
        <v>249.97</v>
      </c>
      <c r="BL121" s="29">
        <v>229.43</v>
      </c>
      <c r="BM121" s="29">
        <v>234.48</v>
      </c>
      <c r="BN121" s="29">
        <v>194.79</v>
      </c>
      <c r="BO121" s="29">
        <v>134.82</v>
      </c>
      <c r="BQ121" s="29">
        <v>133.02</v>
      </c>
      <c r="BR121" s="29">
        <v>126.43</v>
      </c>
      <c r="BX121" s="29">
        <v>46.0</v>
      </c>
      <c r="BY121" s="29">
        <v>52.0</v>
      </c>
      <c r="BZ121" s="29">
        <v>43.33</v>
      </c>
      <c r="CA121" s="29">
        <v>44.0</v>
      </c>
      <c r="CD121" s="29">
        <v>39.95</v>
      </c>
      <c r="CE121" s="29">
        <v>58.88</v>
      </c>
      <c r="CI121" s="29">
        <v>5829.0</v>
      </c>
      <c r="CJ121" s="27" t="inlineStr">
        <is>
          <t xml:space="preserve">dez/25</t>
        </is>
      </c>
    </row>
    <row r="122">
      <c r="A122" s="28">
        <v>45973</v>
      </c>
      <c r="B122" s="29">
        <v>1193.55</v>
      </c>
      <c r="C122" s="29">
        <v>2980.03</v>
      </c>
      <c r="D122" s="29">
        <v>8.05</v>
      </c>
      <c r="E122" s="29">
        <v>8.81</v>
      </c>
      <c r="F122" s="29">
        <v>2241.18</v>
      </c>
      <c r="G122" s="29">
        <v>1350.22</v>
      </c>
      <c r="H122" s="29">
        <v>482.2</v>
      </c>
      <c r="I122" s="27" t="inlineStr">
        <is>
          <t xml:space="preserve">dez/25</t>
        </is>
      </c>
      <c r="J122" s="29">
        <v>157632.9</v>
      </c>
      <c r="K122" s="30">
        <v>5314.5</v>
      </c>
      <c r="L122" s="27" t="inlineStr">
        <is>
          <t xml:space="preserve">dez/25</t>
        </is>
      </c>
      <c r="M122" s="29">
        <v>321.8</v>
      </c>
      <c r="N122" s="27" t="inlineStr">
        <is>
          <t xml:space="preserve">dez/25</t>
        </is>
      </c>
      <c r="O122" s="29">
        <v>70.75</v>
      </c>
      <c r="P122" s="27" t="inlineStr">
        <is>
          <t xml:space="preserve">jan/26</t>
        </is>
      </c>
      <c r="Q122" s="29">
        <v>25.43</v>
      </c>
      <c r="R122" s="27" t="inlineStr">
        <is>
          <t xml:space="preserve">mai/26</t>
        </is>
      </c>
      <c r="S122" s="30">
        <v>11.3375</v>
      </c>
      <c r="T122" s="27" t="inlineStr">
        <is>
          <t xml:space="preserve">jan/26</t>
        </is>
      </c>
      <c r="U122" s="30">
        <v>4.3525</v>
      </c>
      <c r="V122" s="27" t="inlineStr">
        <is>
          <t xml:space="preserve">dez/25</t>
        </is>
      </c>
      <c r="W122" s="29">
        <v>321.0</v>
      </c>
      <c r="X122" s="27" t="inlineStr">
        <is>
          <t xml:space="preserve">dez/25</t>
        </is>
      </c>
      <c r="Y122" s="30">
        <v>0.5062</v>
      </c>
      <c r="Z122" s="27" t="inlineStr">
        <is>
          <t xml:space="preserve">dez/25</t>
        </is>
      </c>
      <c r="AA122" s="29">
        <v>342.18</v>
      </c>
      <c r="AB122" s="29">
        <v>107.14</v>
      </c>
      <c r="AC122" s="29">
        <v>323.0</v>
      </c>
      <c r="AD122" s="29">
        <v>320.01</v>
      </c>
      <c r="AE122" s="29">
        <v>308.75</v>
      </c>
      <c r="AF122" s="29">
        <v>303.76</v>
      </c>
      <c r="AG122" s="29">
        <v>317.29</v>
      </c>
      <c r="AH122" s="29">
        <v>302.85</v>
      </c>
      <c r="AI122" s="29">
        <v>307.03</v>
      </c>
      <c r="AJ122" s="29">
        <v>282.71</v>
      </c>
      <c r="AK122" s="29">
        <v>312.72</v>
      </c>
      <c r="AL122" s="29">
        <v>8.44</v>
      </c>
      <c r="AM122" s="29">
        <v>8.41</v>
      </c>
      <c r="AN122" s="29">
        <v>8.37</v>
      </c>
      <c r="AO122" s="29">
        <v>8.26</v>
      </c>
      <c r="AP122" s="29">
        <v>8.04</v>
      </c>
      <c r="AQ122" s="29">
        <v>132.93</v>
      </c>
      <c r="AR122" s="29">
        <v>145.82</v>
      </c>
      <c r="BH122" s="29">
        <v>1041.73</v>
      </c>
      <c r="BI122" s="29">
        <v>55.49</v>
      </c>
      <c r="BK122" s="29">
        <v>249.53</v>
      </c>
      <c r="BL122" s="29">
        <v>230.67</v>
      </c>
      <c r="BM122" s="29">
        <v>233.78</v>
      </c>
      <c r="BN122" s="29">
        <v>192.93</v>
      </c>
      <c r="BO122" s="29">
        <v>138.09</v>
      </c>
      <c r="BQ122" s="29">
        <v>131.82</v>
      </c>
      <c r="BR122" s="29">
        <v>130.0</v>
      </c>
      <c r="BX122" s="29">
        <v>46.0</v>
      </c>
      <c r="BY122" s="29">
        <v>52.0</v>
      </c>
      <c r="BZ122" s="29">
        <v>43.67</v>
      </c>
      <c r="CA122" s="29">
        <v>44.0</v>
      </c>
      <c r="CD122" s="29">
        <v>39.67</v>
      </c>
      <c r="CE122" s="29">
        <v>58.2</v>
      </c>
      <c r="CI122" s="29">
        <v>5625.0</v>
      </c>
      <c r="CJ122" s="27" t="inlineStr">
        <is>
          <t xml:space="preserve">dez/25</t>
        </is>
      </c>
    </row>
    <row r="123">
      <c r="A123" s="28">
        <v>45974</v>
      </c>
      <c r="B123" s="29">
        <v>1191.63</v>
      </c>
      <c r="C123" s="29">
        <v>2982.24</v>
      </c>
      <c r="D123" s="29">
        <v>8.05</v>
      </c>
      <c r="E123" s="29">
        <v>8.81</v>
      </c>
      <c r="F123" s="29">
        <v>2218.7</v>
      </c>
      <c r="G123" s="29">
        <v>1345.51</v>
      </c>
      <c r="H123" s="29">
        <v>478.2</v>
      </c>
      <c r="I123" s="27" t="inlineStr">
        <is>
          <t xml:space="preserve">dez/25</t>
        </is>
      </c>
      <c r="J123" s="29">
        <v>157162.43</v>
      </c>
      <c r="K123" s="30">
        <v>5308.5</v>
      </c>
      <c r="L123" s="27" t="inlineStr">
        <is>
          <t xml:space="preserve">dez/25</t>
        </is>
      </c>
      <c r="M123" s="29">
        <v>321.55</v>
      </c>
      <c r="N123" s="27" t="inlineStr">
        <is>
          <t xml:space="preserve">dez/25</t>
        </is>
      </c>
      <c r="O123" s="29">
        <v>71.0</v>
      </c>
      <c r="P123" s="27" t="inlineStr">
        <is>
          <t xml:space="preserve">jan/26</t>
        </is>
      </c>
      <c r="Q123" s="29">
        <v>25.65</v>
      </c>
      <c r="R123" s="27" t="inlineStr">
        <is>
          <t xml:space="preserve">mai/26</t>
        </is>
      </c>
      <c r="S123" s="30">
        <v>11.47</v>
      </c>
      <c r="T123" s="27" t="inlineStr">
        <is>
          <t xml:space="preserve">jan/26</t>
        </is>
      </c>
      <c r="U123" s="30">
        <v>4.415</v>
      </c>
      <c r="V123" s="27" t="inlineStr">
        <is>
          <t xml:space="preserve">dez/25</t>
        </is>
      </c>
      <c r="W123" s="29">
        <v>328.5</v>
      </c>
      <c r="X123" s="27" t="inlineStr">
        <is>
          <t xml:space="preserve">dez/25</t>
        </is>
      </c>
      <c r="Y123" s="30">
        <v>0.5025</v>
      </c>
      <c r="Z123" s="27" t="inlineStr">
        <is>
          <t xml:space="preserve">dez/25</t>
        </is>
      </c>
      <c r="AA123" s="29">
        <v>342.85</v>
      </c>
      <c r="AB123" s="29">
        <v>107.06</v>
      </c>
      <c r="AC123" s="29">
        <v>322.63</v>
      </c>
      <c r="AD123" s="29">
        <v>319.48</v>
      </c>
      <c r="AE123" s="29">
        <v>311.57</v>
      </c>
      <c r="AF123" s="29">
        <v>307.64</v>
      </c>
      <c r="AG123" s="29">
        <v>316.78</v>
      </c>
      <c r="AH123" s="29">
        <v>303.01</v>
      </c>
      <c r="AI123" s="29">
        <v>306.4</v>
      </c>
      <c r="AJ123" s="29">
        <v>281.22</v>
      </c>
      <c r="AK123" s="29">
        <v>312.2</v>
      </c>
      <c r="AL123" s="29">
        <v>8.44</v>
      </c>
      <c r="AM123" s="29">
        <v>8.41</v>
      </c>
      <c r="AN123" s="29">
        <v>8.37</v>
      </c>
      <c r="AO123" s="29">
        <v>8.24</v>
      </c>
      <c r="AP123" s="29">
        <v>8.04</v>
      </c>
      <c r="AQ123" s="29">
        <v>133.26</v>
      </c>
      <c r="AR123" s="29">
        <v>146.1</v>
      </c>
      <c r="BH123" s="29">
        <v>1041.73</v>
      </c>
      <c r="BI123" s="29">
        <v>55.55</v>
      </c>
      <c r="BK123" s="29">
        <v>251.07</v>
      </c>
      <c r="BL123" s="29">
        <v>225.18</v>
      </c>
      <c r="BM123" s="29">
        <v>234.05</v>
      </c>
      <c r="BN123" s="29">
        <v>193.86</v>
      </c>
      <c r="BO123" s="29">
        <v>137.36</v>
      </c>
      <c r="BQ123" s="29">
        <v>131.94</v>
      </c>
      <c r="BR123" s="29">
        <v>130.0</v>
      </c>
      <c r="BX123" s="29">
        <v>46.0</v>
      </c>
      <c r="BY123" s="29">
        <v>52.0</v>
      </c>
      <c r="BZ123" s="29">
        <v>43.67</v>
      </c>
      <c r="CA123" s="29">
        <v>44.0</v>
      </c>
      <c r="CD123" s="29">
        <v>39.71</v>
      </c>
      <c r="CE123" s="29">
        <v>57.88</v>
      </c>
      <c r="CI123" s="29">
        <v>5487.0</v>
      </c>
      <c r="CJ123" s="27" t="inlineStr">
        <is>
          <t xml:space="preserve">dez/25</t>
        </is>
      </c>
    </row>
    <row r="124">
      <c r="A124" s="28">
        <v>45975</v>
      </c>
      <c r="B124" s="29">
        <v>1192.33</v>
      </c>
      <c r="C124" s="29">
        <v>2986.72</v>
      </c>
      <c r="D124" s="29">
        <v>8.05</v>
      </c>
      <c r="E124" s="29">
        <v>8.86</v>
      </c>
      <c r="F124" s="29">
        <v>2204.71</v>
      </c>
      <c r="G124" s="29">
        <v>1316.18</v>
      </c>
      <c r="H124" s="29">
        <v>481.35</v>
      </c>
      <c r="I124" s="27" t="inlineStr">
        <is>
          <t xml:space="preserve">dez/25</t>
        </is>
      </c>
      <c r="J124" s="29">
        <v>157738.69</v>
      </c>
      <c r="K124" s="30">
        <v>5315.0</v>
      </c>
      <c r="L124" s="27" t="inlineStr">
        <is>
          <t xml:space="preserve">dez/25</t>
        </is>
      </c>
      <c r="M124" s="29">
        <v>320.1</v>
      </c>
      <c r="N124" s="27" t="inlineStr">
        <is>
          <t xml:space="preserve">dez/25</t>
        </is>
      </c>
      <c r="O124" s="29">
        <v>70.95</v>
      </c>
      <c r="P124" s="27" t="inlineStr">
        <is>
          <t xml:space="preserve">jan/26</t>
        </is>
      </c>
      <c r="Q124" s="29">
        <v>25.34</v>
      </c>
      <c r="R124" s="27" t="inlineStr">
        <is>
          <t xml:space="preserve">mai/26</t>
        </is>
      </c>
      <c r="S124" s="30">
        <v>11.245</v>
      </c>
      <c r="T124" s="27" t="inlineStr">
        <is>
          <t xml:space="preserve">jan/26</t>
        </is>
      </c>
      <c r="U124" s="30">
        <v>4.3025</v>
      </c>
      <c r="V124" s="27" t="inlineStr">
        <is>
          <t xml:space="preserve">dez/25</t>
        </is>
      </c>
      <c r="W124" s="29">
        <v>322.5</v>
      </c>
      <c r="X124" s="27" t="inlineStr">
        <is>
          <t xml:space="preserve">dez/25</t>
        </is>
      </c>
      <c r="Y124" s="30">
        <v>0.5015</v>
      </c>
      <c r="Z124" s="27" t="inlineStr">
        <is>
          <t xml:space="preserve">dez/25</t>
        </is>
      </c>
      <c r="AA124" s="29">
        <v>345.59</v>
      </c>
      <c r="AB124" s="29">
        <v>106.41</v>
      </c>
      <c r="AC124" s="29">
        <v>322.02</v>
      </c>
      <c r="AD124" s="29">
        <v>318.44</v>
      </c>
      <c r="AE124" s="29">
        <v>311.03</v>
      </c>
      <c r="AF124" s="29">
        <v>307.77</v>
      </c>
      <c r="AG124" s="29">
        <v>316.72</v>
      </c>
      <c r="AH124" s="29">
        <v>301.47</v>
      </c>
      <c r="AI124" s="29">
        <v>307.68</v>
      </c>
      <c r="AJ124" s="29">
        <v>279.47</v>
      </c>
      <c r="AK124" s="29">
        <v>311.38</v>
      </c>
      <c r="AL124" s="29">
        <v>8.44</v>
      </c>
      <c r="AM124" s="29">
        <v>8.41</v>
      </c>
      <c r="AN124" s="29">
        <v>8.37</v>
      </c>
      <c r="AO124" s="29">
        <v>8.27</v>
      </c>
      <c r="AP124" s="29">
        <v>8.04</v>
      </c>
      <c r="AQ124" s="29">
        <v>129.15</v>
      </c>
      <c r="AR124" s="29">
        <v>140.75</v>
      </c>
      <c r="BC124" s="29">
        <v>9.05</v>
      </c>
      <c r="BD124" s="29">
        <v>9.07</v>
      </c>
      <c r="BE124" s="29">
        <v>9.92</v>
      </c>
      <c r="BF124" s="29">
        <v>8.75</v>
      </c>
      <c r="BG124" s="29">
        <v>9.02</v>
      </c>
      <c r="BH124" s="29">
        <v>1042.79</v>
      </c>
      <c r="BI124" s="29">
        <v>55.46</v>
      </c>
      <c r="BK124" s="29">
        <v>251.53</v>
      </c>
      <c r="BL124" s="29">
        <v>227.65</v>
      </c>
      <c r="BM124" s="29">
        <v>234.05</v>
      </c>
      <c r="BN124" s="29">
        <v>191.55</v>
      </c>
      <c r="BO124" s="29">
        <v>139.75</v>
      </c>
      <c r="BQ124" s="29">
        <v>131.57</v>
      </c>
      <c r="BS124" s="30">
        <v>2.8236</v>
      </c>
      <c r="BT124" s="30">
        <v>3.2097</v>
      </c>
      <c r="BU124" s="29">
        <v>596.38</v>
      </c>
      <c r="BV124" s="29">
        <v>492.2</v>
      </c>
      <c r="BW124" s="29">
        <v>550.24</v>
      </c>
      <c r="BX124" s="29">
        <v>46.0</v>
      </c>
      <c r="BY124" s="29">
        <v>52.0</v>
      </c>
      <c r="BZ124" s="29">
        <v>43.67</v>
      </c>
      <c r="CA124" s="29">
        <v>44.4</v>
      </c>
      <c r="CD124" s="29">
        <v>39.73</v>
      </c>
      <c r="CE124" s="29">
        <v>57.57</v>
      </c>
      <c r="CI124" s="29">
        <v>5287.0</v>
      </c>
      <c r="CJ124" s="27" t="inlineStr">
        <is>
          <t xml:space="preserve">dez/25</t>
        </is>
      </c>
    </row>
    <row r="125">
      <c r="A125" s="28">
        <v>45978</v>
      </c>
      <c r="B125" s="29">
        <v>1194.85</v>
      </c>
      <c r="C125" s="29">
        <v>2989.02</v>
      </c>
      <c r="D125" s="29">
        <v>8.01</v>
      </c>
      <c r="E125" s="29">
        <v>8.81</v>
      </c>
      <c r="F125" s="29">
        <v>2207.42</v>
      </c>
      <c r="G125" s="29">
        <v>1346.38</v>
      </c>
      <c r="H125" s="29">
        <v>480.0</v>
      </c>
      <c r="I125" s="27" t="inlineStr">
        <is>
          <t xml:space="preserve">dez/25</t>
        </is>
      </c>
      <c r="J125" s="29">
        <v>156992.93</v>
      </c>
      <c r="K125" s="30">
        <v>5338.5</v>
      </c>
      <c r="L125" s="27" t="inlineStr">
        <is>
          <t xml:space="preserve">dez/25</t>
        </is>
      </c>
      <c r="M125" s="29">
        <v>316.5</v>
      </c>
      <c r="N125" s="27" t="inlineStr">
        <is>
          <t xml:space="preserve">dez/25</t>
        </is>
      </c>
      <c r="O125" s="29">
        <v>71.47</v>
      </c>
      <c r="P125" s="27" t="inlineStr">
        <is>
          <t xml:space="preserve">jan/26</t>
        </is>
      </c>
      <c r="Q125" s="29">
        <v>25.8</v>
      </c>
      <c r="R125" s="27" t="inlineStr">
        <is>
          <t xml:space="preserve">mai/26</t>
        </is>
      </c>
      <c r="S125" s="30">
        <v>11.5725</v>
      </c>
      <c r="T125" s="27" t="inlineStr">
        <is>
          <t xml:space="preserve">jan/26</t>
        </is>
      </c>
      <c r="U125" s="30">
        <v>4.3475</v>
      </c>
      <c r="V125" s="27" t="inlineStr">
        <is>
          <t xml:space="preserve">dez/25</t>
        </is>
      </c>
      <c r="W125" s="29">
        <v>330.8</v>
      </c>
      <c r="X125" s="27" t="inlineStr">
        <is>
          <t xml:space="preserve">dez/25</t>
        </is>
      </c>
      <c r="Y125" s="30">
        <v>0.5114</v>
      </c>
      <c r="Z125" s="27" t="inlineStr">
        <is>
          <t xml:space="preserve">dez/25</t>
        </is>
      </c>
      <c r="AA125" s="29">
        <v>344.69</v>
      </c>
      <c r="AB125" s="29">
        <v>106.25</v>
      </c>
      <c r="AC125" s="29">
        <v>320.27</v>
      </c>
      <c r="AD125" s="29">
        <v>318.87</v>
      </c>
      <c r="AE125" s="29">
        <v>311.32</v>
      </c>
      <c r="AF125" s="29">
        <v>305.65</v>
      </c>
      <c r="AG125" s="29">
        <v>316.51</v>
      </c>
      <c r="AH125" s="29">
        <v>302.85</v>
      </c>
      <c r="AI125" s="29">
        <v>308.28</v>
      </c>
      <c r="AJ125" s="29">
        <v>278.78</v>
      </c>
      <c r="AK125" s="29">
        <v>311.16</v>
      </c>
      <c r="AL125" s="29">
        <v>8.44</v>
      </c>
      <c r="AM125" s="29">
        <v>8.43</v>
      </c>
      <c r="AN125" s="29">
        <v>8.37</v>
      </c>
      <c r="AO125" s="29">
        <v>8.25</v>
      </c>
      <c r="AP125" s="29">
        <v>8.03</v>
      </c>
      <c r="AQ125" s="29">
        <v>129.15</v>
      </c>
      <c r="AR125" s="29">
        <v>140.75</v>
      </c>
      <c r="BH125" s="29">
        <v>1042.79</v>
      </c>
      <c r="BI125" s="29">
        <v>55.21</v>
      </c>
      <c r="BJ125" s="29">
        <v>270.0</v>
      </c>
      <c r="BK125" s="29">
        <v>251.2</v>
      </c>
      <c r="BL125" s="29">
        <v>227.65</v>
      </c>
      <c r="BM125" s="29">
        <v>234.89</v>
      </c>
      <c r="BN125" s="29">
        <v>189.81</v>
      </c>
      <c r="BO125" s="29">
        <v>138.93</v>
      </c>
      <c r="BQ125" s="29">
        <v>132.09</v>
      </c>
      <c r="BR125" s="29">
        <v>125.5</v>
      </c>
      <c r="BX125" s="29">
        <v>46.5</v>
      </c>
      <c r="BY125" s="29">
        <v>52.0</v>
      </c>
      <c r="BZ125" s="29">
        <v>43.67</v>
      </c>
      <c r="CA125" s="29">
        <v>44.4</v>
      </c>
      <c r="CD125" s="29">
        <v>39.23</v>
      </c>
      <c r="CE125" s="29">
        <v>57.03</v>
      </c>
      <c r="CI125" s="29">
        <v>5264.0</v>
      </c>
      <c r="CJ125" s="27" t="inlineStr">
        <is>
          <t xml:space="preserve">dez/25</t>
        </is>
      </c>
    </row>
    <row r="126">
      <c r="A126" s="28">
        <v>45979</v>
      </c>
      <c r="B126" s="29">
        <v>1197.06</v>
      </c>
      <c r="C126" s="29">
        <v>2997.01</v>
      </c>
      <c r="D126" s="29">
        <v>8.11</v>
      </c>
      <c r="E126" s="29">
        <v>8.81</v>
      </c>
      <c r="F126" s="29">
        <v>2231.54</v>
      </c>
      <c r="G126" s="29">
        <v>1383.49</v>
      </c>
      <c r="H126" s="29">
        <v>484.95</v>
      </c>
      <c r="I126" s="27" t="inlineStr">
        <is>
          <t xml:space="preserve">dez/25</t>
        </is>
      </c>
      <c r="J126" s="29">
        <v>156522.13</v>
      </c>
      <c r="K126" s="30">
        <v>5339.0</v>
      </c>
      <c r="L126" s="27" t="inlineStr">
        <is>
          <t xml:space="preserve">dez/25</t>
        </is>
      </c>
      <c r="M126" s="29">
        <v>315.75</v>
      </c>
      <c r="N126" s="27" t="inlineStr">
        <is>
          <t xml:space="preserve">dez/25</t>
        </is>
      </c>
      <c r="O126" s="29">
        <v>71.3</v>
      </c>
      <c r="P126" s="27" t="inlineStr">
        <is>
          <t xml:space="preserve">jan/26</t>
        </is>
      </c>
      <c r="Q126" s="29">
        <v>25.7</v>
      </c>
      <c r="R126" s="27" t="inlineStr">
        <is>
          <t xml:space="preserve">mai/26</t>
        </is>
      </c>
      <c r="S126" s="30">
        <v>11.535</v>
      </c>
      <c r="T126" s="27" t="inlineStr">
        <is>
          <t xml:space="preserve">jan/26</t>
        </is>
      </c>
      <c r="U126" s="30">
        <v>4.3675</v>
      </c>
      <c r="V126" s="27" t="inlineStr">
        <is>
          <t xml:space="preserve">dez/25</t>
        </is>
      </c>
      <c r="W126" s="29">
        <v>327.0</v>
      </c>
      <c r="X126" s="27" t="inlineStr">
        <is>
          <t xml:space="preserve">dez/25</t>
        </is>
      </c>
      <c r="Y126" s="30">
        <v>0.5217</v>
      </c>
      <c r="Z126" s="27" t="inlineStr">
        <is>
          <t xml:space="preserve">dez/25</t>
        </is>
      </c>
      <c r="AA126" s="29">
        <v>344.67</v>
      </c>
      <c r="AB126" s="29">
        <v>107.16</v>
      </c>
      <c r="AC126" s="29">
        <v>320.57</v>
      </c>
      <c r="AD126" s="29">
        <v>315.99</v>
      </c>
      <c r="AE126" s="29">
        <v>313.11</v>
      </c>
      <c r="AF126" s="29">
        <v>302.5</v>
      </c>
      <c r="AG126" s="29">
        <v>315.78</v>
      </c>
      <c r="AH126" s="29">
        <v>301.51</v>
      </c>
      <c r="AI126" s="29">
        <v>306.4</v>
      </c>
      <c r="AJ126" s="29">
        <v>278.74</v>
      </c>
      <c r="AK126" s="29">
        <v>311.63</v>
      </c>
      <c r="AL126" s="29">
        <v>8.44</v>
      </c>
      <c r="AM126" s="29">
        <v>8.45</v>
      </c>
      <c r="AN126" s="29">
        <v>8.37</v>
      </c>
      <c r="AO126" s="29">
        <v>8.25</v>
      </c>
      <c r="AP126" s="29">
        <v>8.12</v>
      </c>
      <c r="AQ126" s="29">
        <v>129.2</v>
      </c>
      <c r="AR126" s="29">
        <v>140.75</v>
      </c>
      <c r="BH126" s="29">
        <v>1044.16</v>
      </c>
      <c r="BI126" s="29">
        <v>54.41</v>
      </c>
      <c r="BJ126" s="29">
        <v>268.94</v>
      </c>
      <c r="BK126" s="29">
        <v>250.32</v>
      </c>
      <c r="BL126" s="29">
        <v>230.58</v>
      </c>
      <c r="BM126" s="29">
        <v>234.89</v>
      </c>
      <c r="BN126" s="29">
        <v>191.33</v>
      </c>
      <c r="BO126" s="29">
        <v>135.87</v>
      </c>
      <c r="BQ126" s="29">
        <v>132.25</v>
      </c>
      <c r="BX126" s="29">
        <v>47.0</v>
      </c>
      <c r="BY126" s="29">
        <v>52.0</v>
      </c>
      <c r="BZ126" s="29">
        <v>43.67</v>
      </c>
      <c r="CA126" s="29">
        <v>44.4</v>
      </c>
      <c r="CD126" s="29">
        <v>39.23</v>
      </c>
      <c r="CE126" s="29">
        <v>56.54</v>
      </c>
      <c r="CI126" s="29">
        <v>5262.0</v>
      </c>
      <c r="CJ126" s="27" t="inlineStr">
        <is>
          <t xml:space="preserve">dez/25</t>
        </is>
      </c>
    </row>
    <row r="127">
      <c r="A127" s="28">
        <v>45980</v>
      </c>
      <c r="B127" s="29">
        <v>1199.57</v>
      </c>
      <c r="C127" s="29">
        <v>2997.47</v>
      </c>
      <c r="D127" s="29">
        <v>8.11</v>
      </c>
      <c r="E127" s="29">
        <v>8.81</v>
      </c>
      <c r="F127" s="29">
        <v>2232.1</v>
      </c>
      <c r="G127" s="29">
        <v>1389.49</v>
      </c>
      <c r="H127" s="29">
        <v>477.0</v>
      </c>
      <c r="I127" s="27" t="inlineStr">
        <is>
          <t xml:space="preserve">dez/25</t>
        </is>
      </c>
      <c r="J127" s="29">
        <v>155380.66</v>
      </c>
      <c r="K127" s="30">
        <v>5339.0</v>
      </c>
      <c r="L127" s="27" t="inlineStr">
        <is>
          <t xml:space="preserve">dez/25</t>
        </is>
      </c>
      <c r="M127" s="29">
        <v>314.3</v>
      </c>
      <c r="N127" s="27" t="inlineStr">
        <is>
          <t xml:space="preserve">dez/25</t>
        </is>
      </c>
      <c r="O127" s="29">
        <v>70.9</v>
      </c>
      <c r="P127" s="27" t="inlineStr">
        <is>
          <t xml:space="preserve">jan/26</t>
        </is>
      </c>
      <c r="Q127" s="29">
        <v>25.42</v>
      </c>
      <c r="R127" s="27" t="inlineStr">
        <is>
          <t xml:space="preserve">mai/26</t>
        </is>
      </c>
      <c r="S127" s="30">
        <v>11.3625</v>
      </c>
      <c r="T127" s="27" t="inlineStr">
        <is>
          <t xml:space="preserve">jan/26</t>
        </is>
      </c>
      <c r="U127" s="30">
        <v>4.2975</v>
      </c>
      <c r="V127" s="27" t="inlineStr">
        <is>
          <t xml:space="preserve">dez/25</t>
        </is>
      </c>
      <c r="W127" s="29">
        <v>318.9</v>
      </c>
      <c r="X127" s="27" t="inlineStr">
        <is>
          <t xml:space="preserve">dez/25</t>
        </is>
      </c>
      <c r="Y127" s="30">
        <v>0.511</v>
      </c>
      <c r="Z127" s="27" t="inlineStr">
        <is>
          <t xml:space="preserve">dez/25</t>
        </is>
      </c>
      <c r="AA127" s="29">
        <v>344.94</v>
      </c>
      <c r="AB127" s="29">
        <v>106.81</v>
      </c>
      <c r="AC127" s="29">
        <v>319.71</v>
      </c>
      <c r="AD127" s="29">
        <v>315.36</v>
      </c>
      <c r="AE127" s="29">
        <v>314.35</v>
      </c>
      <c r="AF127" s="29">
        <v>300.83</v>
      </c>
      <c r="AG127" s="29">
        <v>315.52</v>
      </c>
      <c r="AH127" s="29">
        <v>302.6</v>
      </c>
      <c r="AI127" s="29">
        <v>302.78</v>
      </c>
      <c r="AJ127" s="29">
        <v>278.23</v>
      </c>
      <c r="AK127" s="29">
        <v>310.27</v>
      </c>
      <c r="AL127" s="29">
        <v>8.45</v>
      </c>
      <c r="AM127" s="29">
        <v>8.43</v>
      </c>
      <c r="AN127" s="29">
        <v>8.37</v>
      </c>
      <c r="AO127" s="29">
        <v>8.28</v>
      </c>
      <c r="AP127" s="29">
        <v>8.12</v>
      </c>
      <c r="AQ127" s="29">
        <v>123.73</v>
      </c>
      <c r="AR127" s="29">
        <v>138.17</v>
      </c>
      <c r="BH127" s="29">
        <v>1044.16</v>
      </c>
      <c r="BI127" s="29">
        <v>54.18</v>
      </c>
      <c r="BK127" s="29">
        <v>247.96</v>
      </c>
      <c r="BL127" s="29">
        <v>223.17</v>
      </c>
      <c r="BM127" s="29">
        <v>233.09</v>
      </c>
      <c r="BN127" s="29">
        <v>190.11</v>
      </c>
      <c r="BO127" s="29">
        <v>134.87</v>
      </c>
      <c r="BQ127" s="29">
        <v>132.48</v>
      </c>
      <c r="BX127" s="29">
        <v>47.0</v>
      </c>
      <c r="BY127" s="29">
        <v>52.0</v>
      </c>
      <c r="BZ127" s="29">
        <v>43.67</v>
      </c>
      <c r="CA127" s="29">
        <v>44.4</v>
      </c>
      <c r="CD127" s="29">
        <v>39.17</v>
      </c>
      <c r="CE127" s="29">
        <v>56.14</v>
      </c>
      <c r="CI127" s="29">
        <v>4943.0</v>
      </c>
      <c r="CJ127" s="27" t="inlineStr">
        <is>
          <t xml:space="preserve">dez/25</t>
        </is>
      </c>
    </row>
    <row r="128">
      <c r="A128" s="28">
        <v>45981</v>
      </c>
      <c r="S128" s="30">
        <v>11.225</v>
      </c>
      <c r="T128" s="27" t="inlineStr">
        <is>
          <t xml:space="preserve">jan/26</t>
        </is>
      </c>
      <c r="U128" s="30">
        <v>4.265</v>
      </c>
      <c r="V128" s="27" t="inlineStr">
        <is>
          <t xml:space="preserve">dez/25</t>
        </is>
      </c>
      <c r="W128" s="29">
        <v>314.0</v>
      </c>
      <c r="X128" s="27" t="inlineStr">
        <is>
          <t xml:space="preserve">dez/25</t>
        </is>
      </c>
      <c r="Y128" s="30">
        <v>0.5066</v>
      </c>
      <c r="Z128" s="27" t="inlineStr">
        <is>
          <t xml:space="preserve">dez/25</t>
        </is>
      </c>
      <c r="CI128" s="29">
        <v>5108.0</v>
      </c>
      <c r="CJ128" s="27" t="inlineStr">
        <is>
          <t xml:space="preserve">dez/25</t>
        </is>
      </c>
    </row>
    <row r="129">
      <c r="A129" s="28">
        <v>45982</v>
      </c>
      <c r="B129" s="29">
        <v>1194.18</v>
      </c>
      <c r="C129" s="29">
        <v>3010.99</v>
      </c>
      <c r="D129" s="29">
        <v>8.11</v>
      </c>
      <c r="E129" s="29">
        <v>8.81</v>
      </c>
      <c r="F129" s="29">
        <v>2181.7</v>
      </c>
      <c r="G129" s="29">
        <v>1347.28</v>
      </c>
      <c r="H129" s="29">
        <v>462.45</v>
      </c>
      <c r="I129" s="27" t="inlineStr">
        <is>
          <t xml:space="preserve">dez/25</t>
        </is>
      </c>
      <c r="J129" s="29">
        <v>154770.1</v>
      </c>
      <c r="K129" s="30">
        <v>5416.5</v>
      </c>
      <c r="L129" s="27" t="inlineStr">
        <is>
          <t xml:space="preserve">dez/25</t>
        </is>
      </c>
      <c r="M129" s="29">
        <v>322.5</v>
      </c>
      <c r="N129" s="27" t="inlineStr">
        <is>
          <t xml:space="preserve">dez/25</t>
        </is>
      </c>
      <c r="O129" s="29">
        <v>71.2</v>
      </c>
      <c r="P129" s="27" t="inlineStr">
        <is>
          <t xml:space="preserve">jan/26</t>
        </is>
      </c>
      <c r="Q129" s="29">
        <v>25.2</v>
      </c>
      <c r="R129" s="27" t="inlineStr">
        <is>
          <t xml:space="preserve">mai/26</t>
        </is>
      </c>
      <c r="S129" s="30">
        <v>11.25</v>
      </c>
      <c r="T129" s="27" t="inlineStr">
        <is>
          <t xml:space="preserve">jan/26</t>
        </is>
      </c>
      <c r="U129" s="30">
        <v>4.255</v>
      </c>
      <c r="V129" s="27" t="inlineStr">
        <is>
          <t xml:space="preserve">dez/25</t>
        </is>
      </c>
      <c r="W129" s="29">
        <v>315.1</v>
      </c>
      <c r="X129" s="27" t="inlineStr">
        <is>
          <t xml:space="preserve">dez/25</t>
        </is>
      </c>
      <c r="Y129" s="30">
        <v>0.5026</v>
      </c>
      <c r="Z129" s="27" t="inlineStr">
        <is>
          <t xml:space="preserve">dez/25</t>
        </is>
      </c>
      <c r="AA129" s="29">
        <v>345.6</v>
      </c>
      <c r="AB129" s="29">
        <v>106.5</v>
      </c>
      <c r="AC129" s="29">
        <v>320.31</v>
      </c>
      <c r="AD129" s="29">
        <v>315.25</v>
      </c>
      <c r="AE129" s="29">
        <v>313.81</v>
      </c>
      <c r="AF129" s="29">
        <v>309.38</v>
      </c>
      <c r="AG129" s="29">
        <v>315.05</v>
      </c>
      <c r="AH129" s="29">
        <v>302.83</v>
      </c>
      <c r="AI129" s="29">
        <v>303.15</v>
      </c>
      <c r="AJ129" s="29">
        <v>278.38</v>
      </c>
      <c r="AK129" s="29">
        <v>309.06</v>
      </c>
      <c r="AL129" s="29">
        <v>8.45</v>
      </c>
      <c r="AM129" s="29">
        <v>8.43</v>
      </c>
      <c r="AN129" s="29">
        <v>8.37</v>
      </c>
      <c r="AO129" s="29">
        <v>8.28</v>
      </c>
      <c r="AP129" s="29">
        <v>8.12</v>
      </c>
      <c r="AQ129" s="29">
        <v>123.86</v>
      </c>
      <c r="AR129" s="29">
        <v>137.06</v>
      </c>
      <c r="BC129" s="29">
        <v>9.08</v>
      </c>
      <c r="BD129" s="29">
        <v>9.1</v>
      </c>
      <c r="BE129" s="29">
        <v>10.01</v>
      </c>
      <c r="BF129" s="29">
        <v>8.8</v>
      </c>
      <c r="BG129" s="29">
        <v>9.34</v>
      </c>
      <c r="BH129" s="29">
        <v>1042.42</v>
      </c>
      <c r="BI129" s="29">
        <v>53.79</v>
      </c>
      <c r="BK129" s="29">
        <v>245.12</v>
      </c>
      <c r="BL129" s="29">
        <v>223.17</v>
      </c>
      <c r="BM129" s="29">
        <v>233.09</v>
      </c>
      <c r="BN129" s="29">
        <v>191.17</v>
      </c>
      <c r="BO129" s="29">
        <v>136.54</v>
      </c>
      <c r="BQ129" s="29">
        <v>132.4</v>
      </c>
      <c r="BS129" s="30">
        <v>2.8554</v>
      </c>
      <c r="BT129" s="30">
        <v>3.2434</v>
      </c>
      <c r="BU129" s="29">
        <v>590.13</v>
      </c>
      <c r="BV129" s="29">
        <v>487.42</v>
      </c>
      <c r="BW129" s="29">
        <v>537.15</v>
      </c>
      <c r="BX129" s="29">
        <v>47.0</v>
      </c>
      <c r="BY129" s="29">
        <v>52.0</v>
      </c>
      <c r="BZ129" s="29">
        <v>43.67</v>
      </c>
      <c r="CD129" s="29">
        <v>39.0</v>
      </c>
      <c r="CE129" s="29">
        <v>55.42</v>
      </c>
      <c r="CI129" s="29">
        <v>5084.0</v>
      </c>
      <c r="CJ129" s="27" t="inlineStr">
        <is>
          <t xml:space="preserve">dez/25</t>
        </is>
      </c>
    </row>
    <row r="130">
      <c r="A130" s="28">
        <v>45985</v>
      </c>
      <c r="B130" s="29">
        <v>1196.2</v>
      </c>
      <c r="C130" s="29">
        <v>3015.87</v>
      </c>
      <c r="D130" s="29">
        <v>8.11</v>
      </c>
      <c r="E130" s="29">
        <v>8.82</v>
      </c>
      <c r="F130" s="29">
        <v>2198.88</v>
      </c>
      <c r="G130" s="29">
        <v>1373.5</v>
      </c>
      <c r="H130" s="29">
        <v>460.35</v>
      </c>
      <c r="I130" s="27" t="inlineStr">
        <is>
          <t xml:space="preserve">dez/25</t>
        </is>
      </c>
      <c r="J130" s="29">
        <v>155277.56</v>
      </c>
      <c r="K130" s="30">
        <v>5394.0</v>
      </c>
      <c r="L130" s="27" t="inlineStr">
        <is>
          <t xml:space="preserve">dez/25</t>
        </is>
      </c>
      <c r="M130" s="29">
        <v>317.65</v>
      </c>
      <c r="N130" s="27" t="inlineStr">
        <is>
          <t xml:space="preserve">dez/25</t>
        </is>
      </c>
      <c r="O130" s="29">
        <v>71.21</v>
      </c>
      <c r="P130" s="27" t="inlineStr">
        <is>
          <t xml:space="preserve">jan/26</t>
        </is>
      </c>
      <c r="Q130" s="29">
        <v>25.2</v>
      </c>
      <c r="R130" s="27" t="inlineStr">
        <is>
          <t xml:space="preserve">mai/26</t>
        </is>
      </c>
      <c r="S130" s="30">
        <v>11.2325</v>
      </c>
      <c r="T130" s="27" t="inlineStr">
        <is>
          <t xml:space="preserve">jan/26</t>
        </is>
      </c>
      <c r="U130" s="30">
        <v>4.2375</v>
      </c>
      <c r="V130" s="27" t="inlineStr">
        <is>
          <t xml:space="preserve">dez/25</t>
        </is>
      </c>
      <c r="W130" s="29">
        <v>314.2</v>
      </c>
      <c r="X130" s="27" t="inlineStr">
        <is>
          <t xml:space="preserve">dez/25</t>
        </is>
      </c>
      <c r="Y130" s="30">
        <v>0.5018</v>
      </c>
      <c r="Z130" s="27" t="inlineStr">
        <is>
          <t xml:space="preserve">dez/25</t>
        </is>
      </c>
      <c r="AA130" s="29">
        <v>345.15</v>
      </c>
      <c r="AB130" s="29">
        <v>106.12</v>
      </c>
      <c r="AC130" s="29">
        <v>319.45</v>
      </c>
      <c r="AD130" s="29">
        <v>315.68</v>
      </c>
      <c r="AE130" s="29">
        <v>313.19</v>
      </c>
      <c r="AF130" s="29">
        <v>306.61</v>
      </c>
      <c r="AG130" s="29">
        <v>314.04</v>
      </c>
      <c r="AH130" s="29">
        <v>300.74</v>
      </c>
      <c r="AI130" s="29">
        <v>301.82</v>
      </c>
      <c r="AJ130" s="29">
        <v>278.99</v>
      </c>
      <c r="AK130" s="29">
        <v>304.14</v>
      </c>
      <c r="AL130" s="29">
        <v>8.46</v>
      </c>
      <c r="AM130" s="29">
        <v>8.42</v>
      </c>
      <c r="AN130" s="29">
        <v>8.36</v>
      </c>
      <c r="AO130" s="29">
        <v>8.29</v>
      </c>
      <c r="AP130" s="29">
        <v>8.12</v>
      </c>
      <c r="AQ130" s="29">
        <v>123.86</v>
      </c>
      <c r="AR130" s="29">
        <v>137.66</v>
      </c>
      <c r="BH130" s="29">
        <v>1039.3</v>
      </c>
      <c r="BI130" s="29">
        <v>53.72</v>
      </c>
      <c r="BK130" s="29">
        <v>239.3</v>
      </c>
      <c r="BL130" s="29">
        <v>223.17</v>
      </c>
      <c r="BM130" s="29">
        <v>239.16</v>
      </c>
      <c r="BN130" s="29">
        <v>191.4</v>
      </c>
      <c r="BO130" s="29">
        <v>136.26</v>
      </c>
      <c r="BQ130" s="29">
        <v>132.65</v>
      </c>
      <c r="BX130" s="29">
        <v>47.0</v>
      </c>
      <c r="BY130" s="29">
        <v>52.0</v>
      </c>
      <c r="BZ130" s="29">
        <v>43.67</v>
      </c>
      <c r="CA130" s="29">
        <v>44.4</v>
      </c>
      <c r="CD130" s="29">
        <v>38.5</v>
      </c>
      <c r="CE130" s="29">
        <v>54.82</v>
      </c>
      <c r="CI130" s="29">
        <v>5090.0</v>
      </c>
      <c r="CJ130" s="27" t="inlineStr">
        <is>
          <t xml:space="preserve">dez/25</t>
        </is>
      </c>
    </row>
    <row r="131">
      <c r="A131" s="28">
        <v>45986</v>
      </c>
      <c r="B131" s="29">
        <v>1199.56</v>
      </c>
      <c r="C131" s="29">
        <v>3021.75</v>
      </c>
      <c r="D131" s="29">
        <v>8.11</v>
      </c>
      <c r="E131" s="29">
        <v>8.72</v>
      </c>
      <c r="F131" s="29">
        <v>2250.1</v>
      </c>
      <c r="G131" s="29">
        <v>1397.67</v>
      </c>
      <c r="H131" s="29">
        <v>469.25</v>
      </c>
      <c r="I131" s="27" t="inlineStr">
        <is>
          <t xml:space="preserve">dez/25</t>
        </is>
      </c>
      <c r="J131" s="29">
        <v>155910.18</v>
      </c>
      <c r="K131" s="30">
        <v>5384.0</v>
      </c>
      <c r="L131" s="27" t="inlineStr">
        <is>
          <t xml:space="preserve">dez/25</t>
        </is>
      </c>
      <c r="M131" s="29">
        <v>319.7</v>
      </c>
      <c r="N131" s="27" t="inlineStr">
        <is>
          <t xml:space="preserve">dez/25</t>
        </is>
      </c>
      <c r="O131" s="29">
        <v>71.96</v>
      </c>
      <c r="P131" s="27" t="inlineStr">
        <is>
          <t xml:space="preserve">jan/26</t>
        </is>
      </c>
      <c r="Q131" s="29">
        <v>25.18</v>
      </c>
      <c r="R131" s="27" t="inlineStr">
        <is>
          <t xml:space="preserve">mai/26</t>
        </is>
      </c>
      <c r="S131" s="30">
        <v>11.2475</v>
      </c>
      <c r="T131" s="27" t="inlineStr">
        <is>
          <t xml:space="preserve">jan/26</t>
        </is>
      </c>
      <c r="U131" s="30">
        <v>4.235</v>
      </c>
      <c r="V131" s="27" t="inlineStr">
        <is>
          <t xml:space="preserve">dez/25</t>
        </is>
      </c>
      <c r="W131" s="29">
        <v>317.0</v>
      </c>
      <c r="X131" s="27" t="inlineStr">
        <is>
          <t xml:space="preserve">dez/25</t>
        </is>
      </c>
      <c r="Y131" s="30">
        <v>0.503</v>
      </c>
      <c r="Z131" s="27" t="inlineStr">
        <is>
          <t xml:space="preserve">dez/25</t>
        </is>
      </c>
      <c r="AA131" s="29">
        <v>347.12</v>
      </c>
      <c r="AB131" s="29">
        <v>105.52</v>
      </c>
      <c r="AC131" s="29">
        <v>320.7</v>
      </c>
      <c r="AD131" s="29">
        <v>316.14</v>
      </c>
      <c r="AE131" s="29">
        <v>314.86</v>
      </c>
      <c r="AF131" s="29">
        <v>297.56</v>
      </c>
      <c r="AG131" s="29">
        <v>313.91</v>
      </c>
      <c r="AH131" s="29">
        <v>296.49</v>
      </c>
      <c r="AI131" s="29">
        <v>303.34</v>
      </c>
      <c r="AJ131" s="29">
        <v>279.21</v>
      </c>
      <c r="AK131" s="29">
        <v>306.4</v>
      </c>
      <c r="AL131" s="29">
        <v>8.46</v>
      </c>
      <c r="AM131" s="29">
        <v>8.43</v>
      </c>
      <c r="AN131" s="29">
        <v>8.36</v>
      </c>
      <c r="AO131" s="29">
        <v>8.29</v>
      </c>
      <c r="AP131" s="29">
        <v>8.12</v>
      </c>
      <c r="AQ131" s="29">
        <v>123.86</v>
      </c>
      <c r="AR131" s="29">
        <v>137.66</v>
      </c>
      <c r="BH131" s="29">
        <v>1037.08</v>
      </c>
      <c r="BI131" s="29">
        <v>53.78</v>
      </c>
      <c r="BJ131" s="29">
        <v>246.5</v>
      </c>
      <c r="BK131" s="29">
        <v>237.1</v>
      </c>
      <c r="BL131" s="29">
        <v>220.37</v>
      </c>
      <c r="BM131" s="29">
        <v>232.5</v>
      </c>
      <c r="BO131" s="29">
        <v>135.55</v>
      </c>
      <c r="BQ131" s="29">
        <v>134.25</v>
      </c>
      <c r="BX131" s="29">
        <v>47.0</v>
      </c>
      <c r="BY131" s="29">
        <v>52.0</v>
      </c>
      <c r="BZ131" s="29">
        <v>43.67</v>
      </c>
      <c r="CA131" s="29">
        <v>44.4</v>
      </c>
      <c r="CD131" s="29">
        <v>38.5</v>
      </c>
      <c r="CE131" s="29">
        <v>53.75</v>
      </c>
      <c r="CI131" s="29">
        <v>4999.0</v>
      </c>
      <c r="CJ131" s="27" t="inlineStr">
        <is>
          <t xml:space="preserve">dez/25</t>
        </is>
      </c>
    </row>
    <row r="132">
      <c r="A132" s="28">
        <v>45987</v>
      </c>
      <c r="B132" s="29">
        <v>1200.39</v>
      </c>
      <c r="C132" s="29">
        <v>3032.6</v>
      </c>
      <c r="D132" s="29">
        <v>8.11</v>
      </c>
      <c r="E132" s="29">
        <v>8.78</v>
      </c>
      <c r="F132" s="29">
        <v>2239.07</v>
      </c>
      <c r="G132" s="29">
        <v>1396.99</v>
      </c>
      <c r="J132" s="29">
        <v>158554.94</v>
      </c>
      <c r="K132" s="30">
        <v>5333.5</v>
      </c>
      <c r="L132" s="27" t="inlineStr">
        <is>
          <t xml:space="preserve">dez/25</t>
        </is>
      </c>
      <c r="M132" s="29">
        <v>320.25</v>
      </c>
      <c r="N132" s="27" t="inlineStr">
        <is>
          <t xml:space="preserve">dez/25</t>
        </is>
      </c>
      <c r="O132" s="29">
        <v>73.28</v>
      </c>
      <c r="P132" s="27" t="inlineStr">
        <is>
          <t xml:space="preserve">jan/26</t>
        </is>
      </c>
      <c r="Q132" s="29">
        <v>25.38</v>
      </c>
      <c r="R132" s="27" t="inlineStr">
        <is>
          <t xml:space="preserve">mai/26</t>
        </is>
      </c>
      <c r="S132" s="30">
        <v>11.315</v>
      </c>
      <c r="T132" s="27" t="inlineStr">
        <is>
          <t xml:space="preserve">jan/26</t>
        </is>
      </c>
      <c r="U132" s="30">
        <v>4.3175</v>
      </c>
      <c r="V132" s="27" t="inlineStr">
        <is>
          <t xml:space="preserve">dez/25</t>
        </is>
      </c>
      <c r="W132" s="29">
        <v>317.1</v>
      </c>
      <c r="X132" s="27" t="inlineStr">
        <is>
          <t xml:space="preserve">dez/25</t>
        </is>
      </c>
      <c r="Y132" s="30">
        <v>0.5087</v>
      </c>
      <c r="Z132" s="27" t="inlineStr">
        <is>
          <t xml:space="preserve">dez/25</t>
        </is>
      </c>
      <c r="AA132" s="29">
        <v>344.99</v>
      </c>
      <c r="AB132" s="29">
        <v>106.98</v>
      </c>
      <c r="AC132" s="29">
        <v>321.38</v>
      </c>
      <c r="AD132" s="29">
        <v>315.47</v>
      </c>
      <c r="AE132" s="29">
        <v>315.44</v>
      </c>
      <c r="AF132" s="29">
        <v>298.27</v>
      </c>
      <c r="AG132" s="29">
        <v>313.59</v>
      </c>
      <c r="AH132" s="29">
        <v>296.64</v>
      </c>
      <c r="AI132" s="29">
        <v>302.98</v>
      </c>
      <c r="AJ132" s="29">
        <v>279.21</v>
      </c>
      <c r="AK132" s="29">
        <v>313.43</v>
      </c>
      <c r="AL132" s="29">
        <v>8.46</v>
      </c>
      <c r="AM132" s="29">
        <v>8.42</v>
      </c>
      <c r="AN132" s="29">
        <v>8.38</v>
      </c>
      <c r="AO132" s="29">
        <v>8.28</v>
      </c>
      <c r="AP132" s="29">
        <v>8.12</v>
      </c>
      <c r="AQ132" s="29">
        <v>123.86</v>
      </c>
      <c r="AR132" s="29">
        <v>137.64</v>
      </c>
      <c r="BH132" s="29">
        <v>1029.26</v>
      </c>
      <c r="BI132" s="29">
        <v>53.69</v>
      </c>
      <c r="BJ132" s="29">
        <v>247.02</v>
      </c>
      <c r="BK132" s="29">
        <v>237.3</v>
      </c>
      <c r="BL132" s="29">
        <v>214.81</v>
      </c>
      <c r="BM132" s="29">
        <v>231.88</v>
      </c>
      <c r="BN132" s="29">
        <v>194.17</v>
      </c>
      <c r="BO132" s="29">
        <v>136.15</v>
      </c>
      <c r="BQ132" s="29">
        <v>132.27</v>
      </c>
      <c r="BX132" s="29">
        <v>47.0</v>
      </c>
      <c r="BY132" s="29">
        <v>52.0</v>
      </c>
      <c r="BZ132" s="29">
        <v>44.0</v>
      </c>
      <c r="CA132" s="29">
        <v>44.8</v>
      </c>
      <c r="CD132" s="29">
        <v>38.39</v>
      </c>
      <c r="CE132" s="29">
        <v>52.33</v>
      </c>
      <c r="CI132" s="29">
        <v>4993.0</v>
      </c>
      <c r="CJ132" s="27" t="inlineStr">
        <is>
          <t xml:space="preserve">dez/25</t>
        </is>
      </c>
    </row>
    <row r="133">
      <c r="A133" s="28">
        <v>45988</v>
      </c>
      <c r="B133" s="29">
        <v>1197.89</v>
      </c>
      <c r="C133" s="29">
        <v>3031.13</v>
      </c>
      <c r="D133" s="29">
        <v>8.11</v>
      </c>
      <c r="E133" s="29">
        <v>8.78</v>
      </c>
      <c r="F133" s="29">
        <v>2241.53</v>
      </c>
      <c r="G133" s="29">
        <v>1397.26</v>
      </c>
      <c r="H133" s="29">
        <v>470.5</v>
      </c>
      <c r="I133" s="27" t="inlineStr">
        <is>
          <t xml:space="preserve">dez/25</t>
        </is>
      </c>
      <c r="J133" s="29">
        <v>158359.76</v>
      </c>
      <c r="M133" s="29">
        <v>320.25</v>
      </c>
      <c r="N133" s="27" t="inlineStr">
        <is>
          <t xml:space="preserve">dez/25</t>
        </is>
      </c>
      <c r="O133" s="29">
        <v>73.49</v>
      </c>
      <c r="P133" s="27" t="inlineStr">
        <is>
          <t xml:space="preserve">jan/26</t>
        </is>
      </c>
      <c r="AA133" s="29">
        <v>348.18</v>
      </c>
      <c r="AB133" s="29">
        <v>107.45</v>
      </c>
      <c r="AC133" s="29">
        <v>320.61</v>
      </c>
      <c r="AD133" s="29">
        <v>314.68</v>
      </c>
      <c r="AE133" s="29">
        <v>314.68</v>
      </c>
      <c r="AF133" s="29">
        <v>299.29</v>
      </c>
      <c r="AG133" s="29">
        <v>313.01</v>
      </c>
      <c r="AH133" s="29">
        <v>296.92</v>
      </c>
      <c r="AI133" s="29">
        <v>299.58</v>
      </c>
      <c r="AJ133" s="29">
        <v>279.17</v>
      </c>
      <c r="AK133" s="29">
        <v>319.6</v>
      </c>
      <c r="AL133" s="29">
        <v>8.46</v>
      </c>
      <c r="AM133" s="29">
        <v>8.41</v>
      </c>
      <c r="AN133" s="29">
        <v>8.38</v>
      </c>
      <c r="AO133" s="29">
        <v>8.28</v>
      </c>
      <c r="AP133" s="29">
        <v>8.12</v>
      </c>
      <c r="AQ133" s="29">
        <v>123.48</v>
      </c>
      <c r="AR133" s="29">
        <v>137.59</v>
      </c>
      <c r="BH133" s="29">
        <v>1029.26</v>
      </c>
      <c r="BI133" s="29">
        <v>53.3</v>
      </c>
      <c r="BK133" s="29">
        <v>237.91</v>
      </c>
      <c r="BL133" s="29">
        <v>216.81</v>
      </c>
      <c r="BM133" s="29">
        <v>231.88</v>
      </c>
      <c r="BN133" s="29">
        <v>195.0</v>
      </c>
      <c r="BO133" s="29">
        <v>131.61</v>
      </c>
      <c r="BP133" s="29">
        <v>147.13</v>
      </c>
      <c r="BQ133" s="29">
        <v>131.57</v>
      </c>
      <c r="BR133" s="29">
        <v>122.4</v>
      </c>
      <c r="BY133" s="29">
        <v>52.0</v>
      </c>
      <c r="BZ133" s="29">
        <v>44.0</v>
      </c>
      <c r="CA133" s="29">
        <v>44.8</v>
      </c>
      <c r="CD133" s="29">
        <v>38.39</v>
      </c>
      <c r="CE133" s="29">
        <v>52.31</v>
      </c>
    </row>
    <row r="134">
      <c r="A134" s="28">
        <v>45989</v>
      </c>
      <c r="B134" s="29">
        <v>1194.15</v>
      </c>
      <c r="C134" s="29">
        <v>3031.19</v>
      </c>
      <c r="D134" s="29">
        <v>8.11</v>
      </c>
      <c r="E134" s="29">
        <v>8.84</v>
      </c>
      <c r="F134" s="29">
        <v>2252.95</v>
      </c>
      <c r="G134" s="29">
        <v>1404.48</v>
      </c>
      <c r="H134" s="29">
        <v>469.0</v>
      </c>
      <c r="I134" s="27" t="inlineStr">
        <is>
          <t xml:space="preserve">dez/25</t>
        </is>
      </c>
      <c r="J134" s="29">
        <v>159072.13</v>
      </c>
      <c r="K134" s="30">
        <v>5333.5</v>
      </c>
      <c r="L134" s="27" t="inlineStr">
        <is>
          <t xml:space="preserve">dez/25</t>
        </is>
      </c>
      <c r="M134" s="29">
        <v>319.5</v>
      </c>
      <c r="N134" s="27" t="inlineStr">
        <is>
          <t xml:space="preserve">dez/25</t>
        </is>
      </c>
      <c r="O134" s="29">
        <v>73.21</v>
      </c>
      <c r="P134" s="27" t="inlineStr">
        <is>
          <t xml:space="preserve">jan/26</t>
        </is>
      </c>
      <c r="Q134" s="29">
        <v>25.47</v>
      </c>
      <c r="R134" s="27" t="inlineStr">
        <is>
          <t xml:space="preserve">mai/26</t>
        </is>
      </c>
      <c r="S134" s="30">
        <v>11.3775</v>
      </c>
      <c r="T134" s="27" t="inlineStr">
        <is>
          <t xml:space="preserve">jan/26</t>
        </is>
      </c>
      <c r="U134" s="30">
        <v>4.355</v>
      </c>
      <c r="V134" s="27" t="inlineStr">
        <is>
          <t xml:space="preserve">dez/25</t>
        </is>
      </c>
      <c r="W134" s="29">
        <v>314.4</v>
      </c>
      <c r="X134" s="27" t="inlineStr">
        <is>
          <t xml:space="preserve">dez/25</t>
        </is>
      </c>
      <c r="Y134" s="30">
        <v>0.5176</v>
      </c>
      <c r="Z134" s="27" t="inlineStr">
        <is>
          <t xml:space="preserve">dez/25</t>
        </is>
      </c>
      <c r="AA134" s="29">
        <v>347.79</v>
      </c>
      <c r="AB134" s="29">
        <v>108.5</v>
      </c>
      <c r="AC134" s="29">
        <v>321.32</v>
      </c>
      <c r="AD134" s="29">
        <v>314.73</v>
      </c>
      <c r="AE134" s="29">
        <v>314.71</v>
      </c>
      <c r="AF134" s="29">
        <v>299.72</v>
      </c>
      <c r="AG134" s="29">
        <v>313.06</v>
      </c>
      <c r="AH134" s="29">
        <v>296.98</v>
      </c>
      <c r="AI134" s="29">
        <v>298.45</v>
      </c>
      <c r="AJ134" s="29">
        <v>281.32</v>
      </c>
      <c r="AK134" s="29">
        <v>319.48</v>
      </c>
      <c r="AL134" s="29">
        <v>8.46</v>
      </c>
      <c r="AM134" s="29">
        <v>8.41</v>
      </c>
      <c r="AN134" s="29">
        <v>8.38</v>
      </c>
      <c r="AO134" s="29">
        <v>8.27</v>
      </c>
      <c r="AP134" s="29">
        <v>8.12</v>
      </c>
      <c r="AQ134" s="29">
        <v>128.73</v>
      </c>
      <c r="AR134" s="29">
        <v>144.17</v>
      </c>
      <c r="BC134" s="29">
        <v>9.1</v>
      </c>
      <c r="BD134" s="29">
        <v>9.14</v>
      </c>
      <c r="BE134" s="29">
        <v>10.02</v>
      </c>
      <c r="BF134" s="29">
        <v>8.82</v>
      </c>
      <c r="BG134" s="29">
        <v>9.38</v>
      </c>
      <c r="BH134" s="29">
        <v>1031.18</v>
      </c>
      <c r="BI134" s="29">
        <v>53.28</v>
      </c>
      <c r="BK134" s="29">
        <v>239.45</v>
      </c>
      <c r="BL134" s="29">
        <v>216.81</v>
      </c>
      <c r="BM134" s="29">
        <v>233.89</v>
      </c>
      <c r="BN134" s="29">
        <v>195.0</v>
      </c>
      <c r="BO134" s="29">
        <v>132.13</v>
      </c>
      <c r="BQ134" s="29">
        <v>131.7</v>
      </c>
      <c r="BR134" s="29">
        <v>122.4</v>
      </c>
      <c r="BS134" s="30">
        <v>2.8653</v>
      </c>
      <c r="BT134" s="30">
        <v>3.3004</v>
      </c>
      <c r="BU134" s="29">
        <v>586.0</v>
      </c>
      <c r="BV134" s="29">
        <v>476.58</v>
      </c>
      <c r="BW134" s="29">
        <v>521.03</v>
      </c>
      <c r="BX134" s="29">
        <v>47.0</v>
      </c>
      <c r="BY134" s="29">
        <v>52.0</v>
      </c>
      <c r="BZ134" s="29">
        <v>44.0</v>
      </c>
      <c r="CA134" s="29">
        <v>44.8</v>
      </c>
      <c r="CD134" s="29">
        <v>38.39</v>
      </c>
      <c r="CE134" s="29">
        <v>52.47</v>
      </c>
      <c r="CI134" s="29">
        <v>5404.0</v>
      </c>
      <c r="CJ134" s="27" t="inlineStr">
        <is>
          <t xml:space="preserve">dez/25</t>
        </is>
      </c>
    </row>
    <row r="135">
      <c r="A135" s="28">
        <v>45992</v>
      </c>
      <c r="B135" s="29">
        <v>1192.98</v>
      </c>
      <c r="C135" s="29">
        <v>3043.08</v>
      </c>
      <c r="D135" s="29">
        <v>8.11</v>
      </c>
      <c r="E135" s="29">
        <v>8.83</v>
      </c>
      <c r="F135" s="29">
        <v>2233.34</v>
      </c>
      <c r="G135" s="29">
        <v>1386.08</v>
      </c>
      <c r="H135" s="29">
        <v>468.05</v>
      </c>
      <c r="I135" s="27" t="inlineStr">
        <is>
          <t xml:space="preserve">mar/26</t>
        </is>
      </c>
      <c r="J135" s="29">
        <v>158611.01</v>
      </c>
      <c r="K135" s="30">
        <v>5387.0</v>
      </c>
      <c r="L135" s="27" t="inlineStr">
        <is>
          <t xml:space="preserve">jan/26</t>
        </is>
      </c>
      <c r="M135" s="29">
        <v>322.65</v>
      </c>
      <c r="N135" s="27" t="inlineStr">
        <is>
          <t xml:space="preserve">jan/26</t>
        </is>
      </c>
      <c r="O135" s="29">
        <v>74.22</v>
      </c>
      <c r="P135" s="27" t="inlineStr">
        <is>
          <t xml:space="preserve">jan/26</t>
        </is>
      </c>
      <c r="Q135" s="29">
        <v>25.32</v>
      </c>
      <c r="R135" s="27" t="inlineStr">
        <is>
          <t xml:space="preserve">mai/26</t>
        </is>
      </c>
      <c r="S135" s="30">
        <v>11.28</v>
      </c>
      <c r="T135" s="27" t="inlineStr">
        <is>
          <t xml:space="preserve">jan/26</t>
        </is>
      </c>
      <c r="U135" s="30">
        <v>4.45</v>
      </c>
      <c r="V135" s="27" t="inlineStr">
        <is>
          <t xml:space="preserve">mar/26</t>
        </is>
      </c>
      <c r="W135" s="29">
        <v>314.6</v>
      </c>
      <c r="X135" s="27" t="inlineStr">
        <is>
          <t xml:space="preserve">jan/26</t>
        </is>
      </c>
      <c r="Y135" s="30">
        <v>0.5236</v>
      </c>
      <c r="Z135" s="27" t="inlineStr">
        <is>
          <t xml:space="preserve">jan/26</t>
        </is>
      </c>
      <c r="AA135" s="29">
        <v>346.64</v>
      </c>
      <c r="AB135" s="29">
        <v>109.02</v>
      </c>
      <c r="AC135" s="29">
        <v>322.5</v>
      </c>
      <c r="AD135" s="29">
        <v>313.16</v>
      </c>
      <c r="AE135" s="29">
        <v>315.71</v>
      </c>
      <c r="AF135" s="29">
        <v>298.76</v>
      </c>
      <c r="AG135" s="29">
        <v>311.74</v>
      </c>
      <c r="AH135" s="29">
        <v>301.97</v>
      </c>
      <c r="AI135" s="29">
        <v>301.42</v>
      </c>
      <c r="AJ135" s="29">
        <v>280.86</v>
      </c>
      <c r="AK135" s="29">
        <v>315.43</v>
      </c>
      <c r="AL135" s="29">
        <v>8.45</v>
      </c>
      <c r="AM135" s="29">
        <v>8.38</v>
      </c>
      <c r="AN135" s="29">
        <v>8.37</v>
      </c>
      <c r="AO135" s="29">
        <v>8.27</v>
      </c>
      <c r="AP135" s="29">
        <v>8.12</v>
      </c>
      <c r="AQ135" s="29">
        <v>129.21</v>
      </c>
      <c r="AR135" s="29">
        <v>144.74</v>
      </c>
      <c r="AS135" s="30">
        <v>2.0</v>
      </c>
      <c r="AT135" s="30">
        <v>2.03</v>
      </c>
      <c r="AU135" s="30">
        <v>1.88</v>
      </c>
      <c r="AV135" s="30">
        <v>2.12</v>
      </c>
      <c r="AW135" s="30">
        <v>2.0</v>
      </c>
      <c r="AX135" s="30">
        <v>1.91</v>
      </c>
      <c r="AY135" s="30">
        <v>2.01</v>
      </c>
      <c r="AZ135" s="30">
        <v>2.06</v>
      </c>
      <c r="BA135" s="30">
        <v>2.06</v>
      </c>
      <c r="BB135" s="30">
        <v>1.96</v>
      </c>
      <c r="BH135" s="29">
        <v>1028.62</v>
      </c>
      <c r="BI135" s="29">
        <v>53.17</v>
      </c>
      <c r="BK135" s="29">
        <v>238.92</v>
      </c>
      <c r="BL135" s="29">
        <v>216.63</v>
      </c>
      <c r="BM135" s="29">
        <v>233.89</v>
      </c>
      <c r="BN135" s="29">
        <v>195.0</v>
      </c>
      <c r="BO135" s="29">
        <v>133.39</v>
      </c>
      <c r="BQ135" s="29">
        <v>131.86</v>
      </c>
      <c r="BR135" s="29">
        <v>122.4</v>
      </c>
      <c r="BX135" s="29">
        <v>47.0</v>
      </c>
      <c r="BY135" s="29">
        <v>52.0</v>
      </c>
      <c r="BZ135" s="29">
        <v>44.0</v>
      </c>
      <c r="CA135" s="29">
        <v>44.8</v>
      </c>
      <c r="CD135" s="29">
        <v>37.63</v>
      </c>
      <c r="CE135" s="29">
        <v>51.22</v>
      </c>
      <c r="CI135" s="29">
        <v>5556.0</v>
      </c>
      <c r="CJ135" s="27" t="inlineStr">
        <is>
          <t xml:space="preserve">mar/26</t>
        </is>
      </c>
    </row>
    <row r="136">
      <c r="A136" s="28">
        <v>45993</v>
      </c>
      <c r="B136" s="29">
        <v>1186.84</v>
      </c>
      <c r="C136" s="29">
        <v>3060.31</v>
      </c>
      <c r="D136" s="29">
        <v>8.11</v>
      </c>
      <c r="E136" s="29">
        <v>8.82</v>
      </c>
      <c r="F136" s="29">
        <v>2231.43</v>
      </c>
      <c r="G136" s="29">
        <v>1373.17</v>
      </c>
      <c r="H136" s="29">
        <v>461.0</v>
      </c>
      <c r="I136" s="27" t="inlineStr">
        <is>
          <t xml:space="preserve">mar/26</t>
        </is>
      </c>
      <c r="J136" s="29">
        <v>161092.25</v>
      </c>
      <c r="K136" s="30">
        <v>5363.0</v>
      </c>
      <c r="L136" s="27" t="inlineStr">
        <is>
          <t xml:space="preserve">jan/26</t>
        </is>
      </c>
      <c r="M136" s="29">
        <v>326.6</v>
      </c>
      <c r="N136" s="27" t="inlineStr">
        <is>
          <t xml:space="preserve">jan/26</t>
        </is>
      </c>
      <c r="O136" s="29">
        <v>76.0</v>
      </c>
      <c r="P136" s="27" t="inlineStr">
        <is>
          <t xml:space="preserve">jan/26</t>
        </is>
      </c>
      <c r="Q136" s="29">
        <v>25.22</v>
      </c>
      <c r="R136" s="27" t="inlineStr">
        <is>
          <t xml:space="preserve">mai/26</t>
        </is>
      </c>
      <c r="S136" s="30">
        <v>11.2475</v>
      </c>
      <c r="T136" s="27" t="inlineStr">
        <is>
          <t xml:space="preserve">jan/26</t>
        </is>
      </c>
      <c r="U136" s="30">
        <v>4.5</v>
      </c>
      <c r="V136" s="27" t="inlineStr">
        <is>
          <t xml:space="preserve">mar/26</t>
        </is>
      </c>
      <c r="W136" s="29">
        <v>311.6</v>
      </c>
      <c r="X136" s="27" t="inlineStr">
        <is>
          <t xml:space="preserve">jan/26</t>
        </is>
      </c>
      <c r="Y136" s="30">
        <v>0.5268</v>
      </c>
      <c r="Z136" s="27" t="inlineStr">
        <is>
          <t xml:space="preserve">jan/26</t>
        </is>
      </c>
      <c r="AA136" s="29">
        <v>346.82</v>
      </c>
      <c r="AB136" s="29">
        <v>108.77</v>
      </c>
      <c r="AL136" s="29">
        <v>8.44</v>
      </c>
      <c r="AM136" s="29">
        <v>8.38</v>
      </c>
      <c r="AN136" s="29">
        <v>8.35</v>
      </c>
      <c r="AO136" s="29">
        <v>8.28</v>
      </c>
      <c r="AP136" s="29">
        <v>8.12</v>
      </c>
      <c r="AQ136" s="29">
        <v>129.2</v>
      </c>
      <c r="AR136" s="29">
        <v>144.72</v>
      </c>
      <c r="BH136" s="29">
        <v>1029.57</v>
      </c>
      <c r="BI136" s="29">
        <v>53.06</v>
      </c>
      <c r="BK136" s="29">
        <v>237.66</v>
      </c>
      <c r="BL136" s="29">
        <v>216.63</v>
      </c>
      <c r="BM136" s="29">
        <v>233.13</v>
      </c>
      <c r="BN136" s="29">
        <v>196.67</v>
      </c>
      <c r="BO136" s="29">
        <v>133.39</v>
      </c>
      <c r="BP136" s="29">
        <v>141.55</v>
      </c>
      <c r="BQ136" s="29">
        <v>132.04</v>
      </c>
      <c r="BR136" s="29">
        <v>127.0</v>
      </c>
      <c r="BX136" s="29">
        <v>47.0</v>
      </c>
      <c r="BY136" s="29">
        <v>52.0</v>
      </c>
      <c r="BZ136" s="29">
        <v>44.0</v>
      </c>
      <c r="CA136" s="29">
        <v>45.2</v>
      </c>
      <c r="CD136" s="29">
        <v>37.63</v>
      </c>
      <c r="CE136" s="29">
        <v>51.47</v>
      </c>
      <c r="CI136" s="29">
        <v>5455.0</v>
      </c>
      <c r="CJ136" s="27" t="inlineStr">
        <is>
          <t xml:space="preserve">mar/26</t>
        </is>
      </c>
    </row>
    <row r="137">
      <c r="A137" s="28">
        <v>45994</v>
      </c>
      <c r="B137" s="29">
        <v>1183.6</v>
      </c>
      <c r="C137" s="29">
        <v>3061.06</v>
      </c>
      <c r="D137" s="29">
        <v>8.11</v>
      </c>
      <c r="E137" s="29">
        <v>8.82</v>
      </c>
      <c r="F137" s="29">
        <v>2217.5</v>
      </c>
      <c r="G137" s="29">
        <v>1373.92</v>
      </c>
      <c r="H137" s="29">
        <v>462.85</v>
      </c>
      <c r="I137" s="27" t="inlineStr">
        <is>
          <t xml:space="preserve">mar/26</t>
        </is>
      </c>
      <c r="J137" s="29">
        <v>161755.18</v>
      </c>
      <c r="K137" s="30">
        <v>5341.0</v>
      </c>
      <c r="L137" s="27" t="inlineStr">
        <is>
          <t xml:space="preserve">jan/26</t>
        </is>
      </c>
      <c r="M137" s="29">
        <v>327.4</v>
      </c>
      <c r="N137" s="27" t="inlineStr">
        <is>
          <t xml:space="preserve">jan/26</t>
        </is>
      </c>
      <c r="O137" s="29">
        <v>75.0</v>
      </c>
      <c r="P137" s="27" t="inlineStr">
        <is>
          <t xml:space="preserve">jan/26</t>
        </is>
      </c>
      <c r="Q137" s="29">
        <v>25.04</v>
      </c>
      <c r="R137" s="27" t="inlineStr">
        <is>
          <t xml:space="preserve">mai/26</t>
        </is>
      </c>
      <c r="S137" s="30">
        <v>11.1575</v>
      </c>
      <c r="T137" s="27" t="inlineStr">
        <is>
          <t xml:space="preserve">jan/26</t>
        </is>
      </c>
      <c r="U137" s="30">
        <v>4.435</v>
      </c>
      <c r="V137" s="27" t="inlineStr">
        <is>
          <t xml:space="preserve">mar/26</t>
        </is>
      </c>
      <c r="W137" s="29">
        <v>311.3</v>
      </c>
      <c r="X137" s="27" t="inlineStr">
        <is>
          <t xml:space="preserve">jan/26</t>
        </is>
      </c>
      <c r="Y137" s="30">
        <v>0.5167</v>
      </c>
      <c r="Z137" s="27" t="inlineStr">
        <is>
          <t xml:space="preserve">jan/26</t>
        </is>
      </c>
      <c r="AA137" s="29">
        <v>345.33</v>
      </c>
      <c r="AB137" s="29">
        <v>107.42</v>
      </c>
      <c r="AC137" s="29">
        <v>322.35</v>
      </c>
      <c r="AD137" s="29">
        <v>313.77</v>
      </c>
      <c r="AE137" s="29">
        <v>316.01</v>
      </c>
      <c r="AF137" s="29">
        <v>299.35</v>
      </c>
      <c r="AG137" s="29">
        <v>314.12</v>
      </c>
      <c r="AH137" s="29">
        <v>302.24</v>
      </c>
      <c r="AI137" s="29">
        <v>302.14</v>
      </c>
      <c r="AJ137" s="29">
        <v>278.0</v>
      </c>
      <c r="AK137" s="29">
        <v>321.38</v>
      </c>
      <c r="AL137" s="29">
        <v>8.44</v>
      </c>
      <c r="AM137" s="29">
        <v>8.33</v>
      </c>
      <c r="AN137" s="29">
        <v>8.35</v>
      </c>
      <c r="AO137" s="29">
        <v>8.29</v>
      </c>
      <c r="AP137" s="29">
        <v>8.15</v>
      </c>
      <c r="AQ137" s="29">
        <v>129.18</v>
      </c>
      <c r="AR137" s="29">
        <v>144.7</v>
      </c>
      <c r="BH137" s="29">
        <v>1037.37</v>
      </c>
      <c r="BI137" s="29">
        <v>52.9</v>
      </c>
      <c r="BK137" s="29">
        <v>239.11</v>
      </c>
      <c r="BM137" s="29">
        <v>234.5</v>
      </c>
      <c r="BN137" s="29">
        <v>197.0</v>
      </c>
      <c r="BO137" s="29">
        <v>133.39</v>
      </c>
      <c r="BP137" s="29">
        <v>146.29</v>
      </c>
      <c r="BQ137" s="29">
        <v>131.45</v>
      </c>
      <c r="BX137" s="29">
        <v>47.0</v>
      </c>
      <c r="BY137" s="29">
        <v>52.0</v>
      </c>
      <c r="BZ137" s="29">
        <v>44.0</v>
      </c>
      <c r="CA137" s="29">
        <v>45.2</v>
      </c>
      <c r="CD137" s="29">
        <v>37.78</v>
      </c>
      <c r="CE137" s="29">
        <v>51.48</v>
      </c>
      <c r="CI137" s="29">
        <v>5504.0</v>
      </c>
      <c r="CJ137" s="27" t="inlineStr">
        <is>
          <t xml:space="preserve">mar/26</t>
        </is>
      </c>
    </row>
    <row r="138">
      <c r="A138" s="28">
        <v>45995</v>
      </c>
      <c r="B138" s="29">
        <v>1183.61</v>
      </c>
      <c r="C138" s="29">
        <v>3072.36</v>
      </c>
      <c r="D138" s="29">
        <v>8.11</v>
      </c>
      <c r="E138" s="29">
        <v>8.82</v>
      </c>
      <c r="F138" s="29">
        <v>2235.73</v>
      </c>
      <c r="G138" s="29">
        <v>1377.92</v>
      </c>
      <c r="H138" s="29">
        <v>465.05</v>
      </c>
      <c r="I138" s="27" t="inlineStr">
        <is>
          <t xml:space="preserve">mar/26</t>
        </is>
      </c>
      <c r="J138" s="29">
        <v>164455.61</v>
      </c>
      <c r="K138" s="30">
        <v>5341.0</v>
      </c>
      <c r="L138" s="27" t="inlineStr">
        <is>
          <t xml:space="preserve">jan/26</t>
        </is>
      </c>
      <c r="M138" s="29">
        <v>326.1</v>
      </c>
      <c r="N138" s="27" t="inlineStr">
        <is>
          <t xml:space="preserve">jan/26</t>
        </is>
      </c>
      <c r="O138" s="29">
        <v>74.36</v>
      </c>
      <c r="P138" s="27" t="inlineStr">
        <is>
          <t xml:space="preserve">jan/26</t>
        </is>
      </c>
      <c r="Q138" s="29">
        <v>25.13</v>
      </c>
      <c r="R138" s="27" t="inlineStr">
        <is>
          <t xml:space="preserve">mai/26</t>
        </is>
      </c>
      <c r="S138" s="30">
        <v>11.195</v>
      </c>
      <c r="T138" s="27" t="inlineStr">
        <is>
          <t xml:space="preserve">jan/26</t>
        </is>
      </c>
      <c r="U138" s="30">
        <v>4.4725</v>
      </c>
      <c r="V138" s="27" t="inlineStr">
        <is>
          <t xml:space="preserve">mar/26</t>
        </is>
      </c>
      <c r="W138" s="29">
        <v>311.2</v>
      </c>
      <c r="X138" s="27" t="inlineStr">
        <is>
          <t xml:space="preserve">jan/26</t>
        </is>
      </c>
      <c r="Y138" s="30">
        <v>0.5179</v>
      </c>
      <c r="Z138" s="27" t="inlineStr">
        <is>
          <t xml:space="preserve">jan/26</t>
        </is>
      </c>
      <c r="AA138" s="29">
        <v>343.21</v>
      </c>
      <c r="AB138" s="29">
        <v>107.58</v>
      </c>
      <c r="AL138" s="29">
        <v>8.44</v>
      </c>
      <c r="AM138" s="29">
        <v>8.31</v>
      </c>
      <c r="AN138" s="29">
        <v>8.35</v>
      </c>
      <c r="AO138" s="29">
        <v>8.28</v>
      </c>
      <c r="AP138" s="29">
        <v>8.15</v>
      </c>
      <c r="AQ138" s="29">
        <v>129.01</v>
      </c>
      <c r="AR138" s="29">
        <v>144.68</v>
      </c>
      <c r="BH138" s="29">
        <v>1044.38</v>
      </c>
      <c r="BI138" s="29">
        <v>52.73</v>
      </c>
      <c r="BJ138" s="29">
        <v>255.28</v>
      </c>
      <c r="BK138" s="29">
        <v>238.91</v>
      </c>
      <c r="BM138" s="29">
        <v>233.13</v>
      </c>
      <c r="BN138" s="29">
        <v>197.0</v>
      </c>
      <c r="BO138" s="29">
        <v>132.73</v>
      </c>
      <c r="BQ138" s="29">
        <v>130.99</v>
      </c>
      <c r="BR138" s="29">
        <v>133.0</v>
      </c>
      <c r="BX138" s="29">
        <v>47.0</v>
      </c>
      <c r="BY138" s="29">
        <v>52.0</v>
      </c>
      <c r="BZ138" s="29">
        <v>44.0</v>
      </c>
      <c r="CA138" s="29">
        <v>45.2</v>
      </c>
      <c r="CD138" s="29">
        <v>37.78</v>
      </c>
      <c r="CE138" s="29">
        <v>50.97</v>
      </c>
      <c r="CI138" s="29">
        <v>5486.0</v>
      </c>
      <c r="CJ138" s="27" t="inlineStr">
        <is>
          <t xml:space="preserve">mar/26</t>
        </is>
      </c>
    </row>
    <row r="139">
      <c r="A139" s="28">
        <v>45996</v>
      </c>
      <c r="B139" s="29">
        <v>1183.62</v>
      </c>
      <c r="C139" s="29">
        <v>3070.36</v>
      </c>
      <c r="D139" s="29">
        <v>8.1</v>
      </c>
      <c r="E139" s="29">
        <v>8.82</v>
      </c>
      <c r="F139" s="29">
        <v>2217.02</v>
      </c>
      <c r="G139" s="29">
        <v>1372.42</v>
      </c>
      <c r="H139" s="29">
        <v>461.2</v>
      </c>
      <c r="I139" s="27" t="inlineStr">
        <is>
          <t xml:space="preserve">mar/26</t>
        </is>
      </c>
      <c r="J139" s="29">
        <v>157369.36</v>
      </c>
      <c r="K139" s="30">
        <v>5467.5</v>
      </c>
      <c r="L139" s="27" t="inlineStr">
        <is>
          <t xml:space="preserve">jan/26</t>
        </is>
      </c>
      <c r="M139" s="29">
        <v>326.15</v>
      </c>
      <c r="N139" s="27" t="inlineStr">
        <is>
          <t xml:space="preserve">jan/26</t>
        </is>
      </c>
      <c r="O139" s="29">
        <v>74.05</v>
      </c>
      <c r="P139" s="27" t="inlineStr">
        <is>
          <t xml:space="preserve">jan/26</t>
        </is>
      </c>
      <c r="Q139" s="29">
        <v>24.8</v>
      </c>
      <c r="R139" s="27" t="inlineStr">
        <is>
          <t xml:space="preserve">mai/26</t>
        </is>
      </c>
      <c r="S139" s="30">
        <v>11.0525</v>
      </c>
      <c r="T139" s="27" t="inlineStr">
        <is>
          <t xml:space="preserve">jan/26</t>
        </is>
      </c>
      <c r="U139" s="30">
        <v>4.4475</v>
      </c>
      <c r="V139" s="27" t="inlineStr">
        <is>
          <t xml:space="preserve">mar/26</t>
        </is>
      </c>
      <c r="W139" s="29">
        <v>307.4</v>
      </c>
      <c r="X139" s="27" t="inlineStr">
        <is>
          <t xml:space="preserve">jan/26</t>
        </is>
      </c>
      <c r="Y139" s="30">
        <v>0.5169</v>
      </c>
      <c r="Z139" s="27" t="inlineStr">
        <is>
          <t xml:space="preserve">jan/26</t>
        </is>
      </c>
      <c r="AA139" s="29">
        <v>344.11</v>
      </c>
      <c r="AB139" s="29">
        <v>107.39</v>
      </c>
      <c r="AC139" s="29">
        <v>322.01</v>
      </c>
      <c r="AD139" s="29">
        <v>310.88</v>
      </c>
      <c r="AE139" s="29">
        <v>315.81</v>
      </c>
      <c r="AF139" s="29">
        <v>294.59</v>
      </c>
      <c r="AG139" s="29">
        <v>313.62</v>
      </c>
      <c r="AH139" s="29">
        <v>297.52</v>
      </c>
      <c r="AI139" s="29">
        <v>301.6</v>
      </c>
      <c r="AJ139" s="29">
        <v>278.61</v>
      </c>
      <c r="AK139" s="29">
        <v>309.03</v>
      </c>
      <c r="AL139" s="29">
        <v>8.44</v>
      </c>
      <c r="AM139" s="29">
        <v>8.31</v>
      </c>
      <c r="AN139" s="29">
        <v>8.35</v>
      </c>
      <c r="AO139" s="29">
        <v>8.28</v>
      </c>
      <c r="AP139" s="29">
        <v>8.16</v>
      </c>
      <c r="AQ139" s="29">
        <v>129.0</v>
      </c>
      <c r="AR139" s="29">
        <v>144.66</v>
      </c>
      <c r="BC139" s="29">
        <v>9.14</v>
      </c>
      <c r="BD139" s="29">
        <v>9.23</v>
      </c>
      <c r="BE139" s="29">
        <v>10.07</v>
      </c>
      <c r="BF139" s="29">
        <v>8.81</v>
      </c>
      <c r="BG139" s="29">
        <v>9.41</v>
      </c>
      <c r="BH139" s="29">
        <v>1042.1</v>
      </c>
      <c r="BI139" s="29">
        <v>52.73</v>
      </c>
      <c r="BJ139" s="29">
        <v>250.22</v>
      </c>
      <c r="BK139" s="29">
        <v>238.84</v>
      </c>
      <c r="BM139" s="29">
        <v>235.0</v>
      </c>
      <c r="BN139" s="29">
        <v>199.0</v>
      </c>
      <c r="BO139" s="29">
        <v>134.76</v>
      </c>
      <c r="BQ139" s="29">
        <v>131.62</v>
      </c>
      <c r="BR139" s="29">
        <v>133.0</v>
      </c>
      <c r="BS139" s="30">
        <v>2.8853</v>
      </c>
      <c r="BT139" s="30">
        <v>3.3128</v>
      </c>
      <c r="BU139" s="29">
        <v>553.53</v>
      </c>
      <c r="BV139" s="29">
        <v>461.82</v>
      </c>
      <c r="BW139" s="29">
        <v>502.99</v>
      </c>
      <c r="BX139" s="29">
        <v>47.0</v>
      </c>
      <c r="BY139" s="29">
        <v>52.0</v>
      </c>
      <c r="BZ139" s="29">
        <v>44.0</v>
      </c>
      <c r="CA139" s="29">
        <v>45.2</v>
      </c>
      <c r="CD139" s="29">
        <v>37.78</v>
      </c>
      <c r="CE139" s="29">
        <v>51.09</v>
      </c>
      <c r="CI139" s="29">
        <v>5696.0</v>
      </c>
      <c r="CJ139" s="27" t="inlineStr">
        <is>
          <t xml:space="preserve">mar/26</t>
        </is>
      </c>
    </row>
    <row r="140">
      <c r="A140" s="28">
        <v>45999</v>
      </c>
      <c r="B140" s="29">
        <v>1184.03</v>
      </c>
      <c r="C140" s="29">
        <v>3068.91</v>
      </c>
      <c r="D140" s="29">
        <v>8.09</v>
      </c>
      <c r="E140" s="29">
        <v>8.82</v>
      </c>
      <c r="F140" s="29">
        <v>2223.46</v>
      </c>
      <c r="G140" s="29">
        <v>1367.15</v>
      </c>
      <c r="H140" s="29">
        <v>452.4</v>
      </c>
      <c r="I140" s="27" t="inlineStr">
        <is>
          <t xml:space="preserve">mar/26</t>
        </is>
      </c>
      <c r="J140" s="29">
        <v>158187.43</v>
      </c>
      <c r="K140" s="30">
        <v>5463.0</v>
      </c>
      <c r="L140" s="27" t="inlineStr">
        <is>
          <t xml:space="preserve">jan/26</t>
        </is>
      </c>
      <c r="M140" s="29">
        <v>326.7</v>
      </c>
      <c r="N140" s="27" t="inlineStr">
        <is>
          <t xml:space="preserve">jan/26</t>
        </is>
      </c>
      <c r="O140" s="29">
        <v>74.5</v>
      </c>
      <c r="P140" s="27" t="inlineStr">
        <is>
          <t xml:space="preserve">jan/26</t>
        </is>
      </c>
      <c r="Q140" s="29">
        <v>24.6</v>
      </c>
      <c r="R140" s="27" t="inlineStr">
        <is>
          <t xml:space="preserve">mai/26</t>
        </is>
      </c>
      <c r="S140" s="30">
        <v>10.9375</v>
      </c>
      <c r="T140" s="27" t="inlineStr">
        <is>
          <t xml:space="preserve">jan/26</t>
        </is>
      </c>
      <c r="U140" s="30">
        <v>4.4375</v>
      </c>
      <c r="V140" s="27" t="inlineStr">
        <is>
          <t xml:space="preserve">mar/26</t>
        </is>
      </c>
      <c r="W140" s="29">
        <v>306.3</v>
      </c>
      <c r="X140" s="27" t="inlineStr">
        <is>
          <t xml:space="preserve">jan/26</t>
        </is>
      </c>
      <c r="Y140" s="30">
        <v>0.5118</v>
      </c>
      <c r="Z140" s="27" t="inlineStr">
        <is>
          <t xml:space="preserve">jan/26</t>
        </is>
      </c>
      <c r="AA140" s="29">
        <v>346.76</v>
      </c>
      <c r="AB140" s="29">
        <v>107.39</v>
      </c>
      <c r="AC140" s="29">
        <v>322.97</v>
      </c>
      <c r="AD140" s="29">
        <v>310.2</v>
      </c>
      <c r="AE140" s="29">
        <v>316.74</v>
      </c>
      <c r="AF140" s="29">
        <v>293.9</v>
      </c>
      <c r="AG140" s="29">
        <v>313.43</v>
      </c>
      <c r="AH140" s="29">
        <v>296.44</v>
      </c>
      <c r="AI140" s="29">
        <v>302.57</v>
      </c>
      <c r="AJ140" s="29">
        <v>277.48</v>
      </c>
      <c r="AK140" s="29">
        <v>306.43</v>
      </c>
      <c r="AL140" s="29">
        <v>8.44</v>
      </c>
      <c r="AM140" s="29">
        <v>8.27</v>
      </c>
      <c r="AN140" s="29">
        <v>8.33</v>
      </c>
      <c r="AO140" s="29">
        <v>8.28</v>
      </c>
      <c r="AP140" s="29">
        <v>8.15</v>
      </c>
      <c r="AQ140" s="29">
        <v>129.31</v>
      </c>
      <c r="AR140" s="29">
        <v>143.92</v>
      </c>
      <c r="BH140" s="29">
        <v>1025.81</v>
      </c>
      <c r="BI140" s="29">
        <v>52.87</v>
      </c>
      <c r="BJ140" s="29">
        <v>255.28</v>
      </c>
      <c r="BK140" s="29">
        <v>238.51</v>
      </c>
      <c r="BM140" s="29">
        <v>232.78</v>
      </c>
      <c r="BN140" s="29">
        <v>191.25</v>
      </c>
      <c r="BO140" s="29">
        <v>134.78</v>
      </c>
      <c r="BQ140" s="29">
        <v>131.59</v>
      </c>
      <c r="BR140" s="29">
        <v>133.0</v>
      </c>
      <c r="BX140" s="29">
        <v>47.0</v>
      </c>
      <c r="BY140" s="29">
        <v>52.0</v>
      </c>
      <c r="BZ140" s="29">
        <v>44.33</v>
      </c>
      <c r="CA140" s="29">
        <v>45.2</v>
      </c>
      <c r="CD140" s="29">
        <v>37.06</v>
      </c>
      <c r="CE140" s="29">
        <v>52.16</v>
      </c>
      <c r="CI140" s="29">
        <v>5701.0</v>
      </c>
      <c r="CJ140" s="27" t="inlineStr">
        <is>
          <t xml:space="preserve">mar/26</t>
        </is>
      </c>
    </row>
    <row r="141">
      <c r="A141" s="28">
        <v>46000</v>
      </c>
      <c r="B141" s="29">
        <v>1183.48</v>
      </c>
      <c r="C141" s="29">
        <v>3067.68</v>
      </c>
      <c r="D141" s="29">
        <v>8.13</v>
      </c>
      <c r="E141" s="29">
        <v>8.84</v>
      </c>
      <c r="F141" s="29">
        <v>2241.23</v>
      </c>
      <c r="G141" s="29">
        <v>1373.92</v>
      </c>
      <c r="H141" s="29">
        <v>453.0</v>
      </c>
      <c r="I141" s="27" t="inlineStr">
        <is>
          <t xml:space="preserve">mar/26</t>
        </is>
      </c>
      <c r="J141" s="29">
        <v>157981.13</v>
      </c>
      <c r="K141" s="30">
        <v>5462.0</v>
      </c>
      <c r="L141" s="27" t="inlineStr">
        <is>
          <t xml:space="preserve">jan/26</t>
        </is>
      </c>
      <c r="M141" s="29">
        <v>326.8</v>
      </c>
      <c r="N141" s="27" t="inlineStr">
        <is>
          <t xml:space="preserve">jan/26</t>
        </is>
      </c>
      <c r="O141" s="29">
        <v>74.57</v>
      </c>
      <c r="P141" s="27" t="inlineStr">
        <is>
          <t xml:space="preserve">jan/26</t>
        </is>
      </c>
      <c r="Q141" s="29">
        <v>24.44</v>
      </c>
      <c r="R141" s="27" t="inlineStr">
        <is>
          <t xml:space="preserve">mai/26</t>
        </is>
      </c>
      <c r="S141" s="30">
        <v>10.8725</v>
      </c>
      <c r="T141" s="27" t="inlineStr">
        <is>
          <t xml:space="preserve">jan/26</t>
        </is>
      </c>
      <c r="U141" s="30">
        <v>4.48</v>
      </c>
      <c r="V141" s="27" t="inlineStr">
        <is>
          <t xml:space="preserve">mar/26</t>
        </is>
      </c>
      <c r="W141" s="29">
        <v>301.3</v>
      </c>
      <c r="X141" s="27" t="inlineStr">
        <is>
          <t xml:space="preserve">jan/26</t>
        </is>
      </c>
      <c r="Y141" s="30">
        <v>0.5102</v>
      </c>
      <c r="Z141" s="27" t="inlineStr">
        <is>
          <t xml:space="preserve">jan/26</t>
        </is>
      </c>
      <c r="AA141" s="29">
        <v>347.47</v>
      </c>
      <c r="AB141" s="29">
        <v>110.82</v>
      </c>
      <c r="AC141" s="29">
        <v>321.43</v>
      </c>
      <c r="AD141" s="29">
        <v>310.03</v>
      </c>
      <c r="AE141" s="29">
        <v>315.19</v>
      </c>
      <c r="AF141" s="29">
        <v>297.26</v>
      </c>
      <c r="AG141" s="29">
        <v>315.19</v>
      </c>
      <c r="AH141" s="29">
        <v>297.91</v>
      </c>
      <c r="AI141" s="29">
        <v>301.58</v>
      </c>
      <c r="AJ141" s="29">
        <v>276.34</v>
      </c>
      <c r="AK141" s="29">
        <v>306.43</v>
      </c>
      <c r="AL141" s="29">
        <v>8.45</v>
      </c>
      <c r="AM141" s="29">
        <v>8.25</v>
      </c>
      <c r="AN141" s="29">
        <v>8.33</v>
      </c>
      <c r="AO141" s="29">
        <v>8.28</v>
      </c>
      <c r="AP141" s="29">
        <v>8.15</v>
      </c>
      <c r="AQ141" s="29">
        <v>129.24</v>
      </c>
      <c r="AR141" s="29">
        <v>143.92</v>
      </c>
      <c r="BH141" s="29">
        <v>1028.65</v>
      </c>
      <c r="BI141" s="29">
        <v>52.92</v>
      </c>
      <c r="BJ141" s="29">
        <v>251.22</v>
      </c>
      <c r="BK141" s="29">
        <v>238.41</v>
      </c>
      <c r="BM141" s="29">
        <v>229.5</v>
      </c>
      <c r="BN141" s="29">
        <v>191.25</v>
      </c>
      <c r="BO141" s="29">
        <v>133.26</v>
      </c>
      <c r="BQ141" s="29">
        <v>132.74</v>
      </c>
      <c r="BR141" s="29">
        <v>133.0</v>
      </c>
      <c r="BX141" s="29">
        <v>47.0</v>
      </c>
      <c r="BY141" s="29">
        <v>52.0</v>
      </c>
      <c r="BZ141" s="29">
        <v>44.33</v>
      </c>
      <c r="CA141" s="29">
        <v>45.2</v>
      </c>
      <c r="CD141" s="29">
        <v>37.06</v>
      </c>
      <c r="CE141" s="29">
        <v>53.31</v>
      </c>
      <c r="CI141" s="29">
        <v>5882.0</v>
      </c>
      <c r="CJ141" s="27" t="inlineStr">
        <is>
          <t xml:space="preserve">mar/26</t>
        </is>
      </c>
    </row>
    <row r="142">
      <c r="A142" s="28">
        <v>46001</v>
      </c>
      <c r="B142" s="29">
        <v>1181.59</v>
      </c>
      <c r="C142" s="29">
        <v>3065.42</v>
      </c>
      <c r="D142" s="29">
        <v>8.13</v>
      </c>
      <c r="E142" s="29">
        <v>8.84</v>
      </c>
      <c r="F142" s="29">
        <v>2258.89</v>
      </c>
      <c r="G142" s="29">
        <v>1363.31</v>
      </c>
      <c r="H142" s="29">
        <v>458.0</v>
      </c>
      <c r="I142" s="27" t="inlineStr">
        <is>
          <t xml:space="preserve">mar/26</t>
        </is>
      </c>
      <c r="J142" s="29">
        <v>159074.97</v>
      </c>
      <c r="K142" s="30">
        <v>5496.5</v>
      </c>
      <c r="L142" s="27" t="inlineStr">
        <is>
          <t xml:space="preserve">jan/26</t>
        </is>
      </c>
      <c r="M142" s="29">
        <v>325.9</v>
      </c>
      <c r="N142" s="27" t="inlineStr">
        <is>
          <t xml:space="preserve">jan/26</t>
        </is>
      </c>
      <c r="O142" s="29">
        <v>72.9</v>
      </c>
      <c r="P142" s="27" t="inlineStr">
        <is>
          <t xml:space="preserve">jan/26</t>
        </is>
      </c>
      <c r="Q142" s="29">
        <v>24.48</v>
      </c>
      <c r="R142" s="27" t="inlineStr">
        <is>
          <t xml:space="preserve">mai/26</t>
        </is>
      </c>
      <c r="S142" s="30">
        <v>10.9125</v>
      </c>
      <c r="T142" s="27" t="inlineStr">
        <is>
          <t xml:space="preserve">jan/26</t>
        </is>
      </c>
      <c r="U142" s="30">
        <v>4.4425</v>
      </c>
      <c r="V142" s="27" t="inlineStr">
        <is>
          <t xml:space="preserve">mar/26</t>
        </is>
      </c>
      <c r="W142" s="29">
        <v>301.2</v>
      </c>
      <c r="X142" s="27" t="inlineStr">
        <is>
          <t xml:space="preserve">jan/26</t>
        </is>
      </c>
      <c r="Y142" s="30">
        <v>0.5109</v>
      </c>
      <c r="Z142" s="27" t="inlineStr">
        <is>
          <t xml:space="preserve">jan/26</t>
        </is>
      </c>
      <c r="AA142" s="29">
        <v>346.58</v>
      </c>
      <c r="AB142" s="29">
        <v>112.9</v>
      </c>
      <c r="AC142" s="29">
        <v>320.72</v>
      </c>
      <c r="AD142" s="29">
        <v>309.45</v>
      </c>
      <c r="AE142" s="29">
        <v>315.33</v>
      </c>
      <c r="AF142" s="29">
        <v>297.73</v>
      </c>
      <c r="AG142" s="29">
        <v>314.44</v>
      </c>
      <c r="AH142" s="29">
        <v>295.91</v>
      </c>
      <c r="AI142" s="29">
        <v>301.09</v>
      </c>
      <c r="AJ142" s="29">
        <v>276.67</v>
      </c>
      <c r="AK142" s="29">
        <v>306.43</v>
      </c>
      <c r="AL142" s="29">
        <v>8.45</v>
      </c>
      <c r="AM142" s="29">
        <v>8.22</v>
      </c>
      <c r="AN142" s="29">
        <v>8.28</v>
      </c>
      <c r="AO142" s="29">
        <v>8.31</v>
      </c>
      <c r="AP142" s="29">
        <v>8.15</v>
      </c>
      <c r="AQ142" s="29">
        <v>119.25</v>
      </c>
      <c r="AR142" s="29">
        <v>133.65</v>
      </c>
      <c r="BH142" s="29">
        <v>1032.51</v>
      </c>
      <c r="BI142" s="29">
        <v>52.49</v>
      </c>
      <c r="BJ142" s="29">
        <v>251.22</v>
      </c>
      <c r="BK142" s="29">
        <v>238.02</v>
      </c>
      <c r="BM142" s="29">
        <v>230.56</v>
      </c>
      <c r="BN142" s="29">
        <v>191.67</v>
      </c>
      <c r="BO142" s="29">
        <v>133.26</v>
      </c>
      <c r="BP142" s="29">
        <v>149.25</v>
      </c>
      <c r="BQ142" s="29">
        <v>132.32</v>
      </c>
      <c r="BX142" s="29">
        <v>47.0</v>
      </c>
      <c r="BY142" s="29">
        <v>52.0</v>
      </c>
      <c r="BZ142" s="29">
        <v>44.33</v>
      </c>
      <c r="CA142" s="29">
        <v>45.2</v>
      </c>
      <c r="CD142" s="29">
        <v>37.35</v>
      </c>
      <c r="CE142" s="29">
        <v>52.74</v>
      </c>
      <c r="CI142" s="29">
        <v>6221.0</v>
      </c>
      <c r="CJ142" s="27" t="inlineStr">
        <is>
          <t xml:space="preserve">mar/26</t>
        </is>
      </c>
    </row>
    <row r="143">
      <c r="A143" s="28">
        <v>46002</v>
      </c>
      <c r="B143" s="29">
        <v>1183.77</v>
      </c>
      <c r="C143" s="29">
        <v>3072.26</v>
      </c>
      <c r="D143" s="29">
        <v>8.13</v>
      </c>
      <c r="E143" s="29">
        <v>8.84</v>
      </c>
      <c r="F143" s="29">
        <v>2283.45</v>
      </c>
      <c r="G143" s="29">
        <v>1358.87</v>
      </c>
      <c r="H143" s="29">
        <v>461.85</v>
      </c>
      <c r="I143" s="27" t="inlineStr">
        <is>
          <t xml:space="preserve">mar/26</t>
        </is>
      </c>
      <c r="J143" s="29">
        <v>159189.1</v>
      </c>
      <c r="K143" s="30">
        <v>5432.0</v>
      </c>
      <c r="L143" s="27" t="inlineStr">
        <is>
          <t xml:space="preserve">jan/26</t>
        </is>
      </c>
      <c r="M143" s="29">
        <v>325.8</v>
      </c>
      <c r="N143" s="27" t="inlineStr">
        <is>
          <t xml:space="preserve">jan/26</t>
        </is>
      </c>
      <c r="O143" s="29">
        <v>72.3</v>
      </c>
      <c r="P143" s="27" t="inlineStr">
        <is>
          <t xml:space="preserve">jan/26</t>
        </is>
      </c>
      <c r="Q143" s="29">
        <v>24.5</v>
      </c>
      <c r="R143" s="27" t="inlineStr">
        <is>
          <t xml:space="preserve">mai/26</t>
        </is>
      </c>
      <c r="S143" s="30">
        <v>10.935</v>
      </c>
      <c r="T143" s="27" t="inlineStr">
        <is>
          <t xml:space="preserve">jan/26</t>
        </is>
      </c>
      <c r="U143" s="30">
        <v>4.465</v>
      </c>
      <c r="V143" s="27" t="inlineStr">
        <is>
          <t xml:space="preserve">mar/26</t>
        </is>
      </c>
      <c r="W143" s="29">
        <v>302.1</v>
      </c>
      <c r="X143" s="27" t="inlineStr">
        <is>
          <t xml:space="preserve">jan/26</t>
        </is>
      </c>
      <c r="Y143" s="30">
        <v>0.5082</v>
      </c>
      <c r="Z143" s="27" t="inlineStr">
        <is>
          <t xml:space="preserve">jan/26</t>
        </is>
      </c>
      <c r="AA143" s="29">
        <v>345.46</v>
      </c>
      <c r="AB143" s="29">
        <v>109.94</v>
      </c>
      <c r="AL143" s="29">
        <v>8.43</v>
      </c>
      <c r="AM143" s="29">
        <v>8.22</v>
      </c>
      <c r="AN143" s="29">
        <v>8.28</v>
      </c>
      <c r="AO143" s="29">
        <v>8.31</v>
      </c>
      <c r="AP143" s="29">
        <v>8.15</v>
      </c>
      <c r="AQ143" s="29">
        <v>119.19</v>
      </c>
      <c r="AR143" s="29">
        <v>133.13</v>
      </c>
      <c r="BH143" s="29">
        <v>1022.29</v>
      </c>
      <c r="BI143" s="29">
        <v>52.64</v>
      </c>
      <c r="BJ143" s="29">
        <v>251.22</v>
      </c>
      <c r="BK143" s="29">
        <v>238.76</v>
      </c>
      <c r="BM143" s="29">
        <v>232.0</v>
      </c>
      <c r="BN143" s="29">
        <v>190.63</v>
      </c>
      <c r="BO143" s="29">
        <v>134.1</v>
      </c>
      <c r="BP143" s="29">
        <v>149.25</v>
      </c>
      <c r="BQ143" s="29">
        <v>132.4</v>
      </c>
      <c r="BX143" s="29">
        <v>47.0</v>
      </c>
      <c r="BY143" s="29">
        <v>52.0</v>
      </c>
      <c r="BZ143" s="29">
        <v>44.33</v>
      </c>
      <c r="CA143" s="29">
        <v>45.6</v>
      </c>
      <c r="CD143" s="29">
        <v>37.35</v>
      </c>
      <c r="CE143" s="29">
        <v>52.74</v>
      </c>
      <c r="CI143" s="29">
        <v>6288.0</v>
      </c>
      <c r="CJ143" s="27" t="inlineStr">
        <is>
          <t xml:space="preserve">mar/26</t>
        </is>
      </c>
    </row>
    <row r="144">
      <c r="A144" s="28">
        <v>46003</v>
      </c>
      <c r="B144" s="29">
        <v>1185.08</v>
      </c>
      <c r="C144" s="29">
        <v>3071.09</v>
      </c>
      <c r="D144" s="29">
        <v>8.11</v>
      </c>
      <c r="E144" s="29">
        <v>8.79</v>
      </c>
      <c r="F144" s="29">
        <v>2253.93</v>
      </c>
      <c r="G144" s="29">
        <v>1332.56</v>
      </c>
      <c r="H144" s="29">
        <v>455.25</v>
      </c>
      <c r="I144" s="27" t="inlineStr">
        <is>
          <t xml:space="preserve">mar/26</t>
        </is>
      </c>
      <c r="J144" s="29">
        <v>160766.37</v>
      </c>
      <c r="K144" s="30">
        <v>5437.5</v>
      </c>
      <c r="L144" s="27" t="inlineStr">
        <is>
          <t xml:space="preserve">jan/26</t>
        </is>
      </c>
      <c r="M144" s="29">
        <v>324.0</v>
      </c>
      <c r="N144" s="27" t="inlineStr">
        <is>
          <t xml:space="preserve">jan/26</t>
        </is>
      </c>
      <c r="O144" s="29">
        <v>72.0</v>
      </c>
      <c r="P144" s="27" t="inlineStr">
        <is>
          <t xml:space="preserve">jan/26</t>
        </is>
      </c>
      <c r="Q144" s="29">
        <v>24.2</v>
      </c>
      <c r="R144" s="27" t="inlineStr">
        <is>
          <t xml:space="preserve">mai/26</t>
        </is>
      </c>
      <c r="S144" s="30">
        <v>10.7675</v>
      </c>
      <c r="T144" s="27" t="inlineStr">
        <is>
          <t xml:space="preserve">jan/26</t>
        </is>
      </c>
      <c r="U144" s="30">
        <v>4.4075</v>
      </c>
      <c r="V144" s="27" t="inlineStr">
        <is>
          <t xml:space="preserve">mar/26</t>
        </is>
      </c>
      <c r="W144" s="29">
        <v>302.5</v>
      </c>
      <c r="X144" s="27" t="inlineStr">
        <is>
          <t xml:space="preserve">jan/26</t>
        </is>
      </c>
      <c r="Y144" s="30">
        <v>0.5007</v>
      </c>
      <c r="Z144" s="27" t="inlineStr">
        <is>
          <t xml:space="preserve">jan/26</t>
        </is>
      </c>
      <c r="AA144" s="29">
        <v>346.76</v>
      </c>
      <c r="AB144" s="29">
        <v>110.43</v>
      </c>
      <c r="AC144" s="29">
        <v>322.68</v>
      </c>
      <c r="AD144" s="29">
        <v>310.97</v>
      </c>
      <c r="AE144" s="29">
        <v>314.18</v>
      </c>
      <c r="AF144" s="29">
        <v>301.32</v>
      </c>
      <c r="AG144" s="29">
        <v>313.27</v>
      </c>
      <c r="AH144" s="29">
        <v>295.43</v>
      </c>
      <c r="AI144" s="29">
        <v>301.6</v>
      </c>
      <c r="AJ144" s="29">
        <v>276.76</v>
      </c>
      <c r="AK144" s="29">
        <v>306.43</v>
      </c>
      <c r="AL144" s="29">
        <v>8.44</v>
      </c>
      <c r="AM144" s="29">
        <v>8.22</v>
      </c>
      <c r="AN144" s="29">
        <v>8.28</v>
      </c>
      <c r="AO144" s="29">
        <v>8.31</v>
      </c>
      <c r="AP144" s="29">
        <v>8.12</v>
      </c>
      <c r="AQ144" s="29">
        <v>119.19</v>
      </c>
      <c r="AR144" s="29">
        <v>133.13</v>
      </c>
      <c r="BC144" s="29">
        <v>9.23</v>
      </c>
      <c r="BD144" s="29">
        <v>9.31</v>
      </c>
      <c r="BE144" s="29">
        <v>10.1</v>
      </c>
      <c r="BF144" s="29">
        <v>8.79</v>
      </c>
      <c r="BG144" s="29">
        <v>9.44</v>
      </c>
      <c r="BH144" s="29">
        <v>1023.45</v>
      </c>
      <c r="BI144" s="29">
        <v>52.8</v>
      </c>
      <c r="BJ144" s="29">
        <v>251.22</v>
      </c>
      <c r="BK144" s="29">
        <v>238.64</v>
      </c>
      <c r="BM144" s="29">
        <v>235.0</v>
      </c>
      <c r="BN144" s="29">
        <v>191.67</v>
      </c>
      <c r="BO144" s="29">
        <v>135.88</v>
      </c>
      <c r="BQ144" s="29">
        <v>132.54</v>
      </c>
      <c r="BS144" s="30">
        <v>2.9092</v>
      </c>
      <c r="BT144" s="30">
        <v>3.3256</v>
      </c>
      <c r="BU144" s="29">
        <v>534.92</v>
      </c>
      <c r="BV144" s="29">
        <v>463.06</v>
      </c>
      <c r="BW144" s="29">
        <v>496.6</v>
      </c>
      <c r="BX144" s="29">
        <v>47.0</v>
      </c>
      <c r="BY144" s="29">
        <v>52.0</v>
      </c>
      <c r="BZ144" s="29">
        <v>44.33</v>
      </c>
      <c r="CA144" s="29">
        <v>45.6</v>
      </c>
      <c r="CD144" s="29">
        <v>37.35</v>
      </c>
      <c r="CE144" s="29">
        <v>52.09</v>
      </c>
      <c r="CI144" s="29">
        <v>6279.0</v>
      </c>
      <c r="CJ144" s="27" t="inlineStr">
        <is>
          <t xml:space="preserve">mar/26</t>
        </is>
      </c>
    </row>
    <row r="145">
      <c r="A145" s="28">
        <v>46006</v>
      </c>
      <c r="B145" s="29">
        <v>1182.53</v>
      </c>
      <c r="C145" s="29">
        <v>3073.58</v>
      </c>
      <c r="D145" s="29">
        <v>8.09</v>
      </c>
      <c r="E145" s="29">
        <v>8.79</v>
      </c>
      <c r="F145" s="29">
        <v>2217.3</v>
      </c>
      <c r="G145" s="29">
        <v>1284.46</v>
      </c>
      <c r="H145" s="29">
        <v>442.65</v>
      </c>
      <c r="I145" s="27" t="inlineStr">
        <is>
          <t xml:space="preserve">mar/26</t>
        </is>
      </c>
      <c r="J145" s="29">
        <v>162481.74</v>
      </c>
      <c r="K145" s="30">
        <v>5439.5</v>
      </c>
      <c r="L145" s="27" t="inlineStr">
        <is>
          <t xml:space="preserve">jan/26</t>
        </is>
      </c>
      <c r="M145" s="29">
        <v>322.3</v>
      </c>
      <c r="N145" s="27" t="inlineStr">
        <is>
          <t xml:space="preserve">jan/26</t>
        </is>
      </c>
      <c r="O145" s="29">
        <v>71.5</v>
      </c>
      <c r="P145" s="27" t="inlineStr">
        <is>
          <t xml:space="preserve">jan/26</t>
        </is>
      </c>
      <c r="Q145" s="29">
        <v>24.1</v>
      </c>
      <c r="R145" s="27" t="inlineStr">
        <is>
          <t xml:space="preserve">mai/26</t>
        </is>
      </c>
      <c r="S145" s="30">
        <v>10.7175</v>
      </c>
      <c r="T145" s="27" t="inlineStr">
        <is>
          <t xml:space="preserve">jan/26</t>
        </is>
      </c>
      <c r="U145" s="30">
        <v>4.3975</v>
      </c>
      <c r="V145" s="27" t="inlineStr">
        <is>
          <t xml:space="preserve">mar/26</t>
        </is>
      </c>
      <c r="W145" s="29">
        <v>303.5</v>
      </c>
      <c r="X145" s="27" t="inlineStr">
        <is>
          <t xml:space="preserve">jan/26</t>
        </is>
      </c>
      <c r="Y145" s="30">
        <v>0.4948</v>
      </c>
      <c r="Z145" s="27" t="inlineStr">
        <is>
          <t xml:space="preserve">jan/26</t>
        </is>
      </c>
      <c r="AA145" s="29">
        <v>348.84</v>
      </c>
      <c r="AB145" s="29">
        <v>109.1</v>
      </c>
      <c r="AC145" s="29">
        <v>322.63</v>
      </c>
      <c r="AD145" s="29">
        <v>311.29</v>
      </c>
      <c r="AE145" s="29">
        <v>313.64</v>
      </c>
      <c r="AF145" s="29">
        <v>298.5</v>
      </c>
      <c r="AG145" s="29">
        <v>312.54</v>
      </c>
      <c r="AH145" s="29">
        <v>295.61</v>
      </c>
      <c r="AI145" s="29">
        <v>301.56</v>
      </c>
      <c r="AJ145" s="29">
        <v>278.67</v>
      </c>
      <c r="AK145" s="29">
        <v>303.99</v>
      </c>
      <c r="AL145" s="29">
        <v>8.44</v>
      </c>
      <c r="AM145" s="29">
        <v>8.22</v>
      </c>
      <c r="AN145" s="29">
        <v>8.28</v>
      </c>
      <c r="AO145" s="29">
        <v>8.31</v>
      </c>
      <c r="AP145" s="29">
        <v>8.1</v>
      </c>
      <c r="AQ145" s="29">
        <v>118.8</v>
      </c>
      <c r="AR145" s="29">
        <v>132.12</v>
      </c>
      <c r="BH145" s="29">
        <v>1036.21</v>
      </c>
      <c r="BI145" s="29">
        <v>52.95</v>
      </c>
      <c r="BJ145" s="29">
        <v>251.22</v>
      </c>
      <c r="BK145" s="29">
        <v>238.71</v>
      </c>
      <c r="BL145" s="29">
        <v>222.57</v>
      </c>
      <c r="BM145" s="29">
        <v>240.0</v>
      </c>
      <c r="BN145" s="29">
        <v>196.0</v>
      </c>
      <c r="BO145" s="29">
        <v>137.39</v>
      </c>
      <c r="BQ145" s="29">
        <v>133.17</v>
      </c>
      <c r="BX145" s="29">
        <v>47.0</v>
      </c>
      <c r="BY145" s="29">
        <v>52.0</v>
      </c>
      <c r="BZ145" s="29">
        <v>44.33</v>
      </c>
      <c r="CA145" s="29">
        <v>45.6</v>
      </c>
      <c r="CD145" s="29">
        <v>36.83</v>
      </c>
      <c r="CE145" s="29">
        <v>48.97</v>
      </c>
      <c r="CI145" s="29">
        <v>5876.0</v>
      </c>
      <c r="CJ145" s="27" t="inlineStr">
        <is>
          <t xml:space="preserve">mar/26</t>
        </is>
      </c>
    </row>
    <row r="146">
      <c r="A146" s="28">
        <v>46007</v>
      </c>
      <c r="B146" s="29">
        <v>1184.57</v>
      </c>
      <c r="C146" s="29">
        <v>3061.63</v>
      </c>
      <c r="D146" s="29">
        <v>8.09</v>
      </c>
      <c r="E146" s="29">
        <v>8.82</v>
      </c>
      <c r="F146" s="29">
        <v>2175.81</v>
      </c>
      <c r="G146" s="29">
        <v>1255.09</v>
      </c>
      <c r="H146" s="29">
        <v>431.5</v>
      </c>
      <c r="I146" s="27" t="inlineStr">
        <is>
          <t xml:space="preserve">mar/26</t>
        </is>
      </c>
      <c r="J146" s="29">
        <v>158577.88</v>
      </c>
      <c r="K146" s="30">
        <v>5479.0</v>
      </c>
      <c r="L146" s="27" t="inlineStr">
        <is>
          <t xml:space="preserve">jan/26</t>
        </is>
      </c>
      <c r="M146" s="29">
        <v>321.3</v>
      </c>
      <c r="N146" s="27" t="inlineStr">
        <is>
          <t xml:space="preserve">jan/26</t>
        </is>
      </c>
      <c r="O146" s="29">
        <v>71.85</v>
      </c>
      <c r="P146" s="27" t="inlineStr">
        <is>
          <t xml:space="preserve">jan/26</t>
        </is>
      </c>
      <c r="Q146" s="29">
        <v>23.89</v>
      </c>
      <c r="R146" s="27" t="inlineStr">
        <is>
          <t xml:space="preserve">mai/26</t>
        </is>
      </c>
      <c r="S146" s="30">
        <v>10.6275</v>
      </c>
      <c r="T146" s="27" t="inlineStr">
        <is>
          <t xml:space="preserve">jan/26</t>
        </is>
      </c>
      <c r="U146" s="30">
        <v>4.365</v>
      </c>
      <c r="V146" s="27" t="inlineStr">
        <is>
          <t xml:space="preserve">mar/26</t>
        </is>
      </c>
      <c r="W146" s="29">
        <v>302.4</v>
      </c>
      <c r="X146" s="27" t="inlineStr">
        <is>
          <t xml:space="preserve">jan/26</t>
        </is>
      </c>
      <c r="Y146" s="30">
        <v>0.4836</v>
      </c>
      <c r="Z146" s="27" t="inlineStr">
        <is>
          <t xml:space="preserve">jan/26</t>
        </is>
      </c>
      <c r="AA146" s="29">
        <v>347.22</v>
      </c>
      <c r="AB146" s="29">
        <v>109.74</v>
      </c>
      <c r="AC146" s="29">
        <v>320.64</v>
      </c>
      <c r="AD146" s="29">
        <v>310.75</v>
      </c>
      <c r="AE146" s="29">
        <v>314.18</v>
      </c>
      <c r="AF146" s="29">
        <v>298.28</v>
      </c>
      <c r="AG146" s="29">
        <v>312.17</v>
      </c>
      <c r="AH146" s="29">
        <v>296.15</v>
      </c>
      <c r="AI146" s="29">
        <v>300.97</v>
      </c>
      <c r="AJ146" s="29">
        <v>277.51</v>
      </c>
      <c r="AK146" s="29">
        <v>301.5</v>
      </c>
      <c r="AL146" s="29">
        <v>8.44</v>
      </c>
      <c r="AM146" s="29">
        <v>8.27</v>
      </c>
      <c r="AN146" s="29">
        <v>8.29</v>
      </c>
      <c r="AO146" s="29">
        <v>8.31</v>
      </c>
      <c r="AP146" s="29">
        <v>8.1</v>
      </c>
      <c r="AQ146" s="29">
        <v>118.8</v>
      </c>
      <c r="AR146" s="29">
        <v>132.12</v>
      </c>
      <c r="BH146" s="29">
        <v>1035.34</v>
      </c>
      <c r="BI146" s="29">
        <v>53.14</v>
      </c>
      <c r="BJ146" s="29">
        <v>251.22</v>
      </c>
      <c r="BK146" s="29">
        <v>239.26</v>
      </c>
      <c r="BL146" s="29">
        <v>222.57</v>
      </c>
      <c r="BM146" s="29">
        <v>240.0</v>
      </c>
      <c r="BN146" s="29">
        <v>196.0</v>
      </c>
      <c r="BO146" s="29">
        <v>136.13</v>
      </c>
      <c r="BP146" s="29">
        <v>147.43</v>
      </c>
      <c r="BQ146" s="29">
        <v>134.68</v>
      </c>
      <c r="BX146" s="29">
        <v>47.0</v>
      </c>
      <c r="BY146" s="29">
        <v>52.0</v>
      </c>
      <c r="BZ146" s="29">
        <v>44.33</v>
      </c>
      <c r="CA146" s="29">
        <v>45.6</v>
      </c>
      <c r="CD146" s="29">
        <v>36.83</v>
      </c>
      <c r="CE146" s="29">
        <v>47.03</v>
      </c>
      <c r="CI146" s="29">
        <v>5998.0</v>
      </c>
      <c r="CJ146" s="27" t="inlineStr">
        <is>
          <t xml:space="preserve">mar/26</t>
        </is>
      </c>
    </row>
    <row r="147">
      <c r="A147" s="28">
        <v>46008</v>
      </c>
      <c r="B147" s="29">
        <v>1181.88</v>
      </c>
      <c r="C147" s="29">
        <v>3047.82</v>
      </c>
      <c r="D147" s="29">
        <v>8.09</v>
      </c>
      <c r="E147" s="29">
        <v>8.82</v>
      </c>
      <c r="F147" s="29">
        <v>2158.72</v>
      </c>
      <c r="G147" s="29">
        <v>1222.34</v>
      </c>
      <c r="H147" s="29">
        <v>422.1</v>
      </c>
      <c r="I147" s="27" t="inlineStr">
        <is>
          <t xml:space="preserve">mar/26</t>
        </is>
      </c>
      <c r="J147" s="29">
        <v>157327.26</v>
      </c>
      <c r="K147" s="30">
        <v>5532.5</v>
      </c>
      <c r="L147" s="27" t="inlineStr">
        <is>
          <t xml:space="preserve">jan/26</t>
        </is>
      </c>
      <c r="M147" s="29">
        <v>321.0</v>
      </c>
      <c r="N147" s="27" t="inlineStr">
        <is>
          <t xml:space="preserve">jan/26</t>
        </is>
      </c>
      <c r="O147" s="29">
        <v>71.9</v>
      </c>
      <c r="P147" s="27" t="inlineStr">
        <is>
          <t xml:space="preserve">jan/26</t>
        </is>
      </c>
      <c r="Q147" s="29">
        <v>23.8</v>
      </c>
      <c r="R147" s="27" t="inlineStr">
        <is>
          <t xml:space="preserve">mai/26</t>
        </is>
      </c>
      <c r="S147" s="30">
        <v>10.5825</v>
      </c>
      <c r="T147" s="27" t="inlineStr">
        <is>
          <t xml:space="preserve">jan/26</t>
        </is>
      </c>
      <c r="U147" s="30">
        <v>4.405</v>
      </c>
      <c r="V147" s="27" t="inlineStr">
        <is>
          <t xml:space="preserve">mar/26</t>
        </is>
      </c>
      <c r="W147" s="29">
        <v>298.2</v>
      </c>
      <c r="X147" s="27" t="inlineStr">
        <is>
          <t xml:space="preserve">jan/26</t>
        </is>
      </c>
      <c r="Y147" s="30">
        <v>0.4852</v>
      </c>
      <c r="Z147" s="27" t="inlineStr">
        <is>
          <t xml:space="preserve">jan/26</t>
        </is>
      </c>
      <c r="AA147" s="29">
        <v>349.79</v>
      </c>
      <c r="AB147" s="29">
        <v>109.65</v>
      </c>
      <c r="AC147" s="29">
        <v>319.11</v>
      </c>
      <c r="AD147" s="29">
        <v>310.99</v>
      </c>
      <c r="AE147" s="29">
        <v>313.09</v>
      </c>
      <c r="AF147" s="29">
        <v>299.85</v>
      </c>
      <c r="AG147" s="29">
        <v>312.81</v>
      </c>
      <c r="AH147" s="29">
        <v>296.35</v>
      </c>
      <c r="AI147" s="29">
        <v>301.04</v>
      </c>
      <c r="AJ147" s="29">
        <v>277.09</v>
      </c>
      <c r="AK147" s="29">
        <v>301.11</v>
      </c>
      <c r="AL147" s="29">
        <v>8.44</v>
      </c>
      <c r="AM147" s="29">
        <v>8.26</v>
      </c>
      <c r="AN147" s="29">
        <v>8.28</v>
      </c>
      <c r="AO147" s="29">
        <v>8.3</v>
      </c>
      <c r="AP147" s="29">
        <v>8.1</v>
      </c>
      <c r="AQ147" s="29">
        <v>118.77</v>
      </c>
      <c r="AR147" s="29">
        <v>132.25</v>
      </c>
      <c r="BH147" s="29">
        <v>1034.15</v>
      </c>
      <c r="BI147" s="29">
        <v>53.1</v>
      </c>
      <c r="BJ147" s="29">
        <v>251.22</v>
      </c>
      <c r="BK147" s="29">
        <v>239.52</v>
      </c>
      <c r="BL147" s="29">
        <v>222.57</v>
      </c>
      <c r="BM147" s="29">
        <v>240.0</v>
      </c>
      <c r="BN147" s="29">
        <v>195.0</v>
      </c>
      <c r="BO147" s="29">
        <v>136.13</v>
      </c>
      <c r="BP147" s="29">
        <v>147.43</v>
      </c>
      <c r="BQ147" s="29">
        <v>134.44</v>
      </c>
      <c r="BX147" s="29">
        <v>47.0</v>
      </c>
      <c r="BY147" s="29">
        <v>52.0</v>
      </c>
      <c r="BZ147" s="29">
        <v>44.33</v>
      </c>
      <c r="CA147" s="29">
        <v>45.6</v>
      </c>
      <c r="CD147" s="29">
        <v>36.56</v>
      </c>
      <c r="CE147" s="29">
        <v>45.63</v>
      </c>
      <c r="CI147" s="29">
        <v>5978.0</v>
      </c>
      <c r="CJ147" s="27" t="inlineStr">
        <is>
          <t xml:space="preserve">mar/26</t>
        </is>
      </c>
    </row>
    <row r="148">
      <c r="A148" s="28">
        <v>46009</v>
      </c>
      <c r="B148" s="29">
        <v>1184.42</v>
      </c>
      <c r="C148" s="29">
        <v>3073.21</v>
      </c>
      <c r="D148" s="29">
        <v>8.09</v>
      </c>
      <c r="E148" s="29">
        <v>8.82</v>
      </c>
      <c r="F148" s="29">
        <v>2149.88</v>
      </c>
      <c r="G148" s="29">
        <v>1229.48</v>
      </c>
      <c r="H148" s="29">
        <v>419.6</v>
      </c>
      <c r="I148" s="27" t="inlineStr">
        <is>
          <t xml:space="preserve">mar/26</t>
        </is>
      </c>
      <c r="J148" s="29">
        <v>157923.34</v>
      </c>
      <c r="K148" s="30">
        <v>5529.0</v>
      </c>
      <c r="L148" s="27" t="inlineStr">
        <is>
          <t xml:space="preserve">jan/26</t>
        </is>
      </c>
      <c r="M148" s="29">
        <v>321.15</v>
      </c>
      <c r="N148" s="27" t="inlineStr">
        <is>
          <t xml:space="preserve">jan/26</t>
        </is>
      </c>
      <c r="O148" s="29">
        <v>71.17</v>
      </c>
      <c r="P148" s="27" t="inlineStr">
        <is>
          <t xml:space="preserve">jan/26</t>
        </is>
      </c>
      <c r="Q148" s="29">
        <v>23.66</v>
      </c>
      <c r="R148" s="27" t="inlineStr">
        <is>
          <t xml:space="preserve">mai/26</t>
        </is>
      </c>
      <c r="S148" s="30">
        <v>10.5225</v>
      </c>
      <c r="T148" s="27" t="inlineStr">
        <is>
          <t xml:space="preserve">jan/26</t>
        </is>
      </c>
      <c r="U148" s="30">
        <v>4.445</v>
      </c>
      <c r="V148" s="27" t="inlineStr">
        <is>
          <t xml:space="preserve">mar/26</t>
        </is>
      </c>
      <c r="W148" s="29">
        <v>298.4</v>
      </c>
      <c r="X148" s="27" t="inlineStr">
        <is>
          <t xml:space="preserve">jan/26</t>
        </is>
      </c>
      <c r="Y148" s="30">
        <v>0.4811</v>
      </c>
      <c r="Z148" s="27" t="inlineStr">
        <is>
          <t xml:space="preserve">jan/26</t>
        </is>
      </c>
      <c r="AA148" s="29">
        <v>350.56</v>
      </c>
      <c r="AB148" s="29">
        <v>111.0</v>
      </c>
      <c r="AC148" s="29">
        <v>318.62</v>
      </c>
      <c r="AD148" s="29">
        <v>310.95</v>
      </c>
      <c r="AE148" s="29">
        <v>315.02</v>
      </c>
      <c r="AF148" s="29">
        <v>299.61</v>
      </c>
      <c r="AG148" s="29">
        <v>313.49</v>
      </c>
      <c r="AH148" s="29">
        <v>299.73</v>
      </c>
      <c r="AI148" s="29">
        <v>300.56</v>
      </c>
      <c r="AJ148" s="29">
        <v>277.04</v>
      </c>
      <c r="AK148" s="29">
        <v>301.23</v>
      </c>
      <c r="AL148" s="29">
        <v>8.45</v>
      </c>
      <c r="AM148" s="29">
        <v>8.25</v>
      </c>
      <c r="AN148" s="29">
        <v>8.28</v>
      </c>
      <c r="AO148" s="29">
        <v>8.3</v>
      </c>
      <c r="AP148" s="29">
        <v>8.1</v>
      </c>
      <c r="AQ148" s="29">
        <v>118.77</v>
      </c>
      <c r="AR148" s="29">
        <v>131.7</v>
      </c>
      <c r="BH148" s="29">
        <v>1029.54</v>
      </c>
      <c r="BI148" s="29">
        <v>53.09</v>
      </c>
      <c r="BJ148" s="29">
        <v>251.22</v>
      </c>
      <c r="BK148" s="29">
        <v>239.62</v>
      </c>
      <c r="BL148" s="29">
        <v>222.57</v>
      </c>
      <c r="BM148" s="29">
        <v>240.0</v>
      </c>
      <c r="BN148" s="29">
        <v>195.0</v>
      </c>
      <c r="BO148" s="29">
        <v>137.38</v>
      </c>
      <c r="BP148" s="29">
        <v>147.43</v>
      </c>
      <c r="BQ148" s="29">
        <v>134.95</v>
      </c>
      <c r="BX148" s="29">
        <v>47.0</v>
      </c>
      <c r="BY148" s="29">
        <v>52.0</v>
      </c>
      <c r="BZ148" s="29">
        <v>44.33</v>
      </c>
      <c r="CA148" s="29">
        <v>45.6</v>
      </c>
      <c r="CD148" s="29">
        <v>36.56</v>
      </c>
      <c r="CE148" s="29">
        <v>44.71</v>
      </c>
    </row>
    <row r="149">
      <c r="A149" s="28">
        <v>46010</v>
      </c>
      <c r="B149" s="29">
        <v>1182.32</v>
      </c>
      <c r="C149" s="29">
        <v>3064.07</v>
      </c>
      <c r="D149" s="29">
        <v>8.09</v>
      </c>
      <c r="E149" s="29">
        <v>8.87</v>
      </c>
      <c r="F149" s="29">
        <v>2135.34</v>
      </c>
      <c r="G149" s="29">
        <v>1223.77</v>
      </c>
      <c r="H149" s="29">
        <v>417.85</v>
      </c>
      <c r="I149" s="27" t="inlineStr">
        <is>
          <t xml:space="preserve">mar/26</t>
        </is>
      </c>
      <c r="J149" s="29">
        <v>158473.02</v>
      </c>
      <c r="K149" s="30">
        <v>5558.5</v>
      </c>
      <c r="L149" s="27" t="inlineStr">
        <is>
          <t xml:space="preserve">jan/26</t>
        </is>
      </c>
      <c r="M149" s="29">
        <v>316.0</v>
      </c>
      <c r="N149" s="27" t="inlineStr">
        <is>
          <t xml:space="preserve">jan/26</t>
        </is>
      </c>
      <c r="O149" s="29">
        <v>70.95</v>
      </c>
      <c r="P149" s="27" t="inlineStr">
        <is>
          <t xml:space="preserve">jan/26</t>
        </is>
      </c>
      <c r="Q149" s="29">
        <v>23.62</v>
      </c>
      <c r="R149" s="27" t="inlineStr">
        <is>
          <t xml:space="preserve">mai/26</t>
        </is>
      </c>
      <c r="S149" s="30">
        <v>10.4925</v>
      </c>
      <c r="T149" s="27" t="inlineStr">
        <is>
          <t xml:space="preserve">jan/26</t>
        </is>
      </c>
      <c r="U149" s="30">
        <v>4.4375</v>
      </c>
      <c r="V149" s="27" t="inlineStr">
        <is>
          <t xml:space="preserve">mar/26</t>
        </is>
      </c>
      <c r="W149" s="29">
        <v>297.6</v>
      </c>
      <c r="X149" s="27" t="inlineStr">
        <is>
          <t xml:space="preserve">jan/26</t>
        </is>
      </c>
      <c r="Y149" s="30">
        <v>0.479</v>
      </c>
      <c r="Z149" s="27" t="inlineStr">
        <is>
          <t xml:space="preserve">jan/26</t>
        </is>
      </c>
      <c r="AA149" s="29">
        <v>347.31</v>
      </c>
      <c r="AB149" s="29">
        <v>110.75</v>
      </c>
      <c r="AC149" s="29">
        <v>318.64</v>
      </c>
      <c r="AD149" s="29">
        <v>311.54</v>
      </c>
      <c r="AE149" s="29">
        <v>314.43</v>
      </c>
      <c r="AF149" s="29">
        <v>295.88</v>
      </c>
      <c r="AG149" s="29">
        <v>313.75</v>
      </c>
      <c r="AH149" s="29">
        <v>296.58</v>
      </c>
      <c r="AI149" s="29">
        <v>300.24</v>
      </c>
      <c r="AJ149" s="29">
        <v>277.63</v>
      </c>
      <c r="AK149" s="29">
        <v>301.23</v>
      </c>
      <c r="AL149" s="29">
        <v>8.44</v>
      </c>
      <c r="AM149" s="29">
        <v>8.25</v>
      </c>
      <c r="AN149" s="29">
        <v>8.31</v>
      </c>
      <c r="AO149" s="29">
        <v>8.3</v>
      </c>
      <c r="AP149" s="29">
        <v>8.1</v>
      </c>
      <c r="AQ149" s="29">
        <v>118.77</v>
      </c>
      <c r="AR149" s="29">
        <v>130.76</v>
      </c>
      <c r="BC149" s="29">
        <v>9.25</v>
      </c>
      <c r="BD149" s="29">
        <v>9.36</v>
      </c>
      <c r="BE149" s="29">
        <v>10.11</v>
      </c>
      <c r="BF149" s="29">
        <v>8.79</v>
      </c>
      <c r="BG149" s="29">
        <v>9.5</v>
      </c>
      <c r="BH149" s="29">
        <v>1041.8</v>
      </c>
      <c r="BI149" s="29">
        <v>53.45</v>
      </c>
      <c r="BJ149" s="29">
        <v>251.22</v>
      </c>
      <c r="BK149" s="29">
        <v>239.69</v>
      </c>
      <c r="BL149" s="29">
        <v>222.57</v>
      </c>
      <c r="BM149" s="29">
        <v>240.0</v>
      </c>
      <c r="BO149" s="29">
        <v>137.38</v>
      </c>
      <c r="BP149" s="29">
        <v>147.43</v>
      </c>
      <c r="BQ149" s="29">
        <v>135.06</v>
      </c>
      <c r="BS149" s="30">
        <v>2.9177</v>
      </c>
      <c r="BT149" s="30">
        <v>3.3074</v>
      </c>
      <c r="BU149" s="29">
        <v>515.39</v>
      </c>
      <c r="BV149" s="29">
        <v>460.95</v>
      </c>
      <c r="BW149" s="29">
        <v>499.01</v>
      </c>
      <c r="BX149" s="29">
        <v>47.0</v>
      </c>
      <c r="BY149" s="29">
        <v>52.0</v>
      </c>
      <c r="BZ149" s="29">
        <v>47.17</v>
      </c>
      <c r="CA149" s="29">
        <v>45.6</v>
      </c>
      <c r="CD149" s="29">
        <v>36.56</v>
      </c>
      <c r="CE149" s="29">
        <v>44.5</v>
      </c>
      <c r="CI149" s="29">
        <v>5845.0</v>
      </c>
      <c r="CJ149" s="27" t="inlineStr">
        <is>
          <t xml:space="preserve">mar/26</t>
        </is>
      </c>
    </row>
    <row r="150">
      <c r="A150" s="28">
        <v>46013</v>
      </c>
      <c r="B150" s="29">
        <v>1182.32</v>
      </c>
      <c r="C150" s="29">
        <v>3066.34</v>
      </c>
      <c r="D150" s="29">
        <v>8.14</v>
      </c>
      <c r="E150" s="29">
        <v>8.87</v>
      </c>
      <c r="F150" s="29">
        <v>2159.06</v>
      </c>
      <c r="G150" s="29">
        <v>1240.19</v>
      </c>
      <c r="H150" s="29">
        <v>424.0</v>
      </c>
      <c r="I150" s="27" t="inlineStr">
        <is>
          <t xml:space="preserve">mar/26</t>
        </is>
      </c>
      <c r="J150" s="29">
        <v>158141.65</v>
      </c>
      <c r="K150" s="30">
        <v>5591.0</v>
      </c>
      <c r="L150" s="27" t="inlineStr">
        <is>
          <t xml:space="preserve">jan/26</t>
        </is>
      </c>
      <c r="M150" s="29">
        <v>316.35</v>
      </c>
      <c r="N150" s="27" t="inlineStr">
        <is>
          <t xml:space="preserve">jan/26</t>
        </is>
      </c>
      <c r="O150" s="29">
        <v>71.0</v>
      </c>
      <c r="P150" s="27" t="inlineStr">
        <is>
          <t xml:space="preserve">jan/26</t>
        </is>
      </c>
      <c r="Q150" s="29">
        <v>23.72</v>
      </c>
      <c r="R150" s="27" t="inlineStr">
        <is>
          <t xml:space="preserve">mai/26</t>
        </is>
      </c>
      <c r="S150" s="30">
        <v>10.5325</v>
      </c>
      <c r="T150" s="27" t="inlineStr">
        <is>
          <t xml:space="preserve">jan/26</t>
        </is>
      </c>
      <c r="U150" s="30">
        <v>4.47</v>
      </c>
      <c r="V150" s="27" t="inlineStr">
        <is>
          <t xml:space="preserve">mar/26</t>
        </is>
      </c>
      <c r="W150" s="29">
        <v>298.6</v>
      </c>
      <c r="X150" s="27" t="inlineStr">
        <is>
          <t xml:space="preserve">jan/26</t>
        </is>
      </c>
      <c r="Y150" s="30">
        <v>0.4855</v>
      </c>
      <c r="Z150" s="27" t="inlineStr">
        <is>
          <t xml:space="preserve">jan/26</t>
        </is>
      </c>
      <c r="AA150" s="29">
        <v>348.06</v>
      </c>
      <c r="AB150" s="29">
        <v>110.63</v>
      </c>
      <c r="AC150" s="29">
        <v>320.82</v>
      </c>
      <c r="AD150" s="29">
        <v>310.9</v>
      </c>
      <c r="AE150" s="29">
        <v>311.2</v>
      </c>
      <c r="AF150" s="29">
        <v>296.56</v>
      </c>
      <c r="AG150" s="29">
        <v>313.89</v>
      </c>
      <c r="AH150" s="29">
        <v>296.04</v>
      </c>
      <c r="AI150" s="29">
        <v>300.9</v>
      </c>
      <c r="AJ150" s="29">
        <v>277.57</v>
      </c>
      <c r="AK150" s="29">
        <v>302.14</v>
      </c>
      <c r="AL150" s="29">
        <v>8.44</v>
      </c>
      <c r="AM150" s="29">
        <v>8.23</v>
      </c>
      <c r="AN150" s="29">
        <v>8.3</v>
      </c>
      <c r="AO150" s="29">
        <v>8.3</v>
      </c>
      <c r="AP150" s="29">
        <v>8.16</v>
      </c>
      <c r="AQ150" s="29">
        <v>118.77</v>
      </c>
      <c r="AR150" s="29">
        <v>130.76</v>
      </c>
      <c r="BH150" s="29">
        <v>1046.01</v>
      </c>
      <c r="BI150" s="29">
        <v>53.45</v>
      </c>
      <c r="BJ150" s="29">
        <v>251.22</v>
      </c>
      <c r="BK150" s="29">
        <v>239.99</v>
      </c>
      <c r="BL150" s="29">
        <v>222.57</v>
      </c>
      <c r="BM150" s="29">
        <v>240.0</v>
      </c>
      <c r="BO150" s="29">
        <v>138.22</v>
      </c>
      <c r="BP150" s="29">
        <v>147.43</v>
      </c>
      <c r="BQ150" s="29">
        <v>135.08</v>
      </c>
      <c r="BX150" s="29">
        <v>47.0</v>
      </c>
      <c r="BY150" s="29">
        <v>52.0</v>
      </c>
      <c r="BZ150" s="29">
        <v>47.17</v>
      </c>
      <c r="CA150" s="29">
        <v>45.6</v>
      </c>
      <c r="CD150" s="29">
        <v>36.61</v>
      </c>
      <c r="CE150" s="29">
        <v>43.52</v>
      </c>
      <c r="CI150" s="29">
        <v>5887.0</v>
      </c>
      <c r="CJ150" s="27" t="inlineStr">
        <is>
          <t xml:space="preserve">mar/26</t>
        </is>
      </c>
    </row>
    <row r="151">
      <c r="A151" s="28">
        <v>46014</v>
      </c>
      <c r="B151" s="29">
        <v>1182.07</v>
      </c>
      <c r="C151" s="29">
        <v>3067.72</v>
      </c>
      <c r="D151" s="29">
        <v>8.1</v>
      </c>
      <c r="E151" s="29">
        <v>8.87</v>
      </c>
      <c r="F151" s="29">
        <v>2162.0</v>
      </c>
      <c r="G151" s="29">
        <v>1255.97</v>
      </c>
      <c r="H151" s="29">
        <v>421.65</v>
      </c>
      <c r="I151" s="27" t="inlineStr">
        <is>
          <t xml:space="preserve">mar/26</t>
        </is>
      </c>
      <c r="J151" s="29">
        <v>160455.83</v>
      </c>
      <c r="K151" s="30">
        <v>5543.5</v>
      </c>
      <c r="L151" s="27" t="inlineStr">
        <is>
          <t xml:space="preserve">jan/26</t>
        </is>
      </c>
      <c r="M151" s="29">
        <v>317.6</v>
      </c>
      <c r="N151" s="27" t="inlineStr">
        <is>
          <t xml:space="preserve">jan/26</t>
        </is>
      </c>
      <c r="O151" s="29">
        <v>70.83</v>
      </c>
      <c r="P151" s="27" t="inlineStr">
        <is>
          <t xml:space="preserve">jan/26</t>
        </is>
      </c>
      <c r="Q151" s="29">
        <v>23.69</v>
      </c>
      <c r="R151" s="27" t="inlineStr">
        <is>
          <t xml:space="preserve">mai/26</t>
        </is>
      </c>
      <c r="S151" s="30">
        <v>10.515</v>
      </c>
      <c r="T151" s="27" t="inlineStr">
        <is>
          <t xml:space="preserve">jan/26</t>
        </is>
      </c>
      <c r="U151" s="30">
        <v>4.475</v>
      </c>
      <c r="V151" s="27" t="inlineStr">
        <is>
          <t xml:space="preserve">mar/26</t>
        </is>
      </c>
      <c r="W151" s="29">
        <v>301.1</v>
      </c>
      <c r="X151" s="27" t="inlineStr">
        <is>
          <t xml:space="preserve">jan/26</t>
        </is>
      </c>
      <c r="Y151" s="30">
        <v>0.483</v>
      </c>
      <c r="Z151" s="27" t="inlineStr">
        <is>
          <t xml:space="preserve">jan/26</t>
        </is>
      </c>
      <c r="AA151" s="29">
        <v>348.62</v>
      </c>
      <c r="AB151" s="29">
        <v>110.63</v>
      </c>
      <c r="AC151" s="29">
        <v>320.34</v>
      </c>
      <c r="AD151" s="29">
        <v>310.76</v>
      </c>
      <c r="AE151" s="29">
        <v>312.07</v>
      </c>
      <c r="AF151" s="29">
        <v>302.43</v>
      </c>
      <c r="AG151" s="29">
        <v>313.24</v>
      </c>
      <c r="AH151" s="29">
        <v>294.4</v>
      </c>
      <c r="AI151" s="29">
        <v>304.03</v>
      </c>
      <c r="AJ151" s="29">
        <v>277.11</v>
      </c>
      <c r="AK151" s="29">
        <v>302.38</v>
      </c>
      <c r="AL151" s="29">
        <v>8.44</v>
      </c>
      <c r="AM151" s="29">
        <v>8.23</v>
      </c>
      <c r="AN151" s="29">
        <v>8.3</v>
      </c>
      <c r="AO151" s="29">
        <v>8.3</v>
      </c>
      <c r="AP151" s="29">
        <v>8.12</v>
      </c>
      <c r="AQ151" s="29">
        <v>118.77</v>
      </c>
      <c r="AR151" s="29">
        <v>130.76</v>
      </c>
      <c r="BH151" s="29">
        <v>1046.01</v>
      </c>
      <c r="BI151" s="29">
        <v>53.45</v>
      </c>
      <c r="BJ151" s="29">
        <v>251.22</v>
      </c>
      <c r="BK151" s="29">
        <v>240.0</v>
      </c>
      <c r="BL151" s="29">
        <v>222.57</v>
      </c>
      <c r="BM151" s="29">
        <v>240.0</v>
      </c>
      <c r="BO151" s="29">
        <v>137.67</v>
      </c>
      <c r="BP151" s="29">
        <v>146.0</v>
      </c>
      <c r="BQ151" s="29">
        <v>135.27</v>
      </c>
      <c r="BY151" s="29">
        <v>52.0</v>
      </c>
      <c r="BZ151" s="29">
        <v>47.17</v>
      </c>
      <c r="CA151" s="29">
        <v>45.6</v>
      </c>
      <c r="CD151" s="29">
        <v>36.69</v>
      </c>
      <c r="CE151" s="29">
        <v>43.37</v>
      </c>
      <c r="CI151" s="29">
        <v>5958.0</v>
      </c>
      <c r="CJ151" s="27" t="inlineStr">
        <is>
          <t xml:space="preserve">mar/26</t>
        </is>
      </c>
    </row>
    <row r="152">
      <c r="A152" s="28">
        <v>46017</v>
      </c>
      <c r="B152" s="29">
        <v>1182.07</v>
      </c>
      <c r="C152" s="29">
        <v>3063.72</v>
      </c>
      <c r="D152" s="29">
        <v>8.1</v>
      </c>
      <c r="E152" s="29">
        <v>8.92</v>
      </c>
      <c r="F152" s="29">
        <v>2167.55</v>
      </c>
      <c r="G152" s="29">
        <v>1256.47</v>
      </c>
      <c r="H152" s="29">
        <v>425.0</v>
      </c>
      <c r="I152" s="27" t="inlineStr">
        <is>
          <t xml:space="preserve">mar/26</t>
        </is>
      </c>
      <c r="J152" s="29">
        <v>160896.64</v>
      </c>
      <c r="K152" s="30">
        <v>5547.0</v>
      </c>
      <c r="L152" s="27" t="inlineStr">
        <is>
          <t xml:space="preserve">jan/26</t>
        </is>
      </c>
      <c r="M152" s="29">
        <v>319.0</v>
      </c>
      <c r="N152" s="27" t="inlineStr">
        <is>
          <t xml:space="preserve">jan/26</t>
        </is>
      </c>
      <c r="O152" s="29">
        <v>70.09</v>
      </c>
      <c r="P152" s="27" t="inlineStr">
        <is>
          <t xml:space="preserve">jan/26</t>
        </is>
      </c>
      <c r="Q152" s="29">
        <v>23.9</v>
      </c>
      <c r="R152" s="27" t="inlineStr">
        <is>
          <t xml:space="preserve">mai/26</t>
        </is>
      </c>
      <c r="S152" s="30">
        <v>10.5875</v>
      </c>
      <c r="T152" s="27" t="inlineStr">
        <is>
          <t xml:space="preserve">jan/26</t>
        </is>
      </c>
      <c r="U152" s="30">
        <v>4.5</v>
      </c>
      <c r="V152" s="27" t="inlineStr">
        <is>
          <t xml:space="preserve">mar/26</t>
        </is>
      </c>
      <c r="W152" s="29">
        <v>303.7</v>
      </c>
      <c r="X152" s="27" t="inlineStr">
        <is>
          <t xml:space="preserve">jan/26</t>
        </is>
      </c>
      <c r="Y152" s="30">
        <v>0.4872</v>
      </c>
      <c r="Z152" s="27" t="inlineStr">
        <is>
          <t xml:space="preserve">jan/26</t>
        </is>
      </c>
      <c r="AA152" s="29">
        <v>348.62</v>
      </c>
      <c r="AB152" s="29">
        <v>110.63</v>
      </c>
      <c r="AC152" s="29">
        <v>319.61</v>
      </c>
      <c r="AD152" s="29">
        <v>310.68</v>
      </c>
      <c r="AE152" s="29">
        <v>313.46</v>
      </c>
      <c r="AF152" s="29">
        <v>301.71</v>
      </c>
      <c r="AG152" s="29">
        <v>313.09</v>
      </c>
      <c r="AH152" s="29">
        <v>295.78</v>
      </c>
      <c r="AI152" s="29">
        <v>302.22</v>
      </c>
      <c r="AJ152" s="29">
        <v>275.2</v>
      </c>
      <c r="AK152" s="29">
        <v>300.51</v>
      </c>
      <c r="AL152" s="29">
        <v>8.44</v>
      </c>
      <c r="AM152" s="29">
        <v>8.24</v>
      </c>
      <c r="AN152" s="29">
        <v>8.3</v>
      </c>
      <c r="AO152" s="29">
        <v>8.3</v>
      </c>
      <c r="AP152" s="29">
        <v>8.12</v>
      </c>
      <c r="AQ152" s="29">
        <v>102.39</v>
      </c>
      <c r="AR152" s="29">
        <v>114.21</v>
      </c>
      <c r="BC152" s="29">
        <v>9.27</v>
      </c>
      <c r="BD152" s="29">
        <v>9.41</v>
      </c>
      <c r="BE152" s="29">
        <v>10.11</v>
      </c>
      <c r="BF152" s="29">
        <v>8.78</v>
      </c>
      <c r="BG152" s="29">
        <v>9.53</v>
      </c>
      <c r="BH152" s="29">
        <v>1046.01</v>
      </c>
      <c r="BI152" s="29">
        <v>53.45</v>
      </c>
      <c r="BJ152" s="29">
        <v>251.22</v>
      </c>
      <c r="BK152" s="29">
        <v>240.0</v>
      </c>
      <c r="BL152" s="29">
        <v>222.57</v>
      </c>
      <c r="BM152" s="29">
        <v>240.0</v>
      </c>
      <c r="BO152" s="29">
        <v>137.67</v>
      </c>
      <c r="BP152" s="29">
        <v>146.0</v>
      </c>
      <c r="BQ152" s="29">
        <v>135.85</v>
      </c>
      <c r="BS152" s="30">
        <v>2.9296</v>
      </c>
      <c r="BT152" s="30">
        <v>3.3489</v>
      </c>
      <c r="CD152" s="29">
        <v>36.53</v>
      </c>
      <c r="CE152" s="29">
        <v>40.38</v>
      </c>
      <c r="CI152" s="29">
        <v>5953.0</v>
      </c>
      <c r="CJ152" s="27" t="inlineStr">
        <is>
          <t xml:space="preserve">mar/26</t>
        </is>
      </c>
    </row>
    <row r="153">
      <c r="A153" s="28">
        <v>46020</v>
      </c>
      <c r="B153" s="29">
        <v>1182.07</v>
      </c>
      <c r="C153" s="29">
        <v>3062.69</v>
      </c>
      <c r="D153" s="29">
        <v>8.1</v>
      </c>
      <c r="E153" s="29">
        <v>8.91</v>
      </c>
      <c r="F153" s="29">
        <v>2176.02</v>
      </c>
      <c r="G153" s="29">
        <v>1250.58</v>
      </c>
      <c r="H153" s="29">
        <v>425.1</v>
      </c>
      <c r="I153" s="27" t="inlineStr">
        <is>
          <t xml:space="preserve">mar/26</t>
        </is>
      </c>
      <c r="J153" s="29">
        <v>160490.3</v>
      </c>
      <c r="K153" s="30">
        <v>5574.0</v>
      </c>
      <c r="L153" s="27" t="inlineStr">
        <is>
          <t xml:space="preserve">jan/26</t>
        </is>
      </c>
      <c r="M153" s="29">
        <v>314.0</v>
      </c>
      <c r="N153" s="27" t="inlineStr">
        <is>
          <t xml:space="preserve">jan/26</t>
        </is>
      </c>
      <c r="O153" s="29">
        <v>70.24</v>
      </c>
      <c r="P153" s="27" t="inlineStr">
        <is>
          <t xml:space="preserve">jan/26</t>
        </is>
      </c>
      <c r="Q153" s="29">
        <v>23.73</v>
      </c>
      <c r="R153" s="27" t="inlineStr">
        <is>
          <t xml:space="preserve">mai/26</t>
        </is>
      </c>
      <c r="S153" s="30">
        <v>10.495</v>
      </c>
      <c r="T153" s="27" t="inlineStr">
        <is>
          <t xml:space="preserve">jan/26</t>
        </is>
      </c>
      <c r="U153" s="30">
        <v>4.4225</v>
      </c>
      <c r="V153" s="27" t="inlineStr">
        <is>
          <t xml:space="preserve">mar/26</t>
        </is>
      </c>
      <c r="W153" s="29">
        <v>298.8</v>
      </c>
      <c r="X153" s="27" t="inlineStr">
        <is>
          <t xml:space="preserve">jan/26</t>
        </is>
      </c>
      <c r="Y153" s="30">
        <v>0.4878</v>
      </c>
      <c r="Z153" s="27" t="inlineStr">
        <is>
          <t xml:space="preserve">jan/26</t>
        </is>
      </c>
      <c r="AA153" s="29">
        <v>348.62</v>
      </c>
      <c r="AB153" s="29">
        <v>109.99</v>
      </c>
      <c r="AL153" s="29">
        <v>8.44</v>
      </c>
      <c r="AM153" s="29">
        <v>8.27</v>
      </c>
      <c r="AN153" s="29">
        <v>8.3</v>
      </c>
      <c r="AO153" s="29">
        <v>8.34</v>
      </c>
      <c r="AP153" s="29">
        <v>8.12</v>
      </c>
      <c r="AQ153" s="29">
        <v>102.62</v>
      </c>
      <c r="AR153" s="29">
        <v>114.21</v>
      </c>
      <c r="BH153" s="29">
        <v>1046.01</v>
      </c>
      <c r="BI153" s="29">
        <v>53.45</v>
      </c>
      <c r="BJ153" s="29">
        <v>251.22</v>
      </c>
      <c r="BK153" s="29">
        <v>239.82</v>
      </c>
      <c r="BL153" s="29">
        <v>222.57</v>
      </c>
      <c r="BM153" s="29">
        <v>240.0</v>
      </c>
      <c r="BO153" s="29">
        <v>137.67</v>
      </c>
      <c r="BP153" s="29">
        <v>146.0</v>
      </c>
      <c r="BQ153" s="29">
        <v>135.7</v>
      </c>
      <c r="CD153" s="29">
        <v>36.53</v>
      </c>
      <c r="CE153" s="29">
        <v>40.39</v>
      </c>
      <c r="CI153" s="29">
        <v>6242.0</v>
      </c>
      <c r="CJ153" s="27" t="inlineStr">
        <is>
          <t xml:space="preserve">mar/26</t>
        </is>
      </c>
    </row>
    <row r="154">
      <c r="A154" s="28">
        <v>46021</v>
      </c>
      <c r="B154" s="29">
        <v>1182.19</v>
      </c>
      <c r="C154" s="29">
        <v>3066.58</v>
      </c>
      <c r="D154" s="29">
        <v>8.12</v>
      </c>
      <c r="E154" s="29">
        <v>8.91</v>
      </c>
      <c r="F154" s="29">
        <v>2174.74</v>
      </c>
      <c r="G154" s="29">
        <v>1263.91</v>
      </c>
      <c r="H154" s="29">
        <v>428.0</v>
      </c>
      <c r="I154" s="27" t="inlineStr">
        <is>
          <t xml:space="preserve">mar/26</t>
        </is>
      </c>
      <c r="J154" s="29">
        <v>161125.37</v>
      </c>
      <c r="K154" s="30">
        <v>5503.0</v>
      </c>
      <c r="L154" s="27" t="inlineStr">
        <is>
          <t xml:space="preserve">jan/26</t>
        </is>
      </c>
      <c r="M154" s="29">
        <v>314.1</v>
      </c>
      <c r="N154" s="27" t="inlineStr">
        <is>
          <t xml:space="preserve">jan/26</t>
        </is>
      </c>
      <c r="O154" s="29">
        <v>70.24</v>
      </c>
      <c r="P154" s="27" t="inlineStr">
        <is>
          <t xml:space="preserve">jan/26</t>
        </is>
      </c>
      <c r="Q154" s="29">
        <v>23.69</v>
      </c>
      <c r="R154" s="27" t="inlineStr">
        <is>
          <t xml:space="preserve">mai/26</t>
        </is>
      </c>
      <c r="S154" s="30">
        <v>10.4625</v>
      </c>
      <c r="T154" s="27" t="inlineStr">
        <is>
          <t xml:space="preserve">jan/26</t>
        </is>
      </c>
      <c r="U154" s="30">
        <v>4.405</v>
      </c>
      <c r="V154" s="27" t="inlineStr">
        <is>
          <t xml:space="preserve">mar/26</t>
        </is>
      </c>
      <c r="W154" s="29">
        <v>296.7</v>
      </c>
      <c r="X154" s="27" t="inlineStr">
        <is>
          <t xml:space="preserve">jan/26</t>
        </is>
      </c>
      <c r="Y154" s="30">
        <v>0.4893</v>
      </c>
      <c r="Z154" s="27" t="inlineStr">
        <is>
          <t xml:space="preserve">jan/26</t>
        </is>
      </c>
      <c r="AA154" s="29">
        <v>348.62</v>
      </c>
      <c r="AB154" s="29">
        <v>109.99</v>
      </c>
      <c r="AC154" s="29">
        <v>318.44</v>
      </c>
      <c r="AD154" s="29">
        <v>312.82</v>
      </c>
      <c r="AE154" s="29">
        <v>309.87</v>
      </c>
      <c r="AF154" s="29">
        <v>302.4</v>
      </c>
      <c r="AG154" s="29">
        <v>309.68</v>
      </c>
      <c r="AH154" s="29">
        <v>295.54</v>
      </c>
      <c r="AI154" s="29">
        <v>298.91</v>
      </c>
      <c r="AJ154" s="29">
        <v>278.65</v>
      </c>
      <c r="AK154" s="29">
        <v>301.49</v>
      </c>
      <c r="AL154" s="29">
        <v>8.43</v>
      </c>
      <c r="AM154" s="29">
        <v>8.27</v>
      </c>
      <c r="AN154" s="29">
        <v>8.3</v>
      </c>
      <c r="AO154" s="29">
        <v>8.35</v>
      </c>
      <c r="AP154" s="29">
        <v>8.14</v>
      </c>
      <c r="AQ154" s="29">
        <v>98.69</v>
      </c>
      <c r="AR154" s="29">
        <v>110.15</v>
      </c>
      <c r="BH154" s="29">
        <v>1046.01</v>
      </c>
      <c r="BI154" s="29">
        <v>53.45</v>
      </c>
      <c r="BJ154" s="29">
        <v>251.22</v>
      </c>
      <c r="BK154" s="29">
        <v>239.82</v>
      </c>
      <c r="BL154" s="29">
        <v>222.57</v>
      </c>
      <c r="BM154" s="29">
        <v>240.0</v>
      </c>
      <c r="BO154" s="29">
        <v>139.1</v>
      </c>
      <c r="BP154" s="29">
        <v>146.0</v>
      </c>
      <c r="BQ154" s="29">
        <v>137.41</v>
      </c>
      <c r="CD154" s="29">
        <v>36.53</v>
      </c>
      <c r="CE154" s="29">
        <v>39.38</v>
      </c>
      <c r="CI154" s="29">
        <v>6063.0</v>
      </c>
      <c r="CJ154" s="27" t="inlineStr">
        <is>
          <t xml:space="preserve">mar/26</t>
        </is>
      </c>
    </row>
    <row r="155">
      <c r="A155" s="28">
        <v>46022</v>
      </c>
      <c r="H155" s="29">
        <v>428.0</v>
      </c>
      <c r="I155" s="27" t="inlineStr">
        <is>
          <t xml:space="preserve">mar/26</t>
        </is>
      </c>
      <c r="M155" s="29">
        <v>313.5</v>
      </c>
      <c r="N155" s="27" t="inlineStr">
        <is>
          <t xml:space="preserve">jan/26</t>
        </is>
      </c>
      <c r="O155" s="29">
        <v>70.2</v>
      </c>
      <c r="P155" s="27" t="inlineStr">
        <is>
          <t xml:space="preserve">jan/26</t>
        </is>
      </c>
      <c r="Q155" s="29">
        <v>23.69</v>
      </c>
      <c r="R155" s="27" t="inlineStr">
        <is>
          <t xml:space="preserve">mai/26</t>
        </is>
      </c>
    </row>
    <row r="156">
      <c r="A156" s="28">
        <v>46023</v>
      </c>
      <c r="AS156" s="30">
        <v>2.02</v>
      </c>
      <c r="AT156" s="30">
        <v>2.06</v>
      </c>
      <c r="AU156" s="30">
        <v>1.92</v>
      </c>
      <c r="AV156" s="30">
        <v>2.11</v>
      </c>
      <c r="AW156" s="30">
        <v>2.04</v>
      </c>
      <c r="AX156" s="30">
        <v>1.96</v>
      </c>
      <c r="AY156" s="30">
        <v>2.0</v>
      </c>
      <c r="AZ156" s="30">
        <v>2.07</v>
      </c>
      <c r="BA156" s="30">
        <v>2.06</v>
      </c>
      <c r="BB156" s="30">
        <v>1.93</v>
      </c>
    </row>
    <row r="157">
      <c r="A157" s="28">
        <v>46024</v>
      </c>
      <c r="B157" s="29">
        <v>1183.57</v>
      </c>
      <c r="C157" s="29">
        <v>3070.21</v>
      </c>
      <c r="D157" s="29">
        <v>8.07</v>
      </c>
      <c r="E157" s="29">
        <v>8.95</v>
      </c>
      <c r="F157" s="29">
        <v>2171.95</v>
      </c>
      <c r="G157" s="29">
        <v>1263.38</v>
      </c>
      <c r="H157" s="29">
        <v>426.4</v>
      </c>
      <c r="I157" s="27" t="inlineStr">
        <is>
          <t xml:space="preserve">mar/26</t>
        </is>
      </c>
      <c r="J157" s="29">
        <v>160538.69</v>
      </c>
      <c r="K157" s="30">
        <v>5455.5</v>
      </c>
      <c r="L157" s="27" t="inlineStr">
        <is>
          <t xml:space="preserve">fev/26</t>
        </is>
      </c>
      <c r="M157" s="29">
        <v>318.55</v>
      </c>
      <c r="N157" s="27" t="inlineStr">
        <is>
          <t xml:space="preserve">fev/26</t>
        </is>
      </c>
      <c r="O157" s="29">
        <v>74.1</v>
      </c>
      <c r="P157" s="27" t="inlineStr">
        <is>
          <t xml:space="preserve">mar/26</t>
        </is>
      </c>
      <c r="Q157" s="29">
        <v>23.32</v>
      </c>
      <c r="R157" s="27" t="inlineStr">
        <is>
          <t xml:space="preserve">mai/26</t>
        </is>
      </c>
      <c r="S157" s="30">
        <v>10.4575</v>
      </c>
      <c r="T157" s="27" t="inlineStr">
        <is>
          <t xml:space="preserve">mar/26</t>
        </is>
      </c>
      <c r="U157" s="30">
        <v>4.375</v>
      </c>
      <c r="V157" s="27" t="inlineStr">
        <is>
          <t xml:space="preserve">mar/26</t>
        </is>
      </c>
      <c r="W157" s="29">
        <v>296.0</v>
      </c>
      <c r="X157" s="27" t="inlineStr">
        <is>
          <t xml:space="preserve">mar/26</t>
        </is>
      </c>
      <c r="Y157" s="30">
        <v>0.493</v>
      </c>
      <c r="Z157" s="27" t="inlineStr">
        <is>
          <t xml:space="preserve">mar/26</t>
        </is>
      </c>
      <c r="AA157" s="29">
        <v>348.6</v>
      </c>
      <c r="AB157" s="29">
        <v>109.99</v>
      </c>
      <c r="AC157" s="29">
        <v>318.29</v>
      </c>
      <c r="AD157" s="29">
        <v>311.31</v>
      </c>
      <c r="AE157" s="29">
        <v>310.28</v>
      </c>
      <c r="AF157" s="29">
        <v>301.35</v>
      </c>
      <c r="AG157" s="29">
        <v>309.24</v>
      </c>
      <c r="AH157" s="29">
        <v>296.0</v>
      </c>
      <c r="AI157" s="29">
        <v>301.49</v>
      </c>
      <c r="AJ157" s="29">
        <v>277.4</v>
      </c>
      <c r="AK157" s="29">
        <v>301.49</v>
      </c>
      <c r="AL157" s="29">
        <v>8.46</v>
      </c>
      <c r="AM157" s="29">
        <v>8.23</v>
      </c>
      <c r="AN157" s="29">
        <v>8.29</v>
      </c>
      <c r="AO157" s="29">
        <v>8.33</v>
      </c>
      <c r="AP157" s="29">
        <v>8.1</v>
      </c>
      <c r="AQ157" s="29">
        <v>89.57</v>
      </c>
      <c r="AR157" s="29">
        <v>100.92</v>
      </c>
      <c r="BC157" s="29">
        <v>9.27</v>
      </c>
      <c r="BD157" s="29">
        <v>9.44</v>
      </c>
      <c r="BE157" s="29">
        <v>10.11</v>
      </c>
      <c r="BF157" s="29">
        <v>8.76</v>
      </c>
      <c r="BG157" s="29">
        <v>9.57</v>
      </c>
      <c r="BH157" s="29">
        <v>1046.53</v>
      </c>
      <c r="BI157" s="29">
        <v>53.45</v>
      </c>
      <c r="BJ157" s="29">
        <v>251.3</v>
      </c>
      <c r="BK157" s="29">
        <v>239.83</v>
      </c>
      <c r="BL157" s="29">
        <v>222.62</v>
      </c>
      <c r="BM157" s="29">
        <v>240.0</v>
      </c>
      <c r="BO157" s="29">
        <v>139.11</v>
      </c>
      <c r="BP157" s="29">
        <v>146.0</v>
      </c>
      <c r="BQ157" s="29">
        <v>137.41</v>
      </c>
      <c r="BS157" s="30">
        <v>2.9561</v>
      </c>
      <c r="BT157" s="30">
        <v>3.3688</v>
      </c>
      <c r="BU157" s="29">
        <v>515.43</v>
      </c>
      <c r="BV157" s="29">
        <v>461.0</v>
      </c>
      <c r="BW157" s="29">
        <v>499.06</v>
      </c>
      <c r="CD157" s="29">
        <v>36.53</v>
      </c>
      <c r="CE157" s="29">
        <v>39.68</v>
      </c>
      <c r="CI157" s="29">
        <v>5871.0</v>
      </c>
      <c r="CJ157" s="27" t="inlineStr">
        <is>
          <t xml:space="preserve">mar/26</t>
        </is>
      </c>
    </row>
    <row r="158">
      <c r="A158" s="28">
        <v>46027</v>
      </c>
      <c r="B158" s="29">
        <v>1183.56</v>
      </c>
      <c r="C158" s="29">
        <v>3085.47</v>
      </c>
      <c r="D158" s="29">
        <v>7.71</v>
      </c>
      <c r="E158" s="29">
        <v>8.91</v>
      </c>
      <c r="F158" s="29">
        <v>2191.97</v>
      </c>
      <c r="G158" s="29">
        <v>1250.12</v>
      </c>
      <c r="H158" s="29">
        <v>429.2</v>
      </c>
      <c r="I158" s="27" t="inlineStr">
        <is>
          <t xml:space="preserve">mar/26</t>
        </is>
      </c>
      <c r="J158" s="29">
        <v>161869.76</v>
      </c>
      <c r="K158" s="30">
        <v>5448.0</v>
      </c>
      <c r="L158" s="27" t="inlineStr">
        <is>
          <t xml:space="preserve">fev/26</t>
        </is>
      </c>
      <c r="M158" s="29">
        <v>323.45</v>
      </c>
      <c r="N158" s="27" t="inlineStr">
        <is>
          <t xml:space="preserve">fev/26</t>
        </is>
      </c>
      <c r="O158" s="29">
        <v>74.15</v>
      </c>
      <c r="P158" s="27" t="inlineStr">
        <is>
          <t xml:space="preserve">mar/26</t>
        </is>
      </c>
      <c r="Q158" s="29">
        <v>23.64</v>
      </c>
      <c r="R158" s="27" t="inlineStr">
        <is>
          <t xml:space="preserve">mai/26</t>
        </is>
      </c>
      <c r="S158" s="30">
        <v>10.62</v>
      </c>
      <c r="T158" s="27" t="inlineStr">
        <is>
          <t xml:space="preserve">mar/26</t>
        </is>
      </c>
      <c r="U158" s="30">
        <v>4.445</v>
      </c>
      <c r="V158" s="27" t="inlineStr">
        <is>
          <t xml:space="preserve">mar/26</t>
        </is>
      </c>
      <c r="W158" s="29">
        <v>299.9</v>
      </c>
      <c r="X158" s="27" t="inlineStr">
        <is>
          <t xml:space="preserve">mar/26</t>
        </is>
      </c>
      <c r="Y158" s="30">
        <v>0.4987</v>
      </c>
      <c r="Z158" s="27" t="inlineStr">
        <is>
          <t xml:space="preserve">mar/26</t>
        </is>
      </c>
      <c r="AA158" s="29">
        <v>353.32</v>
      </c>
      <c r="AB158" s="29">
        <v>108.77</v>
      </c>
      <c r="AC158" s="29">
        <v>317.94</v>
      </c>
      <c r="AD158" s="29">
        <v>311.12</v>
      </c>
      <c r="AE158" s="29">
        <v>314.03</v>
      </c>
      <c r="AF158" s="29">
        <v>301.49</v>
      </c>
      <c r="AG158" s="29">
        <v>313.87</v>
      </c>
      <c r="AH158" s="29">
        <v>296.24</v>
      </c>
      <c r="AI158" s="29">
        <v>301.2</v>
      </c>
      <c r="AJ158" s="29">
        <v>279.75</v>
      </c>
      <c r="AK158" s="29">
        <v>301.49</v>
      </c>
      <c r="AL158" s="29">
        <v>8.44</v>
      </c>
      <c r="AM158" s="29">
        <v>8.26</v>
      </c>
      <c r="AN158" s="29">
        <v>8.24</v>
      </c>
      <c r="AO158" s="29">
        <v>8.32</v>
      </c>
      <c r="AP158" s="29">
        <v>7.78</v>
      </c>
      <c r="AQ158" s="29">
        <v>89.57</v>
      </c>
      <c r="AR158" s="29">
        <v>100.29</v>
      </c>
      <c r="BH158" s="29">
        <v>1046.37</v>
      </c>
      <c r="BI158" s="29">
        <v>53.36</v>
      </c>
      <c r="BJ158" s="29">
        <v>251.3</v>
      </c>
      <c r="BK158" s="29">
        <v>240.0</v>
      </c>
      <c r="BL158" s="29">
        <v>225.12</v>
      </c>
      <c r="BM158" s="29">
        <v>238.33</v>
      </c>
      <c r="BO158" s="29">
        <v>141.35</v>
      </c>
      <c r="BP158" s="29">
        <v>146.0</v>
      </c>
      <c r="BQ158" s="29">
        <v>139.32</v>
      </c>
      <c r="BX158" s="29">
        <v>47.0</v>
      </c>
      <c r="BY158" s="29">
        <v>52.0</v>
      </c>
      <c r="CA158" s="29">
        <v>45.6</v>
      </c>
      <c r="CD158" s="29">
        <v>37.18</v>
      </c>
      <c r="CE158" s="29">
        <v>39.88</v>
      </c>
      <c r="CI158" s="29">
        <v>6077.0</v>
      </c>
      <c r="CJ158" s="27" t="inlineStr">
        <is>
          <t xml:space="preserve">mar/26</t>
        </is>
      </c>
    </row>
    <row r="159">
      <c r="A159" s="28">
        <v>46028</v>
      </c>
      <c r="B159" s="29">
        <v>1184.74</v>
      </c>
      <c r="C159" s="29">
        <v>3091.64</v>
      </c>
      <c r="D159" s="29">
        <v>7.71</v>
      </c>
      <c r="E159" s="29">
        <v>8.89</v>
      </c>
      <c r="F159" s="29">
        <v>2237.54</v>
      </c>
      <c r="G159" s="29">
        <v>1265.99</v>
      </c>
      <c r="H159" s="29">
        <v>444.5</v>
      </c>
      <c r="I159" s="27" t="inlineStr">
        <is>
          <t xml:space="preserve">mar/26</t>
        </is>
      </c>
      <c r="J159" s="29">
        <v>163663.88</v>
      </c>
      <c r="K159" s="30">
        <v>5412.0</v>
      </c>
      <c r="L159" s="27" t="inlineStr">
        <is>
          <t xml:space="preserve">fev/26</t>
        </is>
      </c>
      <c r="M159" s="29">
        <v>322.7</v>
      </c>
      <c r="N159" s="27" t="inlineStr">
        <is>
          <t xml:space="preserve">fev/26</t>
        </is>
      </c>
      <c r="O159" s="29">
        <v>73.9</v>
      </c>
      <c r="P159" s="27" t="inlineStr">
        <is>
          <t xml:space="preserve">mar/26</t>
        </is>
      </c>
      <c r="Q159" s="29">
        <v>23.54</v>
      </c>
      <c r="R159" s="27" t="inlineStr">
        <is>
          <t xml:space="preserve">mai/26</t>
        </is>
      </c>
      <c r="S159" s="30">
        <v>10.5625</v>
      </c>
      <c r="T159" s="27" t="inlineStr">
        <is>
          <t xml:space="preserve">mar/26</t>
        </is>
      </c>
      <c r="U159" s="30">
        <v>4.44</v>
      </c>
      <c r="V159" s="27" t="inlineStr">
        <is>
          <t xml:space="preserve">mar/26</t>
        </is>
      </c>
      <c r="W159" s="29">
        <v>299.5</v>
      </c>
      <c r="X159" s="27" t="inlineStr">
        <is>
          <t xml:space="preserve">mar/26</t>
        </is>
      </c>
      <c r="Y159" s="30">
        <v>0.494</v>
      </c>
      <c r="Z159" s="27" t="inlineStr">
        <is>
          <t xml:space="preserve">mar/26</t>
        </is>
      </c>
      <c r="AA159" s="29">
        <v>354.59</v>
      </c>
      <c r="AB159" s="29">
        <v>106.76</v>
      </c>
      <c r="AL159" s="29">
        <v>8.44</v>
      </c>
      <c r="AM159" s="29">
        <v>8.29</v>
      </c>
      <c r="AN159" s="29">
        <v>8.24</v>
      </c>
      <c r="AO159" s="29">
        <v>8.33</v>
      </c>
      <c r="AP159" s="29">
        <v>7.78</v>
      </c>
      <c r="AQ159" s="29">
        <v>89.57</v>
      </c>
      <c r="AR159" s="29">
        <v>99.52</v>
      </c>
      <c r="BH159" s="29">
        <v>1042.59</v>
      </c>
      <c r="BI159" s="29">
        <v>53.29</v>
      </c>
      <c r="BJ159" s="29">
        <v>247.33</v>
      </c>
      <c r="BK159" s="29">
        <v>237.8</v>
      </c>
      <c r="BL159" s="29">
        <v>230.52</v>
      </c>
      <c r="BM159" s="29">
        <v>240.0</v>
      </c>
      <c r="BO159" s="29">
        <v>143.34</v>
      </c>
      <c r="BP159" s="29">
        <v>143.14</v>
      </c>
      <c r="BQ159" s="29">
        <v>140.54</v>
      </c>
      <c r="BX159" s="29">
        <v>47.0</v>
      </c>
      <c r="BY159" s="29">
        <v>52.0</v>
      </c>
      <c r="CA159" s="29">
        <v>45.6</v>
      </c>
      <c r="CD159" s="29">
        <v>37.03</v>
      </c>
      <c r="CE159" s="29">
        <v>42.42</v>
      </c>
      <c r="CI159" s="29">
        <v>5954.0</v>
      </c>
      <c r="CJ159" s="27" t="inlineStr">
        <is>
          <t xml:space="preserve">mar/26</t>
        </is>
      </c>
    </row>
    <row r="160">
      <c r="A160" s="28">
        <v>46029</v>
      </c>
      <c r="B160" s="29">
        <v>1180.84</v>
      </c>
      <c r="C160" s="29">
        <v>3072.85</v>
      </c>
      <c r="D160" s="29">
        <v>7.64</v>
      </c>
      <c r="E160" s="29">
        <v>8.89</v>
      </c>
      <c r="F160" s="29">
        <v>2263.04</v>
      </c>
      <c r="G160" s="29">
        <v>1282.66</v>
      </c>
      <c r="H160" s="29">
        <v>448.0</v>
      </c>
      <c r="I160" s="27" t="inlineStr">
        <is>
          <t xml:space="preserve">mar/26</t>
        </is>
      </c>
      <c r="J160" s="29">
        <v>161975.24</v>
      </c>
      <c r="K160" s="30">
        <v>5421.0</v>
      </c>
      <c r="L160" s="27" t="inlineStr">
        <is>
          <t xml:space="preserve">fev/26</t>
        </is>
      </c>
      <c r="M160" s="29">
        <v>319.2</v>
      </c>
      <c r="N160" s="27" t="inlineStr">
        <is>
          <t xml:space="preserve">fev/26</t>
        </is>
      </c>
      <c r="O160" s="29">
        <v>73.07</v>
      </c>
      <c r="P160" s="27" t="inlineStr">
        <is>
          <t xml:space="preserve">mar/26</t>
        </is>
      </c>
      <c r="Q160" s="29">
        <v>23.78</v>
      </c>
      <c r="R160" s="27" t="inlineStr">
        <is>
          <t xml:space="preserve">mai/26</t>
        </is>
      </c>
      <c r="S160" s="30">
        <v>10.67</v>
      </c>
      <c r="T160" s="27" t="inlineStr">
        <is>
          <t xml:space="preserve">mar/26</t>
        </is>
      </c>
      <c r="U160" s="30">
        <v>4.4675</v>
      </c>
      <c r="V160" s="27" t="inlineStr">
        <is>
          <t xml:space="preserve">mar/26</t>
        </is>
      </c>
      <c r="W160" s="29">
        <v>305.4</v>
      </c>
      <c r="X160" s="27" t="inlineStr">
        <is>
          <t xml:space="preserve">mar/26</t>
        </is>
      </c>
      <c r="Y160" s="30">
        <v>0.4931</v>
      </c>
      <c r="Z160" s="27" t="inlineStr">
        <is>
          <t xml:space="preserve">mar/26</t>
        </is>
      </c>
      <c r="AA160" s="29">
        <v>351.51</v>
      </c>
      <c r="AB160" s="29">
        <v>107.91</v>
      </c>
      <c r="AC160" s="29">
        <v>318.22</v>
      </c>
      <c r="AD160" s="29">
        <v>310.93</v>
      </c>
      <c r="AE160" s="29">
        <v>313.6</v>
      </c>
      <c r="AF160" s="29">
        <v>302.16</v>
      </c>
      <c r="AG160" s="29">
        <v>312.15</v>
      </c>
      <c r="AH160" s="29">
        <v>299.13</v>
      </c>
      <c r="AI160" s="29">
        <v>300.35</v>
      </c>
      <c r="AJ160" s="29">
        <v>279.67</v>
      </c>
      <c r="AK160" s="29">
        <v>295.64</v>
      </c>
      <c r="AL160" s="29">
        <v>8.45</v>
      </c>
      <c r="AM160" s="29">
        <v>8.22</v>
      </c>
      <c r="AN160" s="29">
        <v>8.29</v>
      </c>
      <c r="AO160" s="29">
        <v>8.33</v>
      </c>
      <c r="AP160" s="29">
        <v>7.69</v>
      </c>
      <c r="AQ160" s="29">
        <v>89.54</v>
      </c>
      <c r="AR160" s="29">
        <v>99.52</v>
      </c>
      <c r="BH160" s="29">
        <v>1041.32</v>
      </c>
      <c r="BI160" s="29">
        <v>53.31</v>
      </c>
      <c r="BJ160" s="29">
        <v>246.11</v>
      </c>
      <c r="BK160" s="29">
        <v>237.33</v>
      </c>
      <c r="BM160" s="29">
        <v>241.67</v>
      </c>
      <c r="BO160" s="29">
        <v>144.6</v>
      </c>
      <c r="BP160" s="29">
        <v>147.19</v>
      </c>
      <c r="BQ160" s="29">
        <v>142.54</v>
      </c>
      <c r="BX160" s="29">
        <v>47.0</v>
      </c>
      <c r="BY160" s="29">
        <v>52.0</v>
      </c>
      <c r="BZ160" s="29">
        <v>46.67</v>
      </c>
      <c r="CA160" s="29">
        <v>45.6</v>
      </c>
      <c r="CD160" s="29">
        <v>36.91</v>
      </c>
      <c r="CE160" s="29">
        <v>43.83</v>
      </c>
      <c r="CI160" s="29">
        <v>5915.0</v>
      </c>
      <c r="CJ160" s="27" t="inlineStr">
        <is>
          <t xml:space="preserve">mar/26</t>
        </is>
      </c>
    </row>
    <row r="161">
      <c r="A161" s="28">
        <v>46030</v>
      </c>
      <c r="B161" s="29">
        <v>1179.26</v>
      </c>
      <c r="C161" s="29">
        <v>3072.85</v>
      </c>
      <c r="D161" s="29">
        <v>7.64</v>
      </c>
      <c r="E161" s="29">
        <v>8.89</v>
      </c>
      <c r="F161" s="29">
        <v>2266.21</v>
      </c>
      <c r="G161" s="29">
        <v>1285.25</v>
      </c>
      <c r="H161" s="29">
        <v>450.95</v>
      </c>
      <c r="I161" s="27" t="inlineStr">
        <is>
          <t xml:space="preserve">mar/26</t>
        </is>
      </c>
      <c r="J161" s="29">
        <v>162936.48</v>
      </c>
      <c r="K161" s="30">
        <v>5420.0</v>
      </c>
      <c r="L161" s="27" t="inlineStr">
        <is>
          <t xml:space="preserve">fev/26</t>
        </is>
      </c>
      <c r="M161" s="29">
        <v>320.9</v>
      </c>
      <c r="N161" s="27" t="inlineStr">
        <is>
          <t xml:space="preserve">fev/26</t>
        </is>
      </c>
      <c r="O161" s="29">
        <v>72.67</v>
      </c>
      <c r="P161" s="27" t="inlineStr">
        <is>
          <t xml:space="preserve">mar/26</t>
        </is>
      </c>
      <c r="Q161" s="29">
        <v>23.66</v>
      </c>
      <c r="R161" s="27" t="inlineStr">
        <is>
          <t xml:space="preserve">mai/26</t>
        </is>
      </c>
      <c r="S161" s="30">
        <v>10.6125</v>
      </c>
      <c r="T161" s="27" t="inlineStr">
        <is>
          <t xml:space="preserve">mar/26</t>
        </is>
      </c>
      <c r="U161" s="30">
        <v>4.46</v>
      </c>
      <c r="V161" s="27" t="inlineStr">
        <is>
          <t xml:space="preserve">mar/26</t>
        </is>
      </c>
      <c r="W161" s="29">
        <v>303.6</v>
      </c>
      <c r="X161" s="27" t="inlineStr">
        <is>
          <t xml:space="preserve">mar/26</t>
        </is>
      </c>
      <c r="Y161" s="30">
        <v>0.4945</v>
      </c>
      <c r="Z161" s="27" t="inlineStr">
        <is>
          <t xml:space="preserve">mar/26</t>
        </is>
      </c>
      <c r="AA161" s="29">
        <v>351.0</v>
      </c>
      <c r="AB161" s="29">
        <v>107.34</v>
      </c>
      <c r="AC161" s="29">
        <v>319.18</v>
      </c>
      <c r="AD161" s="29">
        <v>310.29</v>
      </c>
      <c r="AE161" s="29">
        <v>313.58</v>
      </c>
      <c r="AF161" s="29">
        <v>301.44</v>
      </c>
      <c r="AG161" s="29">
        <v>312.38</v>
      </c>
      <c r="AH161" s="29">
        <v>297.57</v>
      </c>
      <c r="AI161" s="29">
        <v>300.28</v>
      </c>
      <c r="AJ161" s="29">
        <v>281.28</v>
      </c>
      <c r="AK161" s="29">
        <v>295.59</v>
      </c>
      <c r="AL161" s="29">
        <v>8.45</v>
      </c>
      <c r="AM161" s="29">
        <v>8.22</v>
      </c>
      <c r="AN161" s="29">
        <v>8.29</v>
      </c>
      <c r="AO161" s="29">
        <v>8.32</v>
      </c>
      <c r="AP161" s="29">
        <v>7.69</v>
      </c>
      <c r="AQ161" s="29">
        <v>89.48</v>
      </c>
      <c r="AR161" s="29">
        <v>100.22</v>
      </c>
      <c r="BH161" s="29">
        <v>1044.72</v>
      </c>
      <c r="BI161" s="29">
        <v>53.24</v>
      </c>
      <c r="BJ161" s="29">
        <v>248.33</v>
      </c>
      <c r="BK161" s="29">
        <v>237.02</v>
      </c>
      <c r="BL161" s="29">
        <v>229.87</v>
      </c>
      <c r="BM161" s="29">
        <v>240.26</v>
      </c>
      <c r="BO161" s="29">
        <v>146.06</v>
      </c>
      <c r="BP161" s="29">
        <v>151.72</v>
      </c>
      <c r="BQ161" s="29">
        <v>145.14</v>
      </c>
      <c r="BX161" s="29">
        <v>47.0</v>
      </c>
      <c r="BY161" s="29">
        <v>52.0</v>
      </c>
      <c r="BZ161" s="29">
        <v>44.67</v>
      </c>
      <c r="CA161" s="29">
        <v>45.6</v>
      </c>
      <c r="CD161" s="29">
        <v>37.39</v>
      </c>
      <c r="CE161" s="29">
        <v>42.27</v>
      </c>
      <c r="CI161" s="29">
        <v>6077.0</v>
      </c>
      <c r="CJ161" s="27" t="inlineStr">
        <is>
          <t xml:space="preserve">mar/26</t>
        </is>
      </c>
    </row>
    <row r="162">
      <c r="A162" s="28">
        <v>46031</v>
      </c>
      <c r="B162" s="29">
        <v>1178.92</v>
      </c>
      <c r="C162" s="29">
        <v>3061.65</v>
      </c>
      <c r="D162" s="29">
        <v>7.51</v>
      </c>
      <c r="E162" s="29">
        <v>8.91</v>
      </c>
      <c r="F162" s="29">
        <v>2225.39</v>
      </c>
      <c r="G162" s="29">
        <v>1282.4</v>
      </c>
      <c r="H162" s="29">
        <v>436.0</v>
      </c>
      <c r="I162" s="27" t="inlineStr">
        <is>
          <t xml:space="preserve">mar/26</t>
        </is>
      </c>
      <c r="J162" s="29">
        <v>163370.31</v>
      </c>
      <c r="K162" s="30">
        <v>5400.5</v>
      </c>
      <c r="L162" s="27" t="inlineStr">
        <is>
          <t xml:space="preserve">fev/26</t>
        </is>
      </c>
      <c r="M162" s="29">
        <v>318.45</v>
      </c>
      <c r="N162" s="27" t="inlineStr">
        <is>
          <t xml:space="preserve">fev/26</t>
        </is>
      </c>
      <c r="O162" s="29">
        <v>72.89</v>
      </c>
      <c r="P162" s="27" t="inlineStr">
        <is>
          <t xml:space="preserve">mar/26</t>
        </is>
      </c>
      <c r="Q162" s="29">
        <v>23.7</v>
      </c>
      <c r="R162" s="27" t="inlineStr">
        <is>
          <t xml:space="preserve">mai/26</t>
        </is>
      </c>
      <c r="S162" s="30">
        <v>10.625</v>
      </c>
      <c r="T162" s="27" t="inlineStr">
        <is>
          <t xml:space="preserve">mar/26</t>
        </is>
      </c>
      <c r="U162" s="30">
        <v>4.4575</v>
      </c>
      <c r="V162" s="27" t="inlineStr">
        <is>
          <t xml:space="preserve">mar/26</t>
        </is>
      </c>
      <c r="W162" s="29">
        <v>303.7</v>
      </c>
      <c r="X162" s="27" t="inlineStr">
        <is>
          <t xml:space="preserve">mar/26</t>
        </is>
      </c>
      <c r="Y162" s="30">
        <v>0.4969</v>
      </c>
      <c r="Z162" s="27" t="inlineStr">
        <is>
          <t xml:space="preserve">mar/26</t>
        </is>
      </c>
      <c r="AA162" s="29">
        <v>351.96</v>
      </c>
      <c r="AB162" s="29">
        <v>106.65</v>
      </c>
      <c r="AC162" s="29">
        <v>320.16</v>
      </c>
      <c r="AD162" s="29">
        <v>308.55</v>
      </c>
      <c r="AE162" s="29">
        <v>314.18</v>
      </c>
      <c r="AF162" s="29">
        <v>297.38</v>
      </c>
      <c r="AG162" s="29">
        <v>314.09</v>
      </c>
      <c r="AH162" s="29">
        <v>294.13</v>
      </c>
      <c r="AI162" s="29">
        <v>300.54</v>
      </c>
      <c r="AJ162" s="29">
        <v>281.47</v>
      </c>
      <c r="AK162" s="29">
        <v>295.25</v>
      </c>
      <c r="AL162" s="29">
        <v>8.35</v>
      </c>
      <c r="AM162" s="29">
        <v>8.25</v>
      </c>
      <c r="AN162" s="29">
        <v>8.26</v>
      </c>
      <c r="AO162" s="29">
        <v>8.31</v>
      </c>
      <c r="AP162" s="29">
        <v>7.54</v>
      </c>
      <c r="AQ162" s="29">
        <v>89.44</v>
      </c>
      <c r="AR162" s="29">
        <v>100.73</v>
      </c>
      <c r="BC162" s="29">
        <v>9.38</v>
      </c>
      <c r="BD162" s="29">
        <v>9.45</v>
      </c>
      <c r="BE162" s="29">
        <v>10.18</v>
      </c>
      <c r="BF162" s="29">
        <v>8.71</v>
      </c>
      <c r="BG162" s="29">
        <v>9.63</v>
      </c>
      <c r="BH162" s="29">
        <v>1049.4</v>
      </c>
      <c r="BI162" s="29">
        <v>53.16</v>
      </c>
      <c r="BJ162" s="29">
        <v>248.33</v>
      </c>
      <c r="BK162" s="29">
        <v>236.23</v>
      </c>
      <c r="BL162" s="29">
        <v>229.87</v>
      </c>
      <c r="BM162" s="29">
        <v>240.26</v>
      </c>
      <c r="BO162" s="29">
        <v>147.55</v>
      </c>
      <c r="BP162" s="29">
        <v>151.72</v>
      </c>
      <c r="BQ162" s="29">
        <v>145.87</v>
      </c>
      <c r="BS162" s="30">
        <v>3.0228</v>
      </c>
      <c r="BT162" s="30">
        <v>3.417</v>
      </c>
      <c r="BU162" s="29">
        <v>514.53</v>
      </c>
      <c r="BV162" s="29">
        <v>463.77</v>
      </c>
      <c r="BW162" s="29">
        <v>500.8</v>
      </c>
      <c r="BX162" s="29">
        <v>47.0</v>
      </c>
      <c r="BY162" s="29">
        <v>52.0</v>
      </c>
      <c r="BZ162" s="29">
        <v>44.67</v>
      </c>
      <c r="CA162" s="29">
        <v>45.6</v>
      </c>
      <c r="CD162" s="29">
        <v>37.39</v>
      </c>
      <c r="CE162" s="29">
        <v>42.54</v>
      </c>
      <c r="CI162" s="29">
        <v>5345.0</v>
      </c>
      <c r="CJ162" s="27" t="inlineStr">
        <is>
          <t xml:space="preserve">mar/26</t>
        </is>
      </c>
    </row>
    <row r="163">
      <c r="A163" s="28">
        <v>46034</v>
      </c>
      <c r="B163" s="29">
        <v>1174.75</v>
      </c>
      <c r="C163" s="29">
        <v>3040.03</v>
      </c>
      <c r="D163" s="29">
        <v>7.53</v>
      </c>
      <c r="E163" s="29">
        <v>8.8</v>
      </c>
      <c r="F163" s="29">
        <v>2205.19</v>
      </c>
      <c r="G163" s="29">
        <v>1278.33</v>
      </c>
      <c r="H163" s="29">
        <v>435.95</v>
      </c>
      <c r="I163" s="27" t="inlineStr">
        <is>
          <t xml:space="preserve">mar/26</t>
        </is>
      </c>
      <c r="J163" s="29">
        <v>163150.35</v>
      </c>
      <c r="K163" s="30">
        <v>5401.5</v>
      </c>
      <c r="L163" s="27" t="inlineStr">
        <is>
          <t xml:space="preserve">fev/26</t>
        </is>
      </c>
      <c r="M163" s="29">
        <v>319.25</v>
      </c>
      <c r="N163" s="27" t="inlineStr">
        <is>
          <t xml:space="preserve">fev/26</t>
        </is>
      </c>
      <c r="O163" s="29">
        <v>72.2</v>
      </c>
      <c r="P163" s="27" t="inlineStr">
        <is>
          <t xml:space="preserve">mar/26</t>
        </is>
      </c>
      <c r="Q163" s="29">
        <v>23.46</v>
      </c>
      <c r="R163" s="27" t="inlineStr">
        <is>
          <t xml:space="preserve">mai/26</t>
        </is>
      </c>
      <c r="S163" s="30">
        <v>10.49</v>
      </c>
      <c r="T163" s="27" t="inlineStr">
        <is>
          <t xml:space="preserve">mar/26</t>
        </is>
      </c>
      <c r="U163" s="30">
        <v>4.215</v>
      </c>
      <c r="V163" s="27" t="inlineStr">
        <is>
          <t xml:space="preserve">mar/26</t>
        </is>
      </c>
      <c r="W163" s="29">
        <v>298.3</v>
      </c>
      <c r="X163" s="27" t="inlineStr">
        <is>
          <t xml:space="preserve">mar/26</t>
        </is>
      </c>
      <c r="Y163" s="30">
        <v>0.5027</v>
      </c>
      <c r="Z163" s="27" t="inlineStr">
        <is>
          <t xml:space="preserve">mar/26</t>
        </is>
      </c>
      <c r="AA163" s="29">
        <v>351.34</v>
      </c>
      <c r="AB163" s="29">
        <v>106.65</v>
      </c>
      <c r="AL163" s="29">
        <v>8.29</v>
      </c>
      <c r="AM163" s="29">
        <v>8.18</v>
      </c>
      <c r="AN163" s="29">
        <v>8.21</v>
      </c>
      <c r="AO163" s="29">
        <v>8.23</v>
      </c>
      <c r="AP163" s="29">
        <v>7.61</v>
      </c>
      <c r="AQ163" s="29">
        <v>98.95</v>
      </c>
      <c r="AR163" s="29">
        <v>112.05</v>
      </c>
      <c r="BH163" s="29">
        <v>1050.37</v>
      </c>
      <c r="BI163" s="29">
        <v>52.85</v>
      </c>
      <c r="BJ163" s="29">
        <v>248.26</v>
      </c>
      <c r="BK163" s="29">
        <v>238.54</v>
      </c>
      <c r="BL163" s="29">
        <v>237.57</v>
      </c>
      <c r="BM163" s="29">
        <v>245.0</v>
      </c>
      <c r="BO163" s="29">
        <v>148.66</v>
      </c>
      <c r="BP163" s="29">
        <v>152.9</v>
      </c>
      <c r="BQ163" s="29">
        <v>145.92</v>
      </c>
      <c r="BR163" s="29">
        <v>143.0</v>
      </c>
      <c r="BX163" s="29">
        <v>47.0</v>
      </c>
      <c r="BY163" s="29">
        <v>52.0</v>
      </c>
      <c r="BZ163" s="29">
        <v>44.67</v>
      </c>
      <c r="CA163" s="29">
        <v>45.6</v>
      </c>
      <c r="CD163" s="29">
        <v>36.98</v>
      </c>
      <c r="CE163" s="29">
        <v>43.01</v>
      </c>
      <c r="CI163" s="29">
        <v>5443.0</v>
      </c>
      <c r="CJ163" s="27" t="inlineStr">
        <is>
          <t xml:space="preserve">mar/26</t>
        </is>
      </c>
    </row>
    <row r="164">
      <c r="A164" s="28">
        <v>46035</v>
      </c>
      <c r="B164" s="29">
        <v>1178.25</v>
      </c>
      <c r="C164" s="29">
        <v>3056.52</v>
      </c>
      <c r="D164" s="29">
        <v>7.49</v>
      </c>
      <c r="E164" s="29">
        <v>8.78</v>
      </c>
      <c r="F164" s="29">
        <v>2216.15</v>
      </c>
      <c r="G164" s="29">
        <v>1280.59</v>
      </c>
      <c r="H164" s="29">
        <v>437.0</v>
      </c>
      <c r="I164" s="27" t="inlineStr">
        <is>
          <t xml:space="preserve">mar/26</t>
        </is>
      </c>
      <c r="J164" s="29">
        <v>161973.05</v>
      </c>
      <c r="K164" s="30">
        <v>5396.0</v>
      </c>
      <c r="L164" s="27" t="inlineStr">
        <is>
          <t xml:space="preserve">fev/26</t>
        </is>
      </c>
      <c r="M164" s="29">
        <v>319.0</v>
      </c>
      <c r="N164" s="27" t="inlineStr">
        <is>
          <t xml:space="preserve">fev/26</t>
        </is>
      </c>
      <c r="O164" s="29">
        <v>71.79</v>
      </c>
      <c r="P164" s="27" t="inlineStr">
        <is>
          <t xml:space="preserve">mar/26</t>
        </is>
      </c>
      <c r="Q164" s="29">
        <v>23.19</v>
      </c>
      <c r="R164" s="27" t="inlineStr">
        <is>
          <t xml:space="preserve">mai/26</t>
        </is>
      </c>
      <c r="S164" s="30">
        <v>10.3875</v>
      </c>
      <c r="T164" s="27" t="inlineStr">
        <is>
          <t xml:space="preserve">mar/26</t>
        </is>
      </c>
      <c r="U164" s="30">
        <v>4.1975</v>
      </c>
      <c r="V164" s="27" t="inlineStr">
        <is>
          <t xml:space="preserve">mar/26</t>
        </is>
      </c>
      <c r="W164" s="29">
        <v>291.6</v>
      </c>
      <c r="X164" s="27" t="inlineStr">
        <is>
          <t xml:space="preserve">mar/26</t>
        </is>
      </c>
      <c r="Y164" s="30">
        <v>0.512</v>
      </c>
      <c r="Z164" s="27" t="inlineStr">
        <is>
          <t xml:space="preserve">mar/26</t>
        </is>
      </c>
      <c r="AA164" s="29">
        <v>350.14</v>
      </c>
      <c r="AB164" s="29">
        <v>105.4</v>
      </c>
      <c r="AC164" s="29">
        <v>318.63</v>
      </c>
      <c r="AD164" s="29">
        <v>303.38</v>
      </c>
      <c r="AE164" s="29">
        <v>306.6</v>
      </c>
      <c r="AF164" s="29">
        <v>294.52</v>
      </c>
      <c r="AG164" s="29">
        <v>311.2</v>
      </c>
      <c r="AH164" s="29">
        <v>293.64</v>
      </c>
      <c r="AI164" s="29">
        <v>299.66</v>
      </c>
      <c r="AJ164" s="29">
        <v>273.52</v>
      </c>
      <c r="AK164" s="29">
        <v>298.22</v>
      </c>
      <c r="AL164" s="29">
        <v>8.24</v>
      </c>
      <c r="AM164" s="29">
        <v>8.19</v>
      </c>
      <c r="AN164" s="29">
        <v>8.22</v>
      </c>
      <c r="AO164" s="29">
        <v>8.24</v>
      </c>
      <c r="AP164" s="29">
        <v>7.56</v>
      </c>
      <c r="AQ164" s="29">
        <v>98.92</v>
      </c>
      <c r="AR164" s="29">
        <v>112.34</v>
      </c>
      <c r="BH164" s="29">
        <v>1054.04</v>
      </c>
      <c r="BI164" s="29">
        <v>52.94</v>
      </c>
      <c r="BJ164" s="29">
        <v>250.3</v>
      </c>
      <c r="BK164" s="29">
        <v>239.37</v>
      </c>
      <c r="BL164" s="29">
        <v>238.09</v>
      </c>
      <c r="BM164" s="29">
        <v>245.0</v>
      </c>
      <c r="BN164" s="29">
        <v>207.5</v>
      </c>
      <c r="BO164" s="29">
        <v>153.16</v>
      </c>
      <c r="BP164" s="29">
        <v>158.75</v>
      </c>
      <c r="BQ164" s="29">
        <v>148.32</v>
      </c>
      <c r="BR164" s="29">
        <v>143.0</v>
      </c>
      <c r="BX164" s="29">
        <v>47.0</v>
      </c>
      <c r="BY164" s="29">
        <v>52.0</v>
      </c>
      <c r="BZ164" s="29">
        <v>44.33</v>
      </c>
      <c r="CA164" s="29">
        <v>45.6</v>
      </c>
      <c r="CD164" s="29">
        <v>36.98</v>
      </c>
      <c r="CE164" s="29">
        <v>42.94</v>
      </c>
      <c r="CI164" s="29">
        <v>5224.0</v>
      </c>
      <c r="CJ164" s="27" t="inlineStr">
        <is>
          <t xml:space="preserve">mar/26</t>
        </is>
      </c>
    </row>
    <row r="165">
      <c r="A165" s="28">
        <v>46036</v>
      </c>
      <c r="B165" s="29">
        <v>1178.26</v>
      </c>
      <c r="C165" s="29">
        <v>3063.72</v>
      </c>
      <c r="D165" s="29">
        <v>7.34</v>
      </c>
      <c r="E165" s="29">
        <v>8.76</v>
      </c>
      <c r="F165" s="29">
        <v>2196.97</v>
      </c>
      <c r="G165" s="29">
        <v>1298.48</v>
      </c>
      <c r="H165" s="29">
        <v>433.0</v>
      </c>
      <c r="I165" s="27" t="inlineStr">
        <is>
          <t xml:space="preserve">mar/26</t>
        </is>
      </c>
      <c r="J165" s="29">
        <v>165145.98</v>
      </c>
      <c r="K165" s="30">
        <v>5418.0</v>
      </c>
      <c r="L165" s="27" t="inlineStr">
        <is>
          <t xml:space="preserve">fev/26</t>
        </is>
      </c>
      <c r="M165" s="29">
        <v>318.6</v>
      </c>
      <c r="N165" s="27" t="inlineStr">
        <is>
          <t xml:space="preserve">fev/26</t>
        </is>
      </c>
      <c r="O165" s="29">
        <v>71.77</v>
      </c>
      <c r="P165" s="27" t="inlineStr">
        <is>
          <t xml:space="preserve">mar/26</t>
        </is>
      </c>
      <c r="Q165" s="29">
        <v>23.25</v>
      </c>
      <c r="R165" s="27" t="inlineStr">
        <is>
          <t xml:space="preserve">mai/26</t>
        </is>
      </c>
      <c r="S165" s="30">
        <v>10.425</v>
      </c>
      <c r="T165" s="27" t="inlineStr">
        <is>
          <t xml:space="preserve">mar/26</t>
        </is>
      </c>
      <c r="U165" s="30">
        <v>4.22</v>
      </c>
      <c r="V165" s="27" t="inlineStr">
        <is>
          <t xml:space="preserve">mar/26</t>
        </is>
      </c>
      <c r="W165" s="29">
        <v>291.9</v>
      </c>
      <c r="X165" s="27" t="inlineStr">
        <is>
          <t xml:space="preserve">mar/26</t>
        </is>
      </c>
      <c r="Y165" s="30">
        <v>0.5098</v>
      </c>
      <c r="Z165" s="27" t="inlineStr">
        <is>
          <t xml:space="preserve">mar/26</t>
        </is>
      </c>
      <c r="AA165" s="29">
        <v>353.22</v>
      </c>
      <c r="AB165" s="29">
        <v>106.71</v>
      </c>
      <c r="AC165" s="29">
        <v>317.96</v>
      </c>
      <c r="AD165" s="29">
        <v>304.42</v>
      </c>
      <c r="AE165" s="29">
        <v>307.83</v>
      </c>
      <c r="AF165" s="29">
        <v>296.29</v>
      </c>
      <c r="AG165" s="29">
        <v>310.04</v>
      </c>
      <c r="AH165" s="29">
        <v>296.31</v>
      </c>
      <c r="AI165" s="29">
        <v>300.45</v>
      </c>
      <c r="AJ165" s="29">
        <v>271.9</v>
      </c>
      <c r="AK165" s="29">
        <v>298.13</v>
      </c>
      <c r="AL165" s="29">
        <v>8.25</v>
      </c>
      <c r="AM165" s="29">
        <v>8.15</v>
      </c>
      <c r="AN165" s="29">
        <v>8.16</v>
      </c>
      <c r="AO165" s="29">
        <v>8.14</v>
      </c>
      <c r="AP165" s="29">
        <v>7.41</v>
      </c>
      <c r="AQ165" s="29">
        <v>114.27</v>
      </c>
      <c r="AR165" s="29">
        <v>128.97</v>
      </c>
      <c r="BH165" s="29">
        <v>1054.59</v>
      </c>
      <c r="BI165" s="29">
        <v>52.99</v>
      </c>
      <c r="BK165" s="29">
        <v>239.79</v>
      </c>
      <c r="BL165" s="29">
        <v>234.83</v>
      </c>
      <c r="BM165" s="29">
        <v>241.67</v>
      </c>
      <c r="BO165" s="29">
        <v>156.18</v>
      </c>
      <c r="BP165" s="29">
        <v>165.57</v>
      </c>
      <c r="BQ165" s="29">
        <v>150.17</v>
      </c>
      <c r="BR165" s="29">
        <v>150.0</v>
      </c>
      <c r="BX165" s="29">
        <v>47.0</v>
      </c>
      <c r="BY165" s="29">
        <v>52.0</v>
      </c>
      <c r="BZ165" s="29">
        <v>44.33</v>
      </c>
      <c r="CA165" s="29">
        <v>44.8</v>
      </c>
      <c r="CD165" s="29">
        <v>36.98</v>
      </c>
      <c r="CE165" s="29">
        <v>42.29</v>
      </c>
      <c r="CI165" s="29">
        <v>5090.0</v>
      </c>
      <c r="CJ165" s="27" t="inlineStr">
        <is>
          <t xml:space="preserve">mar/26</t>
        </is>
      </c>
    </row>
    <row r="166">
      <c r="A166" s="28">
        <v>46037</v>
      </c>
      <c r="B166" s="29">
        <v>1177.22</v>
      </c>
      <c r="C166" s="29">
        <v>3076.12</v>
      </c>
      <c r="D166" s="29">
        <v>7.34</v>
      </c>
      <c r="E166" s="29">
        <v>8.76</v>
      </c>
      <c r="F166" s="29">
        <v>2201.88</v>
      </c>
      <c r="G166" s="29">
        <v>1288.37</v>
      </c>
      <c r="H166" s="29">
        <v>433.0</v>
      </c>
      <c r="I166" s="27" t="inlineStr">
        <is>
          <t xml:space="preserve">mar/26</t>
        </is>
      </c>
      <c r="J166" s="29">
        <v>165568.32</v>
      </c>
      <c r="K166" s="30">
        <v>5388.5</v>
      </c>
      <c r="L166" s="27" t="inlineStr">
        <is>
          <t xml:space="preserve">fev/26</t>
        </is>
      </c>
      <c r="M166" s="29">
        <v>318.1</v>
      </c>
      <c r="N166" s="27" t="inlineStr">
        <is>
          <t xml:space="preserve">fev/26</t>
        </is>
      </c>
      <c r="O166" s="29">
        <v>71.26</v>
      </c>
      <c r="P166" s="27" t="inlineStr">
        <is>
          <t xml:space="preserve">mar/26</t>
        </is>
      </c>
      <c r="Q166" s="29">
        <v>23.47</v>
      </c>
      <c r="R166" s="27" t="inlineStr">
        <is>
          <t xml:space="preserve">mai/26</t>
        </is>
      </c>
      <c r="S166" s="30">
        <v>10.53</v>
      </c>
      <c r="T166" s="27" t="inlineStr">
        <is>
          <t xml:space="preserve">mar/26</t>
        </is>
      </c>
      <c r="U166" s="30">
        <v>4.2025</v>
      </c>
      <c r="V166" s="27" t="inlineStr">
        <is>
          <t xml:space="preserve">mar/26</t>
        </is>
      </c>
      <c r="W166" s="29">
        <v>289.2</v>
      </c>
      <c r="X166" s="27" t="inlineStr">
        <is>
          <t xml:space="preserve">mar/26</t>
        </is>
      </c>
      <c r="Y166" s="30">
        <v>0.5297</v>
      </c>
      <c r="Z166" s="27" t="inlineStr">
        <is>
          <t xml:space="preserve">mar/26</t>
        </is>
      </c>
      <c r="AA166" s="29">
        <v>355.73</v>
      </c>
      <c r="AB166" s="29">
        <v>106.98</v>
      </c>
      <c r="AC166" s="29">
        <v>317.25</v>
      </c>
      <c r="AD166" s="29">
        <v>304.81</v>
      </c>
      <c r="AE166" s="29">
        <v>307.2</v>
      </c>
      <c r="AF166" s="29">
        <v>296.25</v>
      </c>
      <c r="AG166" s="29">
        <v>307.1</v>
      </c>
      <c r="AH166" s="29">
        <v>296.55</v>
      </c>
      <c r="AI166" s="29">
        <v>299.91</v>
      </c>
      <c r="AJ166" s="29">
        <v>272.26</v>
      </c>
      <c r="AK166" s="29">
        <v>298.62</v>
      </c>
      <c r="AL166" s="29">
        <v>8.25</v>
      </c>
      <c r="AM166" s="29">
        <v>8.16</v>
      </c>
      <c r="AN166" s="29">
        <v>8.16</v>
      </c>
      <c r="AO166" s="29">
        <v>8.03</v>
      </c>
      <c r="AP166" s="29">
        <v>7.41</v>
      </c>
      <c r="AQ166" s="29">
        <v>114.34</v>
      </c>
      <c r="AR166" s="29">
        <v>128.97</v>
      </c>
      <c r="BH166" s="29">
        <v>1054.59</v>
      </c>
      <c r="BI166" s="29">
        <v>53.05</v>
      </c>
      <c r="BJ166" s="29">
        <v>254.17</v>
      </c>
      <c r="BK166" s="29">
        <v>243.78</v>
      </c>
      <c r="BL166" s="29">
        <v>234.8</v>
      </c>
      <c r="BM166" s="29">
        <v>243.33</v>
      </c>
      <c r="BN166" s="29">
        <v>207.5</v>
      </c>
      <c r="BO166" s="29">
        <v>159.16</v>
      </c>
      <c r="BP166" s="29">
        <v>167.52</v>
      </c>
      <c r="BQ166" s="29">
        <v>152.4</v>
      </c>
      <c r="BR166" s="29">
        <v>151.32</v>
      </c>
      <c r="BX166" s="29">
        <v>47.0</v>
      </c>
      <c r="BY166" s="29">
        <v>52.0</v>
      </c>
      <c r="BZ166" s="29">
        <v>44.33</v>
      </c>
      <c r="CA166" s="29">
        <v>44.8</v>
      </c>
      <c r="CD166" s="29">
        <v>36.98</v>
      </c>
      <c r="CE166" s="29">
        <v>43.11</v>
      </c>
      <c r="CI166" s="29">
        <v>4966.0</v>
      </c>
      <c r="CJ166" s="27" t="inlineStr">
        <is>
          <t xml:space="preserve">mar/26</t>
        </is>
      </c>
    </row>
    <row r="167">
      <c r="A167" s="28">
        <v>46038</v>
      </c>
      <c r="B167" s="29">
        <v>1171.48</v>
      </c>
      <c r="C167" s="29">
        <v>3073.01</v>
      </c>
      <c r="D167" s="29">
        <v>7.28</v>
      </c>
      <c r="E167" s="29">
        <v>8.59</v>
      </c>
      <c r="F167" s="29">
        <v>2180.2</v>
      </c>
      <c r="G167" s="29">
        <v>1300.57</v>
      </c>
      <c r="H167" s="29">
        <v>429.3</v>
      </c>
      <c r="I167" s="27" t="inlineStr">
        <is>
          <t xml:space="preserve">mar/26</t>
        </is>
      </c>
      <c r="J167" s="29">
        <v>164799.98</v>
      </c>
      <c r="K167" s="30">
        <v>5386.5</v>
      </c>
      <c r="L167" s="27" t="inlineStr">
        <is>
          <t xml:space="preserve">fev/26</t>
        </is>
      </c>
      <c r="M167" s="29">
        <v>317.65</v>
      </c>
      <c r="N167" s="27" t="inlineStr">
        <is>
          <t xml:space="preserve">fev/26</t>
        </is>
      </c>
      <c r="O167" s="29">
        <v>71.2</v>
      </c>
      <c r="P167" s="27" t="inlineStr">
        <is>
          <t xml:space="preserve">mar/26</t>
        </is>
      </c>
      <c r="Q167" s="29">
        <v>23.54</v>
      </c>
      <c r="R167" s="27" t="inlineStr">
        <is>
          <t xml:space="preserve">mai/26</t>
        </is>
      </c>
      <c r="S167" s="30">
        <v>10.5775</v>
      </c>
      <c r="T167" s="27" t="inlineStr">
        <is>
          <t xml:space="preserve">mar/26</t>
        </is>
      </c>
      <c r="U167" s="30">
        <v>4.2475</v>
      </c>
      <c r="V167" s="27" t="inlineStr">
        <is>
          <t xml:space="preserve">mar/26</t>
        </is>
      </c>
      <c r="W167" s="29">
        <v>290.0</v>
      </c>
      <c r="X167" s="27" t="inlineStr">
        <is>
          <t xml:space="preserve">mar/26</t>
        </is>
      </c>
      <c r="Y167" s="30">
        <v>0.5261</v>
      </c>
      <c r="Z167" s="27" t="inlineStr">
        <is>
          <t xml:space="preserve">mar/26</t>
        </is>
      </c>
      <c r="AA167" s="29">
        <v>355.87</v>
      </c>
      <c r="AB167" s="29">
        <v>103.97</v>
      </c>
      <c r="AL167" s="29">
        <v>8.16</v>
      </c>
      <c r="AM167" s="29">
        <v>8.11</v>
      </c>
      <c r="AN167" s="29">
        <v>8.0</v>
      </c>
      <c r="AO167" s="29">
        <v>7.93</v>
      </c>
      <c r="AP167" s="29">
        <v>7.34</v>
      </c>
      <c r="AQ167" s="29">
        <v>114.23</v>
      </c>
      <c r="AR167" s="29">
        <v>128.91</v>
      </c>
      <c r="BC167" s="29">
        <v>9.43</v>
      </c>
      <c r="BD167" s="29">
        <v>9.47</v>
      </c>
      <c r="BE167" s="29">
        <v>10.22</v>
      </c>
      <c r="BF167" s="29">
        <v>8.69</v>
      </c>
      <c r="BG167" s="29">
        <v>9.71</v>
      </c>
      <c r="BH167" s="29">
        <v>1045.71</v>
      </c>
      <c r="BI167" s="29">
        <v>53.05</v>
      </c>
      <c r="BJ167" s="29">
        <v>256.8</v>
      </c>
      <c r="BK167" s="29">
        <v>242.5</v>
      </c>
      <c r="BL167" s="29">
        <v>232.3</v>
      </c>
      <c r="BM167" s="29">
        <v>243.33</v>
      </c>
      <c r="BO167" s="29">
        <v>160.2</v>
      </c>
      <c r="BP167" s="29">
        <v>165.86</v>
      </c>
      <c r="BQ167" s="29">
        <v>153.37</v>
      </c>
      <c r="BR167" s="29">
        <v>151.32</v>
      </c>
      <c r="BS167" s="30">
        <v>3.0711</v>
      </c>
      <c r="BT167" s="30">
        <v>3.4913</v>
      </c>
      <c r="BU167" s="29">
        <v>496.65</v>
      </c>
      <c r="BV167" s="29">
        <v>443.65</v>
      </c>
      <c r="BW167" s="29">
        <v>430.77</v>
      </c>
      <c r="BX167" s="29">
        <v>47.0</v>
      </c>
      <c r="BY167" s="29">
        <v>52.0</v>
      </c>
      <c r="CA167" s="29">
        <v>44.8</v>
      </c>
      <c r="CD167" s="29">
        <v>36.98</v>
      </c>
      <c r="CE167" s="29">
        <v>43.11</v>
      </c>
      <c r="CI167" s="29">
        <v>5076.0</v>
      </c>
      <c r="CJ167" s="27" t="inlineStr">
        <is>
          <t xml:space="preserve">mar/26</t>
        </is>
      </c>
    </row>
    <row r="168">
      <c r="A168" s="28">
        <v>46041</v>
      </c>
      <c r="B168" s="29">
        <v>1168.39</v>
      </c>
      <c r="C168" s="29">
        <v>3070.49</v>
      </c>
      <c r="D168" s="29">
        <v>7.25</v>
      </c>
      <c r="E168" s="29">
        <v>8.15</v>
      </c>
      <c r="F168" s="29">
        <v>2184.18</v>
      </c>
      <c r="G168" s="29">
        <v>1301.47</v>
      </c>
      <c r="H168" s="29">
        <v>429.0</v>
      </c>
      <c r="I168" s="27" t="inlineStr">
        <is>
          <t xml:space="preserve">mar/26</t>
        </is>
      </c>
      <c r="J168" s="29">
        <v>164849.27</v>
      </c>
      <c r="K168" s="30">
        <v>5388.5</v>
      </c>
      <c r="L168" s="27" t="inlineStr">
        <is>
          <t xml:space="preserve">fev/26</t>
        </is>
      </c>
      <c r="M168" s="29">
        <v>322.95</v>
      </c>
      <c r="N168" s="27" t="inlineStr">
        <is>
          <t xml:space="preserve">fev/26</t>
        </is>
      </c>
      <c r="O168" s="29">
        <v>71.15</v>
      </c>
      <c r="P168" s="27" t="inlineStr">
        <is>
          <t xml:space="preserve">mar/26</t>
        </is>
      </c>
      <c r="AA168" s="29">
        <v>346.21</v>
      </c>
      <c r="AB168" s="29">
        <v>104.37</v>
      </c>
      <c r="AC168" s="29">
        <v>316.81</v>
      </c>
      <c r="AD168" s="29">
        <v>303.51</v>
      </c>
      <c r="AE168" s="29">
        <v>305.62</v>
      </c>
      <c r="AF168" s="29">
        <v>297.45</v>
      </c>
      <c r="AG168" s="29">
        <v>304.0</v>
      </c>
      <c r="AH168" s="29">
        <v>296.56</v>
      </c>
      <c r="AI168" s="29">
        <v>297.97</v>
      </c>
      <c r="AJ168" s="29">
        <v>273.83</v>
      </c>
      <c r="AK168" s="29">
        <v>298.16</v>
      </c>
      <c r="AL168" s="29">
        <v>7.96</v>
      </c>
      <c r="AM168" s="29">
        <v>7.79</v>
      </c>
      <c r="AN168" s="29">
        <v>7.85</v>
      </c>
      <c r="AO168" s="29">
        <v>7.74</v>
      </c>
      <c r="AP168" s="29">
        <v>7.32</v>
      </c>
      <c r="AQ168" s="29">
        <v>114.16</v>
      </c>
      <c r="AR168" s="29">
        <v>129.1</v>
      </c>
      <c r="BH168" s="29">
        <v>1045.84</v>
      </c>
      <c r="BI168" s="29">
        <v>52.85</v>
      </c>
      <c r="BJ168" s="29">
        <v>262.31</v>
      </c>
      <c r="BK168" s="29">
        <v>246.56</v>
      </c>
      <c r="BL168" s="29">
        <v>231.76</v>
      </c>
      <c r="BM168" s="29">
        <v>243.64</v>
      </c>
      <c r="BO168" s="29">
        <v>160.53</v>
      </c>
      <c r="BP168" s="29">
        <v>172.06</v>
      </c>
      <c r="BQ168" s="29">
        <v>155.91</v>
      </c>
      <c r="BR168" s="29">
        <v>151.32</v>
      </c>
      <c r="BY168" s="29">
        <v>52.0</v>
      </c>
      <c r="CA168" s="29">
        <v>44.8</v>
      </c>
      <c r="CD168" s="29">
        <v>37.63</v>
      </c>
      <c r="CE168" s="29">
        <v>42.74</v>
      </c>
    </row>
    <row r="169">
      <c r="A169" s="28">
        <v>46042</v>
      </c>
      <c r="B169" s="29">
        <v>1189.7</v>
      </c>
      <c r="C169" s="29">
        <v>3076.27</v>
      </c>
      <c r="D169" s="29">
        <v>7.25</v>
      </c>
      <c r="E169" s="29">
        <v>7.92</v>
      </c>
      <c r="F169" s="29">
        <v>2146.33</v>
      </c>
      <c r="G169" s="29">
        <v>1281.48</v>
      </c>
      <c r="H169" s="29">
        <v>421.25</v>
      </c>
      <c r="I169" s="27" t="inlineStr">
        <is>
          <t xml:space="preserve">mar/26</t>
        </is>
      </c>
      <c r="J169" s="29">
        <v>166276.9</v>
      </c>
      <c r="K169" s="30">
        <v>5392.5</v>
      </c>
      <c r="L169" s="27" t="inlineStr">
        <is>
          <t xml:space="preserve">fev/26</t>
        </is>
      </c>
      <c r="M169" s="29">
        <v>325.35</v>
      </c>
      <c r="N169" s="27" t="inlineStr">
        <is>
          <t xml:space="preserve">fev/26</t>
        </is>
      </c>
      <c r="O169" s="29">
        <v>70.89</v>
      </c>
      <c r="P169" s="27" t="inlineStr">
        <is>
          <t xml:space="preserve">mar/26</t>
        </is>
      </c>
      <c r="Q169" s="29">
        <v>23.44</v>
      </c>
      <c r="R169" s="27" t="inlineStr">
        <is>
          <t xml:space="preserve">mai/26</t>
        </is>
      </c>
      <c r="S169" s="30">
        <v>10.53</v>
      </c>
      <c r="T169" s="27" t="inlineStr">
        <is>
          <t xml:space="preserve">mar/26</t>
        </is>
      </c>
      <c r="U169" s="30">
        <v>4.2375</v>
      </c>
      <c r="V169" s="27" t="inlineStr">
        <is>
          <t xml:space="preserve">mar/26</t>
        </is>
      </c>
      <c r="W169" s="29">
        <v>291.6</v>
      </c>
      <c r="X169" s="27" t="inlineStr">
        <is>
          <t xml:space="preserve">mar/26</t>
        </is>
      </c>
      <c r="Y169" s="30">
        <v>0.5256</v>
      </c>
      <c r="Z169" s="27" t="inlineStr">
        <is>
          <t xml:space="preserve">mar/26</t>
        </is>
      </c>
      <c r="AA169" s="29">
        <v>350.13</v>
      </c>
      <c r="AB169" s="29">
        <v>103.44</v>
      </c>
      <c r="AC169" s="29">
        <v>319.14</v>
      </c>
      <c r="AD169" s="29">
        <v>302.56</v>
      </c>
      <c r="AE169" s="29">
        <v>307.05</v>
      </c>
      <c r="AF169" s="29">
        <v>302.58</v>
      </c>
      <c r="AG169" s="29">
        <v>304.69</v>
      </c>
      <c r="AH169" s="29">
        <v>296.81</v>
      </c>
      <c r="AI169" s="29">
        <v>298.4</v>
      </c>
      <c r="AJ169" s="29">
        <v>275.72</v>
      </c>
      <c r="AK169" s="29">
        <v>296.99</v>
      </c>
      <c r="AL169" s="29">
        <v>7.75</v>
      </c>
      <c r="AM169" s="29">
        <v>7.73</v>
      </c>
      <c r="AN169" s="29">
        <v>7.78</v>
      </c>
      <c r="AO169" s="29">
        <v>7.7</v>
      </c>
      <c r="AP169" s="29">
        <v>7.32</v>
      </c>
      <c r="AQ169" s="29">
        <v>114.13</v>
      </c>
      <c r="AR169" s="29">
        <v>129.1</v>
      </c>
      <c r="BH169" s="29">
        <v>1051.18</v>
      </c>
      <c r="BI169" s="29">
        <v>53.27</v>
      </c>
      <c r="BK169" s="29">
        <v>248.73</v>
      </c>
      <c r="BL169" s="29">
        <v>232.3</v>
      </c>
      <c r="BM169" s="29">
        <v>243.0</v>
      </c>
      <c r="BO169" s="29">
        <v>165.03</v>
      </c>
      <c r="BP169" s="29">
        <v>177.73</v>
      </c>
      <c r="BQ169" s="29">
        <v>158.35</v>
      </c>
      <c r="BR169" s="29">
        <v>154.06</v>
      </c>
      <c r="BY169" s="29">
        <v>52.0</v>
      </c>
      <c r="CA169" s="29">
        <v>44.8</v>
      </c>
      <c r="CD169" s="29">
        <v>37.63</v>
      </c>
      <c r="CE169" s="29">
        <v>42.4</v>
      </c>
      <c r="CI169" s="29">
        <v>4648.0</v>
      </c>
      <c r="CJ169" s="27" t="inlineStr">
        <is>
          <t xml:space="preserve">mar/26</t>
        </is>
      </c>
    </row>
    <row r="170">
      <c r="A170" s="28">
        <v>46043</v>
      </c>
      <c r="B170" s="29">
        <v>1185.27</v>
      </c>
      <c r="C170" s="29">
        <v>3065.22</v>
      </c>
      <c r="D170" s="29">
        <v>7.25</v>
      </c>
      <c r="E170" s="29">
        <v>7.92</v>
      </c>
      <c r="F170" s="29">
        <v>2135.9</v>
      </c>
      <c r="G170" s="29">
        <v>1283.65</v>
      </c>
      <c r="H170" s="29">
        <v>423.3</v>
      </c>
      <c r="I170" s="27" t="inlineStr">
        <is>
          <t xml:space="preserve">mar/26</t>
        </is>
      </c>
      <c r="J170" s="29">
        <v>171816.67</v>
      </c>
      <c r="K170" s="30">
        <v>5332.5</v>
      </c>
      <c r="L170" s="27" t="inlineStr">
        <is>
          <t xml:space="preserve">fev/26</t>
        </is>
      </c>
      <c r="M170" s="29">
        <v>327.5</v>
      </c>
      <c r="N170" s="27" t="inlineStr">
        <is>
          <t xml:space="preserve">fev/26</t>
        </is>
      </c>
      <c r="O170" s="29">
        <v>69.75</v>
      </c>
      <c r="P170" s="27" t="inlineStr">
        <is>
          <t xml:space="preserve">mar/26</t>
        </is>
      </c>
      <c r="Q170" s="29">
        <v>23.71</v>
      </c>
      <c r="R170" s="27" t="inlineStr">
        <is>
          <t xml:space="preserve">mai/26</t>
        </is>
      </c>
      <c r="S170" s="30">
        <v>10.645</v>
      </c>
      <c r="T170" s="27" t="inlineStr">
        <is>
          <t xml:space="preserve">mar/26</t>
        </is>
      </c>
      <c r="U170" s="30">
        <v>4.2175</v>
      </c>
      <c r="V170" s="27" t="inlineStr">
        <is>
          <t xml:space="preserve">mar/26</t>
        </is>
      </c>
      <c r="W170" s="29">
        <v>291.4</v>
      </c>
      <c r="X170" s="27" t="inlineStr">
        <is>
          <t xml:space="preserve">mar/26</t>
        </is>
      </c>
      <c r="Y170" s="30">
        <v>0.5401</v>
      </c>
      <c r="Z170" s="27" t="inlineStr">
        <is>
          <t xml:space="preserve">mar/26</t>
        </is>
      </c>
      <c r="AA170" s="29">
        <v>353.03</v>
      </c>
      <c r="AB170" s="29">
        <v>104.66</v>
      </c>
      <c r="AC170" s="29">
        <v>317.02</v>
      </c>
      <c r="AD170" s="29">
        <v>304.39</v>
      </c>
      <c r="AE170" s="29">
        <v>307.03</v>
      </c>
      <c r="AF170" s="29">
        <v>303.28</v>
      </c>
      <c r="AG170" s="29">
        <v>305.05</v>
      </c>
      <c r="AH170" s="29">
        <v>296.87</v>
      </c>
      <c r="AI170" s="29">
        <v>298.1</v>
      </c>
      <c r="AJ170" s="29">
        <v>275.76</v>
      </c>
      <c r="AK170" s="29">
        <v>297.03</v>
      </c>
      <c r="AL170" s="29">
        <v>7.76</v>
      </c>
      <c r="AM170" s="29">
        <v>7.6</v>
      </c>
      <c r="AN170" s="29">
        <v>7.72</v>
      </c>
      <c r="AO170" s="29">
        <v>7.66</v>
      </c>
      <c r="AP170" s="29">
        <v>7.32</v>
      </c>
      <c r="AQ170" s="29">
        <v>114.13</v>
      </c>
      <c r="AR170" s="29">
        <v>129.1</v>
      </c>
      <c r="BH170" s="29">
        <v>1053.84</v>
      </c>
      <c r="BI170" s="29">
        <v>53.51</v>
      </c>
      <c r="BJ170" s="29">
        <v>261.43</v>
      </c>
      <c r="BK170" s="29">
        <v>251.25</v>
      </c>
      <c r="BL170" s="29">
        <v>235.14</v>
      </c>
      <c r="BM170" s="29">
        <v>243.13</v>
      </c>
      <c r="BO170" s="29">
        <v>171.91</v>
      </c>
      <c r="BP170" s="29">
        <v>184.75</v>
      </c>
      <c r="BQ170" s="29">
        <v>162.11</v>
      </c>
      <c r="BR170" s="29">
        <v>155.45</v>
      </c>
      <c r="BY170" s="29">
        <v>52.0</v>
      </c>
      <c r="CA170" s="29">
        <v>44.8</v>
      </c>
      <c r="CD170" s="29">
        <v>37.26</v>
      </c>
      <c r="CE170" s="29">
        <v>42.75</v>
      </c>
      <c r="CI170" s="29">
        <v>4448.0</v>
      </c>
      <c r="CJ170" s="27" t="inlineStr">
        <is>
          <t xml:space="preserve">mar/26</t>
        </is>
      </c>
    </row>
    <row r="171">
      <c r="A171" s="28">
        <v>46044</v>
      </c>
      <c r="B171" s="29">
        <v>1184.94</v>
      </c>
      <c r="C171" s="29">
        <v>3081.36</v>
      </c>
      <c r="D171" s="29">
        <v>7.25</v>
      </c>
      <c r="E171" s="29">
        <v>7.92</v>
      </c>
      <c r="F171" s="29">
        <v>2107.84</v>
      </c>
      <c r="G171" s="29">
        <v>1276.76</v>
      </c>
      <c r="H171" s="29">
        <v>426.85</v>
      </c>
      <c r="I171" s="27" t="inlineStr">
        <is>
          <t xml:space="preserve">mar/26</t>
        </is>
      </c>
      <c r="J171" s="29">
        <v>175589.35</v>
      </c>
      <c r="K171" s="30">
        <v>5299.5</v>
      </c>
      <c r="L171" s="27" t="inlineStr">
        <is>
          <t xml:space="preserve">fev/26</t>
        </is>
      </c>
      <c r="M171" s="29">
        <v>327.5</v>
      </c>
      <c r="N171" s="27" t="inlineStr">
        <is>
          <t xml:space="preserve">fev/26</t>
        </is>
      </c>
      <c r="O171" s="29">
        <v>69.25</v>
      </c>
      <c r="P171" s="27" t="inlineStr">
        <is>
          <t xml:space="preserve">mar/26</t>
        </is>
      </c>
      <c r="Q171" s="29">
        <v>23.69</v>
      </c>
      <c r="R171" s="27" t="inlineStr">
        <is>
          <t xml:space="preserve">mai/26</t>
        </is>
      </c>
      <c r="S171" s="30">
        <v>10.64</v>
      </c>
      <c r="T171" s="27" t="inlineStr">
        <is>
          <t xml:space="preserve">mar/26</t>
        </is>
      </c>
      <c r="U171" s="30">
        <v>4.24</v>
      </c>
      <c r="V171" s="27" t="inlineStr">
        <is>
          <t xml:space="preserve">mar/26</t>
        </is>
      </c>
      <c r="W171" s="29">
        <v>296.2</v>
      </c>
      <c r="X171" s="27" t="inlineStr">
        <is>
          <t xml:space="preserve">mar/26</t>
        </is>
      </c>
      <c r="Y171" s="30">
        <v>0.5378</v>
      </c>
      <c r="Z171" s="27" t="inlineStr">
        <is>
          <t xml:space="preserve">mar/26</t>
        </is>
      </c>
      <c r="AA171" s="29">
        <v>350.65</v>
      </c>
      <c r="AB171" s="29">
        <v>104.59</v>
      </c>
      <c r="AC171" s="29">
        <v>317.99</v>
      </c>
      <c r="AD171" s="29">
        <v>305.48</v>
      </c>
      <c r="AE171" s="29">
        <v>308.05</v>
      </c>
      <c r="AF171" s="29">
        <v>303.19</v>
      </c>
      <c r="AG171" s="29">
        <v>304.93</v>
      </c>
      <c r="AH171" s="29">
        <v>297.28</v>
      </c>
      <c r="AI171" s="29">
        <v>297.84</v>
      </c>
      <c r="AJ171" s="29">
        <v>275.68</v>
      </c>
      <c r="AK171" s="29">
        <v>296.26</v>
      </c>
      <c r="AL171" s="29">
        <v>7.76</v>
      </c>
      <c r="AM171" s="29">
        <v>7.64</v>
      </c>
      <c r="AN171" s="29">
        <v>7.72</v>
      </c>
      <c r="AO171" s="29">
        <v>7.52</v>
      </c>
      <c r="AP171" s="29">
        <v>7.32</v>
      </c>
      <c r="AQ171" s="29">
        <v>114.09</v>
      </c>
      <c r="AR171" s="29">
        <v>129.01</v>
      </c>
      <c r="BH171" s="29">
        <v>1051.8</v>
      </c>
      <c r="BI171" s="29">
        <v>53.65</v>
      </c>
      <c r="BK171" s="29">
        <v>251.58</v>
      </c>
      <c r="BL171" s="29">
        <v>241.66</v>
      </c>
      <c r="BM171" s="29">
        <v>240.0</v>
      </c>
      <c r="BO171" s="29">
        <v>172.58</v>
      </c>
      <c r="BP171" s="29">
        <v>184.75</v>
      </c>
      <c r="BQ171" s="29">
        <v>163.19</v>
      </c>
      <c r="BR171" s="29">
        <v>155.45</v>
      </c>
      <c r="BX171" s="29">
        <v>47.0</v>
      </c>
      <c r="BY171" s="29">
        <v>52.0</v>
      </c>
      <c r="BZ171" s="29">
        <v>43.0</v>
      </c>
      <c r="CA171" s="29">
        <v>44.8</v>
      </c>
      <c r="CD171" s="29">
        <v>37.26</v>
      </c>
      <c r="CE171" s="29">
        <v>42.61</v>
      </c>
      <c r="CI171" s="29">
        <v>4469.0</v>
      </c>
      <c r="CJ171" s="27" t="inlineStr">
        <is>
          <t xml:space="preserve">mar/26</t>
        </is>
      </c>
    </row>
    <row r="172">
      <c r="A172" s="28">
        <v>46045</v>
      </c>
      <c r="B172" s="29">
        <v>1182.04</v>
      </c>
      <c r="C172" s="29">
        <v>3092.55</v>
      </c>
      <c r="D172" s="29">
        <v>7.25</v>
      </c>
      <c r="E172" s="29">
        <v>7.87</v>
      </c>
      <c r="F172" s="29">
        <v>2135.31</v>
      </c>
      <c r="G172" s="29">
        <v>1286.48</v>
      </c>
      <c r="H172" s="29">
        <v>432.05</v>
      </c>
      <c r="I172" s="27" t="inlineStr">
        <is>
          <t xml:space="preserve">mar/26</t>
        </is>
      </c>
      <c r="J172" s="29">
        <v>178858.54</v>
      </c>
      <c r="K172" s="30">
        <v>5303.5</v>
      </c>
      <c r="L172" s="27" t="inlineStr">
        <is>
          <t xml:space="preserve">fev/26</t>
        </is>
      </c>
      <c r="M172" s="29">
        <v>327.5</v>
      </c>
      <c r="N172" s="27" t="inlineStr">
        <is>
          <t xml:space="preserve">fev/26</t>
        </is>
      </c>
      <c r="O172" s="29">
        <v>68.84</v>
      </c>
      <c r="P172" s="27" t="inlineStr">
        <is>
          <t xml:space="preserve">mar/26</t>
        </is>
      </c>
      <c r="Q172" s="29">
        <v>23.78</v>
      </c>
      <c r="R172" s="27" t="inlineStr">
        <is>
          <t xml:space="preserve">mai/26</t>
        </is>
      </c>
      <c r="S172" s="30">
        <v>10.6775</v>
      </c>
      <c r="T172" s="27" t="inlineStr">
        <is>
          <t xml:space="preserve">mar/26</t>
        </is>
      </c>
      <c r="U172" s="30">
        <v>4.305</v>
      </c>
      <c r="V172" s="27" t="inlineStr">
        <is>
          <t xml:space="preserve">mar/26</t>
        </is>
      </c>
      <c r="W172" s="29">
        <v>299.9</v>
      </c>
      <c r="X172" s="27" t="inlineStr">
        <is>
          <t xml:space="preserve">mar/26</t>
        </is>
      </c>
      <c r="Y172" s="30">
        <v>0.5399</v>
      </c>
      <c r="Z172" s="27" t="inlineStr">
        <is>
          <t xml:space="preserve">mar/26</t>
        </is>
      </c>
      <c r="AA172" s="29">
        <v>353.32</v>
      </c>
      <c r="AB172" s="29">
        <v>104.84</v>
      </c>
      <c r="AL172" s="29">
        <v>7.63</v>
      </c>
      <c r="AM172" s="29">
        <v>7.54</v>
      </c>
      <c r="AN172" s="29">
        <v>7.65</v>
      </c>
      <c r="AO172" s="29">
        <v>7.48</v>
      </c>
      <c r="AP172" s="29">
        <v>7.32</v>
      </c>
      <c r="AQ172" s="29">
        <v>114.09</v>
      </c>
      <c r="AR172" s="29">
        <v>128.43</v>
      </c>
      <c r="BC172" s="29">
        <v>9.46</v>
      </c>
      <c r="BD172" s="29">
        <v>9.5</v>
      </c>
      <c r="BE172" s="29">
        <v>10.22</v>
      </c>
      <c r="BF172" s="29">
        <v>8.69</v>
      </c>
      <c r="BG172" s="29">
        <v>9.71</v>
      </c>
      <c r="BH172" s="29">
        <v>1051.8</v>
      </c>
      <c r="BI172" s="29">
        <v>53.72</v>
      </c>
      <c r="BK172" s="29">
        <v>251.59</v>
      </c>
      <c r="BL172" s="29">
        <v>237.7</v>
      </c>
      <c r="BM172" s="29">
        <v>243.75</v>
      </c>
      <c r="BO172" s="29">
        <v>172.45</v>
      </c>
      <c r="BP172" s="29">
        <v>183.28</v>
      </c>
      <c r="BQ172" s="29">
        <v>164.36</v>
      </c>
      <c r="BR172" s="29">
        <v>153.5</v>
      </c>
      <c r="BS172" s="30">
        <v>3.0871</v>
      </c>
      <c r="BT172" s="30">
        <v>3.5377</v>
      </c>
      <c r="BU172" s="29">
        <v>480.36</v>
      </c>
      <c r="BV172" s="29">
        <v>439.39</v>
      </c>
      <c r="BW172" s="29">
        <v>454.67</v>
      </c>
      <c r="BX172" s="29">
        <v>47.0</v>
      </c>
      <c r="BY172" s="29">
        <v>52.0</v>
      </c>
      <c r="BZ172" s="29">
        <v>43.0</v>
      </c>
      <c r="CA172" s="29">
        <v>44.8</v>
      </c>
      <c r="CD172" s="29">
        <v>37.26</v>
      </c>
      <c r="CE172" s="29">
        <v>42.61</v>
      </c>
      <c r="CI172" s="29">
        <v>4201.0</v>
      </c>
      <c r="CJ172" s="27" t="inlineStr">
        <is>
          <t xml:space="preserve">mar/26</t>
        </is>
      </c>
    </row>
    <row r="173">
      <c r="A173" s="28">
        <v>46048</v>
      </c>
      <c r="B173" s="29">
        <v>1174.88</v>
      </c>
      <c r="C173" s="29">
        <v>3100.93</v>
      </c>
      <c r="D173" s="29">
        <v>7.16</v>
      </c>
      <c r="E173" s="29">
        <v>7.54</v>
      </c>
      <c r="F173" s="29">
        <v>2144.25</v>
      </c>
      <c r="G173" s="29">
        <v>1290.03</v>
      </c>
      <c r="H173" s="29">
        <v>438.15</v>
      </c>
      <c r="I173" s="27" t="inlineStr">
        <is>
          <t xml:space="preserve">mar/26</t>
        </is>
      </c>
      <c r="J173" s="29">
        <v>178720.68</v>
      </c>
      <c r="K173" s="30">
        <v>5289.0</v>
      </c>
      <c r="L173" s="27" t="inlineStr">
        <is>
          <t xml:space="preserve">fev/26</t>
        </is>
      </c>
      <c r="M173" s="29">
        <v>328.8</v>
      </c>
      <c r="N173" s="27" t="inlineStr">
        <is>
          <t xml:space="preserve">fev/26</t>
        </is>
      </c>
      <c r="O173" s="29">
        <v>68.99</v>
      </c>
      <c r="P173" s="27" t="inlineStr">
        <is>
          <t xml:space="preserve">mar/26</t>
        </is>
      </c>
      <c r="Q173" s="29">
        <v>23.65</v>
      </c>
      <c r="R173" s="27" t="inlineStr">
        <is>
          <t xml:space="preserve">mai/26</t>
        </is>
      </c>
      <c r="S173" s="30">
        <v>10.6175</v>
      </c>
      <c r="T173" s="27" t="inlineStr">
        <is>
          <t xml:space="preserve">mar/26</t>
        </is>
      </c>
      <c r="U173" s="30">
        <v>4.2825</v>
      </c>
      <c r="V173" s="27" t="inlineStr">
        <is>
          <t xml:space="preserve">mar/26</t>
        </is>
      </c>
      <c r="W173" s="29">
        <v>294.3</v>
      </c>
      <c r="X173" s="27" t="inlineStr">
        <is>
          <t xml:space="preserve">mar/26</t>
        </is>
      </c>
      <c r="Y173" s="30">
        <v>0.5389</v>
      </c>
      <c r="Z173" s="27" t="inlineStr">
        <is>
          <t xml:space="preserve">mar/26</t>
        </is>
      </c>
      <c r="AA173" s="29">
        <v>351.42</v>
      </c>
      <c r="AB173" s="29">
        <v>104.92</v>
      </c>
      <c r="AC173" s="29">
        <v>321.6</v>
      </c>
      <c r="AD173" s="29">
        <v>305.99</v>
      </c>
      <c r="AE173" s="29">
        <v>307.94</v>
      </c>
      <c r="AF173" s="29">
        <v>300.59</v>
      </c>
      <c r="AG173" s="29">
        <v>305.2</v>
      </c>
      <c r="AH173" s="29">
        <v>296.89</v>
      </c>
      <c r="AI173" s="29">
        <v>298.85</v>
      </c>
      <c r="AJ173" s="29">
        <v>279.78</v>
      </c>
      <c r="AK173" s="29">
        <v>299.03</v>
      </c>
      <c r="AL173" s="29">
        <v>7.32</v>
      </c>
      <c r="AM173" s="29">
        <v>7.24</v>
      </c>
      <c r="AN173" s="29">
        <v>7.43</v>
      </c>
      <c r="AO173" s="29">
        <v>7.25</v>
      </c>
      <c r="AP173" s="29">
        <v>7.24</v>
      </c>
      <c r="AQ173" s="29">
        <v>114.2</v>
      </c>
      <c r="AR173" s="29">
        <v>128.63</v>
      </c>
      <c r="BH173" s="29">
        <v>1054.08</v>
      </c>
      <c r="BI173" s="29">
        <v>53.69</v>
      </c>
      <c r="BK173" s="29">
        <v>253.06</v>
      </c>
      <c r="BL173" s="29">
        <v>244.32</v>
      </c>
      <c r="BM173" s="29">
        <v>252.86</v>
      </c>
      <c r="BO173" s="29">
        <v>173.45</v>
      </c>
      <c r="BP173" s="29">
        <v>181.88</v>
      </c>
      <c r="BQ173" s="29">
        <v>166.18</v>
      </c>
      <c r="BR173" s="29">
        <v>157.92</v>
      </c>
      <c r="BX173" s="29">
        <v>47.0</v>
      </c>
      <c r="BY173" s="29">
        <v>52.0</v>
      </c>
      <c r="BZ173" s="29">
        <v>43.0</v>
      </c>
      <c r="CA173" s="29">
        <v>44.4</v>
      </c>
      <c r="CD173" s="29">
        <v>37.26</v>
      </c>
      <c r="CE173" s="29">
        <v>42.29</v>
      </c>
      <c r="CI173" s="29">
        <v>4348.0</v>
      </c>
      <c r="CJ173" s="27" t="inlineStr">
        <is>
          <t xml:space="preserve">mar/26</t>
        </is>
      </c>
    </row>
    <row r="174">
      <c r="A174" s="28">
        <v>46049</v>
      </c>
      <c r="B174" s="29">
        <v>1176.36</v>
      </c>
      <c r="C174" s="29">
        <v>3097.63</v>
      </c>
      <c r="D174" s="29">
        <v>7.09</v>
      </c>
      <c r="E174" s="29">
        <v>7.37</v>
      </c>
      <c r="F174" s="29">
        <v>2185.59</v>
      </c>
      <c r="G174" s="29">
        <v>1282.21</v>
      </c>
      <c r="H174" s="29">
        <v>448.05</v>
      </c>
      <c r="I174" s="27" t="inlineStr">
        <is>
          <t xml:space="preserve">mar/26</t>
        </is>
      </c>
      <c r="J174" s="29">
        <v>181919.13</v>
      </c>
      <c r="K174" s="30">
        <v>5183.5</v>
      </c>
      <c r="L174" s="27" t="inlineStr">
        <is>
          <t xml:space="preserve">fev/26</t>
        </is>
      </c>
      <c r="M174" s="29">
        <v>332.0</v>
      </c>
      <c r="N174" s="27" t="inlineStr">
        <is>
          <t xml:space="preserve">fev/26</t>
        </is>
      </c>
      <c r="O174" s="29">
        <v>68.93</v>
      </c>
      <c r="P174" s="27" t="inlineStr">
        <is>
          <t xml:space="preserve">mar/26</t>
        </is>
      </c>
      <c r="Q174" s="29">
        <v>23.79</v>
      </c>
      <c r="R174" s="27" t="inlineStr">
        <is>
          <t xml:space="preserve">mai/26</t>
        </is>
      </c>
      <c r="S174" s="30">
        <v>10.6725</v>
      </c>
      <c r="T174" s="27" t="inlineStr">
        <is>
          <t xml:space="preserve">mar/26</t>
        </is>
      </c>
      <c r="U174" s="30">
        <v>4.265</v>
      </c>
      <c r="V174" s="27" t="inlineStr">
        <is>
          <t xml:space="preserve">mar/26</t>
        </is>
      </c>
      <c r="W174" s="29">
        <v>294.0</v>
      </c>
      <c r="X174" s="27" t="inlineStr">
        <is>
          <t xml:space="preserve">mar/26</t>
        </is>
      </c>
      <c r="Y174" s="30">
        <v>0.5441</v>
      </c>
      <c r="Z174" s="27" t="inlineStr">
        <is>
          <t xml:space="preserve">mar/26</t>
        </is>
      </c>
      <c r="AA174" s="29">
        <v>349.87</v>
      </c>
      <c r="AB174" s="29">
        <v>104.95</v>
      </c>
      <c r="AC174" s="29">
        <v>325.29</v>
      </c>
      <c r="AD174" s="29">
        <v>308.99</v>
      </c>
      <c r="AE174" s="29">
        <v>308.89</v>
      </c>
      <c r="AF174" s="29">
        <v>305.1</v>
      </c>
      <c r="AG174" s="29">
        <v>307.23</v>
      </c>
      <c r="AH174" s="29">
        <v>297.77</v>
      </c>
      <c r="AI174" s="29">
        <v>300.38</v>
      </c>
      <c r="AJ174" s="29">
        <v>282.19</v>
      </c>
      <c r="AK174" s="29">
        <v>299.62</v>
      </c>
      <c r="AL174" s="29">
        <v>7.26</v>
      </c>
      <c r="AM174" s="29">
        <v>6.99</v>
      </c>
      <c r="AN174" s="29">
        <v>7.12</v>
      </c>
      <c r="AO174" s="29">
        <v>7.02</v>
      </c>
      <c r="AP174" s="29">
        <v>7.16</v>
      </c>
      <c r="AQ174" s="29">
        <v>114.23</v>
      </c>
      <c r="AR174" s="29">
        <v>128.32</v>
      </c>
      <c r="BH174" s="29">
        <v>1057.34</v>
      </c>
      <c r="BI174" s="29">
        <v>53.74</v>
      </c>
      <c r="BK174" s="29">
        <v>266.98</v>
      </c>
      <c r="BL174" s="29">
        <v>256.22</v>
      </c>
      <c r="BM174" s="29">
        <v>258.33</v>
      </c>
      <c r="BO174" s="29">
        <v>177.33</v>
      </c>
      <c r="BP174" s="29">
        <v>184.65</v>
      </c>
      <c r="BQ174" s="29">
        <v>169.0</v>
      </c>
      <c r="BR174" s="29">
        <v>161.25</v>
      </c>
      <c r="BX174" s="29">
        <v>47.0</v>
      </c>
      <c r="BY174" s="29">
        <v>52.0</v>
      </c>
      <c r="BZ174" s="29">
        <v>43.0</v>
      </c>
      <c r="CA174" s="29">
        <v>44.0</v>
      </c>
      <c r="CD174" s="29">
        <v>37.26</v>
      </c>
      <c r="CE174" s="29">
        <v>42.22</v>
      </c>
      <c r="CI174" s="29">
        <v>4433.0</v>
      </c>
      <c r="CJ174" s="27" t="inlineStr">
        <is>
          <t xml:space="preserve">mar/26</t>
        </is>
      </c>
    </row>
    <row r="175">
      <c r="A175" s="28">
        <v>46050</v>
      </c>
      <c r="B175" s="29">
        <v>1174.84</v>
      </c>
      <c r="C175" s="29">
        <v>3105.95</v>
      </c>
      <c r="D175" s="29">
        <v>7.07</v>
      </c>
      <c r="E175" s="29">
        <v>7.27</v>
      </c>
      <c r="F175" s="29">
        <v>2156.49</v>
      </c>
      <c r="G175" s="29">
        <v>1239.04</v>
      </c>
      <c r="H175" s="29">
        <v>433.55</v>
      </c>
      <c r="I175" s="27" t="inlineStr">
        <is>
          <t xml:space="preserve">mar/26</t>
        </is>
      </c>
      <c r="J175" s="29">
        <v>184691.05</v>
      </c>
      <c r="K175" s="30">
        <v>5197.5</v>
      </c>
      <c r="L175" s="27" t="inlineStr">
        <is>
          <t xml:space="preserve">fev/26</t>
        </is>
      </c>
      <c r="M175" s="29">
        <v>332.85</v>
      </c>
      <c r="N175" s="27" t="inlineStr">
        <is>
          <t xml:space="preserve">fev/26</t>
        </is>
      </c>
      <c r="O175" s="29">
        <v>67.96</v>
      </c>
      <c r="P175" s="27" t="inlineStr">
        <is>
          <t xml:space="preserve">mar/26</t>
        </is>
      </c>
      <c r="Q175" s="29">
        <v>23.96</v>
      </c>
      <c r="R175" s="27" t="inlineStr">
        <is>
          <t xml:space="preserve">mai/26</t>
        </is>
      </c>
      <c r="S175" s="30">
        <v>10.75</v>
      </c>
      <c r="T175" s="27" t="inlineStr">
        <is>
          <t xml:space="preserve">mar/26</t>
        </is>
      </c>
      <c r="U175" s="30">
        <v>4.3</v>
      </c>
      <c r="V175" s="27" t="inlineStr">
        <is>
          <t xml:space="preserve">mar/26</t>
        </is>
      </c>
      <c r="W175" s="29">
        <v>297.8</v>
      </c>
      <c r="X175" s="27" t="inlineStr">
        <is>
          <t xml:space="preserve">mar/26</t>
        </is>
      </c>
      <c r="Y175" s="30">
        <v>0.5431</v>
      </c>
      <c r="Z175" s="27" t="inlineStr">
        <is>
          <t xml:space="preserve">mar/26</t>
        </is>
      </c>
      <c r="AA175" s="29">
        <v>346.37</v>
      </c>
      <c r="AB175" s="29">
        <v>104.6</v>
      </c>
      <c r="AC175" s="29">
        <v>325.75</v>
      </c>
      <c r="AD175" s="29">
        <v>309.6</v>
      </c>
      <c r="AE175" s="29">
        <v>308.77</v>
      </c>
      <c r="AF175" s="29">
        <v>306.54</v>
      </c>
      <c r="AG175" s="29">
        <v>307.91</v>
      </c>
      <c r="AH175" s="29">
        <v>298.5</v>
      </c>
      <c r="AI175" s="29">
        <v>302.7</v>
      </c>
      <c r="AJ175" s="29">
        <v>283.23</v>
      </c>
      <c r="AK175" s="29">
        <v>300.35</v>
      </c>
      <c r="AL175" s="29">
        <v>7.25</v>
      </c>
      <c r="AM175" s="29">
        <v>6.99</v>
      </c>
      <c r="AN175" s="29">
        <v>7.01</v>
      </c>
      <c r="AO175" s="29">
        <v>6.75</v>
      </c>
      <c r="AP175" s="29">
        <v>7.14</v>
      </c>
      <c r="AQ175" s="29">
        <v>128.93</v>
      </c>
      <c r="AR175" s="29">
        <v>142.37</v>
      </c>
      <c r="BH175" s="29">
        <v>1056.96</v>
      </c>
      <c r="BI175" s="29">
        <v>53.82</v>
      </c>
      <c r="BK175" s="29">
        <v>280.25</v>
      </c>
      <c r="BL175" s="29">
        <v>257.3</v>
      </c>
      <c r="BM175" s="29">
        <v>265.63</v>
      </c>
      <c r="BO175" s="29">
        <v>186.64</v>
      </c>
      <c r="BP175" s="29">
        <v>195.2</v>
      </c>
      <c r="BQ175" s="29">
        <v>173.98</v>
      </c>
      <c r="BR175" s="29">
        <v>164.17</v>
      </c>
      <c r="BX175" s="29">
        <v>47.0</v>
      </c>
      <c r="BY175" s="29">
        <v>52.0</v>
      </c>
      <c r="BZ175" s="29">
        <v>43.0</v>
      </c>
      <c r="CA175" s="29">
        <v>44.0</v>
      </c>
      <c r="CD175" s="29">
        <v>37.63</v>
      </c>
      <c r="CE175" s="29">
        <v>41.47</v>
      </c>
      <c r="CI175" s="29">
        <v>4150.0</v>
      </c>
      <c r="CJ175" s="27" t="inlineStr">
        <is>
          <t xml:space="preserve">mar/26</t>
        </is>
      </c>
    </row>
    <row r="176">
      <c r="A176" s="28">
        <v>46051</v>
      </c>
      <c r="B176" s="29">
        <v>1171.6</v>
      </c>
      <c r="C176" s="29">
        <v>3098.65</v>
      </c>
      <c r="D176" s="29">
        <v>7.07</v>
      </c>
      <c r="E176" s="29">
        <v>7.14</v>
      </c>
      <c r="F176" s="29">
        <v>2108.35</v>
      </c>
      <c r="G176" s="29">
        <v>1227.5</v>
      </c>
      <c r="H176" s="29">
        <v>435.9</v>
      </c>
      <c r="I176" s="27" t="inlineStr">
        <is>
          <t xml:space="preserve">mar/26</t>
        </is>
      </c>
      <c r="J176" s="29">
        <v>183133.75</v>
      </c>
      <c r="K176" s="30">
        <v>5195.5</v>
      </c>
      <c r="L176" s="27" t="inlineStr">
        <is>
          <t xml:space="preserve">fev/26</t>
        </is>
      </c>
      <c r="M176" s="29">
        <v>336.15</v>
      </c>
      <c r="N176" s="27" t="inlineStr">
        <is>
          <t xml:space="preserve">fev/26</t>
        </is>
      </c>
      <c r="O176" s="29">
        <v>68.49</v>
      </c>
      <c r="P176" s="27" t="inlineStr">
        <is>
          <t xml:space="preserve">mar/26</t>
        </is>
      </c>
      <c r="Q176" s="29">
        <v>23.88</v>
      </c>
      <c r="R176" s="27" t="inlineStr">
        <is>
          <t xml:space="preserve">mai/26</t>
        </is>
      </c>
      <c r="S176" s="30">
        <v>10.7225</v>
      </c>
      <c r="T176" s="27" t="inlineStr">
        <is>
          <t xml:space="preserve">mar/26</t>
        </is>
      </c>
      <c r="U176" s="30">
        <v>4.3075</v>
      </c>
      <c r="V176" s="27" t="inlineStr">
        <is>
          <t xml:space="preserve">mar/26</t>
        </is>
      </c>
      <c r="W176" s="29">
        <v>296.0</v>
      </c>
      <c r="X176" s="27" t="inlineStr">
        <is>
          <t xml:space="preserve">mar/26</t>
        </is>
      </c>
      <c r="Y176" s="30">
        <v>0.5403</v>
      </c>
      <c r="Z176" s="27" t="inlineStr">
        <is>
          <t xml:space="preserve">mar/26</t>
        </is>
      </c>
      <c r="AA176" s="29">
        <v>345.32</v>
      </c>
      <c r="AB176" s="29">
        <v>104.78</v>
      </c>
      <c r="AC176" s="29">
        <v>326.8</v>
      </c>
      <c r="AD176" s="29">
        <v>310.8</v>
      </c>
      <c r="AE176" s="29">
        <v>309.71</v>
      </c>
      <c r="AF176" s="29">
        <v>306.46</v>
      </c>
      <c r="AG176" s="29">
        <v>308.25</v>
      </c>
      <c r="AH176" s="29">
        <v>300.5</v>
      </c>
      <c r="AI176" s="29">
        <v>303.15</v>
      </c>
      <c r="AJ176" s="29">
        <v>283.63</v>
      </c>
      <c r="AK176" s="29">
        <v>301.49</v>
      </c>
      <c r="AL176" s="29">
        <v>7.16</v>
      </c>
      <c r="AM176" s="29">
        <v>6.79</v>
      </c>
      <c r="AN176" s="29">
        <v>6.93</v>
      </c>
      <c r="AO176" s="29">
        <v>6.71</v>
      </c>
      <c r="AP176" s="29">
        <v>7.14</v>
      </c>
      <c r="AQ176" s="29">
        <v>128.92</v>
      </c>
      <c r="AR176" s="29">
        <v>142.08</v>
      </c>
      <c r="BH176" s="29">
        <v>1056.96</v>
      </c>
      <c r="BI176" s="29">
        <v>53.96</v>
      </c>
      <c r="BK176" s="29">
        <v>279.02</v>
      </c>
      <c r="BL176" s="29">
        <v>262.22</v>
      </c>
      <c r="BM176" s="29">
        <v>267.0</v>
      </c>
      <c r="BO176" s="29">
        <v>188.36</v>
      </c>
      <c r="BP176" s="29">
        <v>195.86</v>
      </c>
      <c r="BQ176" s="29">
        <v>174.41</v>
      </c>
      <c r="BR176" s="29">
        <v>164.17</v>
      </c>
      <c r="BX176" s="29">
        <v>47.0</v>
      </c>
      <c r="BY176" s="29">
        <v>52.0</v>
      </c>
      <c r="BZ176" s="29">
        <v>43.0</v>
      </c>
      <c r="CA176" s="29">
        <v>44.0</v>
      </c>
      <c r="CD176" s="29">
        <v>36.88</v>
      </c>
      <c r="CE176" s="29">
        <v>41.32</v>
      </c>
      <c r="CI176" s="29">
        <v>4177.0</v>
      </c>
      <c r="CJ176" s="27" t="inlineStr">
        <is>
          <t xml:space="preserve">mar/26</t>
        </is>
      </c>
    </row>
    <row r="177">
      <c r="A177" s="28">
        <v>46052</v>
      </c>
      <c r="B177" s="29">
        <v>1172.98</v>
      </c>
      <c r="C177" s="29">
        <v>3091.73</v>
      </c>
      <c r="D177" s="29">
        <v>6.99</v>
      </c>
      <c r="E177" s="29">
        <v>7.09</v>
      </c>
      <c r="F177" s="29">
        <v>2094.55</v>
      </c>
      <c r="G177" s="29">
        <v>1212.01</v>
      </c>
      <c r="H177" s="29">
        <v>425.8</v>
      </c>
      <c r="I177" s="27" t="inlineStr">
        <is>
          <t xml:space="preserve">mar/26</t>
        </is>
      </c>
      <c r="J177" s="29">
        <v>181363.9</v>
      </c>
      <c r="K177" s="30">
        <v>5230.5</v>
      </c>
      <c r="L177" s="27" t="inlineStr">
        <is>
          <t xml:space="preserve">fev/26</t>
        </is>
      </c>
      <c r="M177" s="29">
        <v>339.85</v>
      </c>
      <c r="N177" s="27" t="inlineStr">
        <is>
          <t xml:space="preserve">fev/26</t>
        </is>
      </c>
      <c r="O177" s="29">
        <v>69.16</v>
      </c>
      <c r="P177" s="27" t="inlineStr">
        <is>
          <t xml:space="preserve">mar/26</t>
        </is>
      </c>
      <c r="S177" s="30">
        <v>10.6425</v>
      </c>
      <c r="T177" s="27" t="inlineStr">
        <is>
          <t xml:space="preserve">mar/26</t>
        </is>
      </c>
      <c r="U177" s="30">
        <v>4.2825</v>
      </c>
      <c r="V177" s="27" t="inlineStr">
        <is>
          <t xml:space="preserve">mar/26</t>
        </is>
      </c>
      <c r="W177" s="29">
        <v>293.6</v>
      </c>
      <c r="X177" s="27" t="inlineStr">
        <is>
          <t xml:space="preserve">mar/26</t>
        </is>
      </c>
      <c r="Y177" s="30">
        <v>0.5351</v>
      </c>
      <c r="Z177" s="27" t="inlineStr">
        <is>
          <t xml:space="preserve">mar/26</t>
        </is>
      </c>
      <c r="AA177" s="29">
        <v>347.54</v>
      </c>
      <c r="AB177" s="29">
        <v>104.89</v>
      </c>
      <c r="AC177" s="29">
        <v>326.59</v>
      </c>
      <c r="AD177" s="29">
        <v>311.46</v>
      </c>
      <c r="AE177" s="29">
        <v>310.6</v>
      </c>
      <c r="AF177" s="29">
        <v>306.19</v>
      </c>
      <c r="AG177" s="29">
        <v>308.02</v>
      </c>
      <c r="AH177" s="29">
        <v>303.78</v>
      </c>
      <c r="AI177" s="29">
        <v>303.71</v>
      </c>
      <c r="AJ177" s="29">
        <v>287.96</v>
      </c>
      <c r="AK177" s="29">
        <v>299.8</v>
      </c>
      <c r="AL177" s="29">
        <v>7.08</v>
      </c>
      <c r="AM177" s="29">
        <v>6.79</v>
      </c>
      <c r="AN177" s="29">
        <v>6.76</v>
      </c>
      <c r="AO177" s="29">
        <v>6.71</v>
      </c>
      <c r="AP177" s="29">
        <v>7.05</v>
      </c>
      <c r="AQ177" s="29">
        <v>139.15</v>
      </c>
      <c r="AR177" s="29">
        <v>155.32</v>
      </c>
      <c r="BC177" s="29">
        <v>9.51</v>
      </c>
      <c r="BD177" s="29">
        <v>9.56</v>
      </c>
      <c r="BE177" s="29">
        <v>10.23</v>
      </c>
      <c r="BF177" s="29">
        <v>8.69</v>
      </c>
      <c r="BG177" s="29">
        <v>9.77</v>
      </c>
      <c r="BH177" s="29">
        <v>1058.6</v>
      </c>
      <c r="BI177" s="29">
        <v>54.01</v>
      </c>
      <c r="BK177" s="29">
        <v>281.68</v>
      </c>
      <c r="BL177" s="29">
        <v>264.2</v>
      </c>
      <c r="BM177" s="29">
        <v>270.83</v>
      </c>
      <c r="BO177" s="29">
        <v>188.36</v>
      </c>
      <c r="BP177" s="29">
        <v>196.03</v>
      </c>
      <c r="BQ177" s="29">
        <v>175.46</v>
      </c>
      <c r="BR177" s="29">
        <v>165.0</v>
      </c>
      <c r="BS177" s="30">
        <v>3.0885</v>
      </c>
      <c r="BT177" s="30">
        <v>3.4722</v>
      </c>
      <c r="BU177" s="29">
        <v>469.67</v>
      </c>
      <c r="BV177" s="29">
        <v>433.14</v>
      </c>
      <c r="BW177" s="29">
        <v>461.55</v>
      </c>
      <c r="BX177" s="29">
        <v>47.0</v>
      </c>
      <c r="BY177" s="29">
        <v>52.0</v>
      </c>
      <c r="BZ177" s="29">
        <v>43.0</v>
      </c>
      <c r="CA177" s="29">
        <v>44.0</v>
      </c>
      <c r="CD177" s="29">
        <v>36.88</v>
      </c>
      <c r="CE177" s="29">
        <v>41.32</v>
      </c>
      <c r="CI177" s="29">
        <v>4165.0</v>
      </c>
      <c r="CJ177" s="27" t="inlineStr">
        <is>
          <t xml:space="preserve">mar/26</t>
        </is>
      </c>
    </row>
    <row r="178">
      <c r="A178" s="28">
        <v>46054</v>
      </c>
      <c r="AS178" s="30">
        <v>2.15</v>
      </c>
      <c r="AT178" s="30">
        <v>2.2</v>
      </c>
      <c r="AU178" s="30">
        <v>2.1</v>
      </c>
      <c r="AV178" s="30">
        <v>2.2</v>
      </c>
      <c r="AW178" s="30">
        <v>2.17</v>
      </c>
      <c r="AX178" s="30">
        <v>2.07</v>
      </c>
      <c r="AY178" s="30">
        <v>2.1</v>
      </c>
      <c r="AZ178" s="30">
        <v>2.1</v>
      </c>
      <c r="BA178" s="30">
        <v>2.14</v>
      </c>
      <c r="BB178" s="30">
        <v>1.99</v>
      </c>
    </row>
    <row r="179">
      <c r="A179" s="28">
        <v>46055</v>
      </c>
      <c r="B179" s="29">
        <v>1168.03</v>
      </c>
      <c r="C179" s="29">
        <v>3091.69</v>
      </c>
      <c r="D179" s="29">
        <v>6.92</v>
      </c>
      <c r="E179" s="29">
        <v>7.05</v>
      </c>
      <c r="F179" s="29">
        <v>2060.33</v>
      </c>
      <c r="G179" s="29">
        <v>1155.13</v>
      </c>
      <c r="H179" s="29">
        <v>428.35</v>
      </c>
      <c r="I179" s="27" t="inlineStr">
        <is>
          <t xml:space="preserve">mar/26</t>
        </is>
      </c>
      <c r="J179" s="29">
        <v>182793.4</v>
      </c>
      <c r="K179" s="30">
        <v>5292.0</v>
      </c>
      <c r="L179" s="27" t="inlineStr">
        <is>
          <t xml:space="preserve">mar/26</t>
        </is>
      </c>
      <c r="M179" s="29">
        <v>338.85</v>
      </c>
      <c r="N179" s="27" t="inlineStr">
        <is>
          <t xml:space="preserve">mar/26</t>
        </is>
      </c>
      <c r="O179" s="29">
        <v>69.29</v>
      </c>
      <c r="P179" s="27" t="inlineStr">
        <is>
          <t xml:space="preserve">mar/26</t>
        </is>
      </c>
      <c r="S179" s="30">
        <v>10.6025</v>
      </c>
      <c r="T179" s="27" t="inlineStr">
        <is>
          <t xml:space="preserve">mar/26</t>
        </is>
      </c>
      <c r="U179" s="30">
        <v>4.2575</v>
      </c>
      <c r="V179" s="27" t="inlineStr">
        <is>
          <t xml:space="preserve">mar/26</t>
        </is>
      </c>
      <c r="W179" s="29">
        <v>294.5</v>
      </c>
      <c r="X179" s="27" t="inlineStr">
        <is>
          <t xml:space="preserve">mar/26</t>
        </is>
      </c>
      <c r="Y179" s="30">
        <v>0.532</v>
      </c>
      <c r="Z179" s="27" t="inlineStr">
        <is>
          <t xml:space="preserve">mar/26</t>
        </is>
      </c>
      <c r="AA179" s="29">
        <v>351.67</v>
      </c>
      <c r="AB179" s="29">
        <v>106.29</v>
      </c>
      <c r="AC179" s="29">
        <v>326.87</v>
      </c>
      <c r="AD179" s="29">
        <v>312.1</v>
      </c>
      <c r="AE179" s="29">
        <v>313.3</v>
      </c>
      <c r="AF179" s="29">
        <v>306.51</v>
      </c>
      <c r="AG179" s="29">
        <v>308.31</v>
      </c>
      <c r="AH179" s="29">
        <v>303.26</v>
      </c>
      <c r="AI179" s="29">
        <v>304.89</v>
      </c>
      <c r="AJ179" s="29">
        <v>291.98</v>
      </c>
      <c r="AK179" s="29">
        <v>299.85</v>
      </c>
      <c r="AL179" s="29">
        <v>6.75</v>
      </c>
      <c r="AM179" s="29">
        <v>6.76</v>
      </c>
      <c r="AN179" s="29">
        <v>6.79</v>
      </c>
      <c r="AO179" s="29">
        <v>6.73</v>
      </c>
      <c r="AP179" s="29">
        <v>6.98</v>
      </c>
      <c r="AQ179" s="29">
        <v>139.15</v>
      </c>
      <c r="AR179" s="29">
        <v>155.32</v>
      </c>
      <c r="BH179" s="29">
        <v>1058.24</v>
      </c>
      <c r="BI179" s="29">
        <v>54.0</v>
      </c>
      <c r="BK179" s="29">
        <v>286.44</v>
      </c>
      <c r="BL179" s="29">
        <v>265.85</v>
      </c>
      <c r="BM179" s="29">
        <v>273.9</v>
      </c>
      <c r="BO179" s="29">
        <v>188.37</v>
      </c>
      <c r="BP179" s="29">
        <v>195.75</v>
      </c>
      <c r="BQ179" s="29">
        <v>175.71</v>
      </c>
      <c r="BR179" s="29">
        <v>165.0</v>
      </c>
      <c r="BX179" s="29">
        <v>46.0</v>
      </c>
      <c r="BY179" s="29">
        <v>52.0</v>
      </c>
      <c r="BZ179" s="29">
        <v>43.0</v>
      </c>
      <c r="CA179" s="29">
        <v>44.0</v>
      </c>
      <c r="CD179" s="29">
        <v>36.38</v>
      </c>
      <c r="CE179" s="29">
        <v>41.53</v>
      </c>
      <c r="CI179" s="29">
        <v>4210.0</v>
      </c>
      <c r="CJ179" s="27" t="inlineStr">
        <is>
          <t xml:space="preserve">mar/26</t>
        </is>
      </c>
    </row>
    <row r="180">
      <c r="A180" s="28">
        <v>46056</v>
      </c>
      <c r="B180" s="29">
        <v>1175.13</v>
      </c>
      <c r="C180" s="29">
        <v>3088.37</v>
      </c>
      <c r="D180" s="29">
        <v>6.9</v>
      </c>
      <c r="E180" s="29">
        <v>6.94</v>
      </c>
      <c r="F180" s="29">
        <v>1971.48</v>
      </c>
      <c r="G180" s="29">
        <v>1095.1</v>
      </c>
      <c r="H180" s="29">
        <v>411.95</v>
      </c>
      <c r="I180" s="27" t="inlineStr">
        <is>
          <t xml:space="preserve">mar/26</t>
        </is>
      </c>
      <c r="J180" s="29">
        <v>185674.43</v>
      </c>
      <c r="K180" s="30">
        <v>5267.0</v>
      </c>
      <c r="L180" s="27" t="inlineStr">
        <is>
          <t xml:space="preserve">mar/26</t>
        </is>
      </c>
      <c r="M180" s="29">
        <v>340.7</v>
      </c>
      <c r="N180" s="27" t="inlineStr">
        <is>
          <t xml:space="preserve">mar/26</t>
        </is>
      </c>
      <c r="O180" s="29">
        <v>70.2</v>
      </c>
      <c r="P180" s="27" t="inlineStr">
        <is>
          <t xml:space="preserve">mar/26</t>
        </is>
      </c>
      <c r="S180" s="30">
        <v>10.6575</v>
      </c>
      <c r="T180" s="27" t="inlineStr">
        <is>
          <t xml:space="preserve">mar/26</t>
        </is>
      </c>
      <c r="U180" s="30">
        <v>4.285</v>
      </c>
      <c r="V180" s="27" t="inlineStr">
        <is>
          <t xml:space="preserve">mar/26</t>
        </is>
      </c>
      <c r="W180" s="29">
        <v>291.9</v>
      </c>
      <c r="X180" s="27" t="inlineStr">
        <is>
          <t xml:space="preserve">mar/26</t>
        </is>
      </c>
      <c r="Y180" s="30">
        <v>0.5449</v>
      </c>
      <c r="Z180" s="27" t="inlineStr">
        <is>
          <t xml:space="preserve">mar/26</t>
        </is>
      </c>
      <c r="AA180" s="29">
        <v>354.28</v>
      </c>
      <c r="AB180" s="29">
        <v>105.81</v>
      </c>
      <c r="AC180" s="29">
        <v>328.07</v>
      </c>
      <c r="AD180" s="29">
        <v>312.07</v>
      </c>
      <c r="AE180" s="29">
        <v>318.04</v>
      </c>
      <c r="AF180" s="29">
        <v>303.1</v>
      </c>
      <c r="AG180" s="29">
        <v>314.81</v>
      </c>
      <c r="AH180" s="29">
        <v>303.98</v>
      </c>
      <c r="AI180" s="29">
        <v>305.49</v>
      </c>
      <c r="AJ180" s="29">
        <v>292.47</v>
      </c>
      <c r="AK180" s="29">
        <v>299.64</v>
      </c>
      <c r="AL180" s="29">
        <v>6.76</v>
      </c>
      <c r="AM180" s="29">
        <v>6.72</v>
      </c>
      <c r="AN180" s="29">
        <v>6.8</v>
      </c>
      <c r="AO180" s="29">
        <v>6.68</v>
      </c>
      <c r="AP180" s="29">
        <v>6.96</v>
      </c>
      <c r="AQ180" s="29">
        <v>139.18</v>
      </c>
      <c r="AR180" s="29">
        <v>155.76</v>
      </c>
      <c r="BH180" s="29">
        <v>1056.9</v>
      </c>
      <c r="BI180" s="29">
        <v>54.26</v>
      </c>
      <c r="BK180" s="29">
        <v>290.25</v>
      </c>
      <c r="BL180" s="29">
        <v>272.31</v>
      </c>
      <c r="BM180" s="29">
        <v>284.18</v>
      </c>
      <c r="BO180" s="29">
        <v>188.98</v>
      </c>
      <c r="BP180" s="29">
        <v>197.18</v>
      </c>
      <c r="BQ180" s="29">
        <v>178.6</v>
      </c>
      <c r="BR180" s="29">
        <v>162.5</v>
      </c>
      <c r="BX180" s="29">
        <v>46.0</v>
      </c>
      <c r="BY180" s="29">
        <v>52.0</v>
      </c>
      <c r="BZ180" s="29">
        <v>43.0</v>
      </c>
      <c r="CA180" s="29">
        <v>44.0</v>
      </c>
      <c r="CD180" s="29">
        <v>36.38</v>
      </c>
      <c r="CE180" s="29">
        <v>41.6</v>
      </c>
      <c r="CI180" s="29">
        <v>4300.0</v>
      </c>
      <c r="CJ180" s="27" t="inlineStr">
        <is>
          <t xml:space="preserve">mar/26</t>
        </is>
      </c>
    </row>
    <row r="181">
      <c r="A181" s="28">
        <v>46057</v>
      </c>
      <c r="B181" s="29">
        <v>1176.58</v>
      </c>
      <c r="C181" s="29">
        <v>3095.89</v>
      </c>
      <c r="D181" s="29">
        <v>6.96</v>
      </c>
      <c r="E181" s="29">
        <v>6.94</v>
      </c>
      <c r="F181" s="29">
        <v>1931.5</v>
      </c>
      <c r="G181" s="29">
        <v>1079.1</v>
      </c>
      <c r="H181" s="29">
        <v>402.0</v>
      </c>
      <c r="I181" s="27" t="inlineStr">
        <is>
          <t xml:space="preserve">mar/26</t>
        </is>
      </c>
      <c r="J181" s="29">
        <v>181708.23</v>
      </c>
      <c r="K181" s="30">
        <v>5266.0</v>
      </c>
      <c r="L181" s="27" t="inlineStr">
        <is>
          <t xml:space="preserve">mar/26</t>
        </is>
      </c>
      <c r="M181" s="29">
        <v>343.7</v>
      </c>
      <c r="N181" s="27" t="inlineStr">
        <is>
          <t xml:space="preserve">mar/26</t>
        </is>
      </c>
      <c r="O181" s="29">
        <v>69.79</v>
      </c>
      <c r="P181" s="27" t="inlineStr">
        <is>
          <t xml:space="preserve">mar/26</t>
        </is>
      </c>
      <c r="S181" s="30">
        <v>10.9225</v>
      </c>
      <c r="T181" s="27" t="inlineStr">
        <is>
          <t xml:space="preserve">mar/26</t>
        </is>
      </c>
      <c r="U181" s="30">
        <v>4.295</v>
      </c>
      <c r="V181" s="27" t="inlineStr">
        <is>
          <t xml:space="preserve">mar/26</t>
        </is>
      </c>
      <c r="W181" s="29">
        <v>296.2</v>
      </c>
      <c r="X181" s="27" t="inlineStr">
        <is>
          <t xml:space="preserve">mar/26</t>
        </is>
      </c>
      <c r="Y181" s="30">
        <v>0.5566</v>
      </c>
      <c r="Z181" s="27" t="inlineStr">
        <is>
          <t xml:space="preserve">mar/26</t>
        </is>
      </c>
      <c r="AA181" s="29">
        <v>354.56</v>
      </c>
      <c r="AB181" s="29">
        <v>102.82</v>
      </c>
      <c r="AC181" s="29">
        <v>332.34</v>
      </c>
      <c r="AD181" s="29">
        <v>314.95</v>
      </c>
      <c r="AE181" s="29">
        <v>319.38</v>
      </c>
      <c r="AF181" s="29">
        <v>299.97</v>
      </c>
      <c r="AG181" s="29">
        <v>316.08</v>
      </c>
      <c r="AH181" s="29">
        <v>304.72</v>
      </c>
      <c r="AI181" s="29">
        <v>306.02</v>
      </c>
      <c r="AJ181" s="29">
        <v>293.44</v>
      </c>
      <c r="AK181" s="29">
        <v>302.86</v>
      </c>
      <c r="AL181" s="29">
        <v>6.76</v>
      </c>
      <c r="AM181" s="29">
        <v>6.72</v>
      </c>
      <c r="AN181" s="29">
        <v>6.76</v>
      </c>
      <c r="AO181" s="29">
        <v>6.64</v>
      </c>
      <c r="AP181" s="29">
        <v>7.02</v>
      </c>
      <c r="AQ181" s="29">
        <v>149.16</v>
      </c>
      <c r="AR181" s="29">
        <v>168.41</v>
      </c>
      <c r="BH181" s="29">
        <v>1056.9</v>
      </c>
      <c r="BI181" s="29">
        <v>54.29</v>
      </c>
      <c r="BK181" s="29">
        <v>292.85</v>
      </c>
      <c r="BL181" s="29">
        <v>285.88</v>
      </c>
      <c r="BM181" s="29">
        <v>289.62</v>
      </c>
      <c r="BO181" s="29">
        <v>186.18</v>
      </c>
      <c r="BP181" s="29">
        <v>199.19</v>
      </c>
      <c r="BQ181" s="29">
        <v>180.54</v>
      </c>
      <c r="BR181" s="29">
        <v>161.67</v>
      </c>
      <c r="BX181" s="29">
        <v>46.0</v>
      </c>
      <c r="BY181" s="29">
        <v>52.0</v>
      </c>
      <c r="BZ181" s="29">
        <v>43.0</v>
      </c>
      <c r="CA181" s="29">
        <v>44.0</v>
      </c>
      <c r="CD181" s="29">
        <v>36.38</v>
      </c>
      <c r="CE181" s="29">
        <v>41.28</v>
      </c>
      <c r="CI181" s="29">
        <v>4086.0</v>
      </c>
      <c r="CJ181" s="27" t="inlineStr">
        <is>
          <t xml:space="preserve">mar/26</t>
        </is>
      </c>
    </row>
    <row r="182">
      <c r="A182" s="28">
        <v>46058</v>
      </c>
      <c r="B182" s="29">
        <v>1174.56</v>
      </c>
      <c r="C182" s="29">
        <v>3117.25</v>
      </c>
      <c r="D182" s="29">
        <v>6.96</v>
      </c>
      <c r="E182" s="29">
        <v>6.94</v>
      </c>
      <c r="F182" s="29">
        <v>1916.31</v>
      </c>
      <c r="G182" s="29">
        <v>1073.36</v>
      </c>
      <c r="H182" s="29">
        <v>397.65</v>
      </c>
      <c r="I182" s="27" t="inlineStr">
        <is>
          <t xml:space="preserve">mar/26</t>
        </is>
      </c>
      <c r="J182" s="29">
        <v>182127.25</v>
      </c>
      <c r="K182" s="30">
        <v>5299.0</v>
      </c>
      <c r="L182" s="27" t="inlineStr">
        <is>
          <t xml:space="preserve">mar/26</t>
        </is>
      </c>
      <c r="M182" s="29">
        <v>344.7</v>
      </c>
      <c r="N182" s="27" t="inlineStr">
        <is>
          <t xml:space="preserve">mar/26</t>
        </is>
      </c>
      <c r="O182" s="29">
        <v>70.1</v>
      </c>
      <c r="P182" s="27" t="inlineStr">
        <is>
          <t xml:space="preserve">mar/26</t>
        </is>
      </c>
      <c r="S182" s="30">
        <v>11.1225</v>
      </c>
      <c r="T182" s="27" t="inlineStr">
        <is>
          <t xml:space="preserve">mar/26</t>
        </is>
      </c>
      <c r="U182" s="30">
        <v>4.35</v>
      </c>
      <c r="V182" s="27" t="inlineStr">
        <is>
          <t xml:space="preserve">mar/26</t>
        </is>
      </c>
      <c r="W182" s="29">
        <v>303.2</v>
      </c>
      <c r="X182" s="27" t="inlineStr">
        <is>
          <t xml:space="preserve">mar/26</t>
        </is>
      </c>
      <c r="Y182" s="30">
        <v>0.5565</v>
      </c>
      <c r="Z182" s="27" t="inlineStr">
        <is>
          <t xml:space="preserve">mar/26</t>
        </is>
      </c>
      <c r="AA182" s="29">
        <v>352.81</v>
      </c>
      <c r="AB182" s="29">
        <v>101.76</v>
      </c>
      <c r="AC182" s="29">
        <v>335.3</v>
      </c>
      <c r="AD182" s="29">
        <v>316.33</v>
      </c>
      <c r="AE182" s="29">
        <v>318.53</v>
      </c>
      <c r="AF182" s="29">
        <v>310.28</v>
      </c>
      <c r="AG182" s="29">
        <v>315.64</v>
      </c>
      <c r="AH182" s="29">
        <v>307.94</v>
      </c>
      <c r="AI182" s="29">
        <v>308.08</v>
      </c>
      <c r="AJ182" s="29">
        <v>294.63</v>
      </c>
      <c r="AK182" s="29">
        <v>305.18</v>
      </c>
      <c r="AL182" s="29">
        <v>6.76</v>
      </c>
      <c r="AM182" s="29">
        <v>6.7</v>
      </c>
      <c r="AN182" s="29">
        <v>6.76</v>
      </c>
      <c r="AO182" s="29">
        <v>6.61</v>
      </c>
      <c r="AP182" s="29">
        <v>7.02</v>
      </c>
      <c r="AQ182" s="29">
        <v>149.16</v>
      </c>
      <c r="AR182" s="29">
        <v>169.12</v>
      </c>
      <c r="BH182" s="29">
        <v>1069.92</v>
      </c>
      <c r="BI182" s="29">
        <v>54.3</v>
      </c>
      <c r="BK182" s="29">
        <v>298.22</v>
      </c>
      <c r="BL182" s="29">
        <v>295.18</v>
      </c>
      <c r="BM182" s="29">
        <v>290.84</v>
      </c>
      <c r="BO182" s="29">
        <v>185.31</v>
      </c>
      <c r="BP182" s="29">
        <v>201.45</v>
      </c>
      <c r="BQ182" s="29">
        <v>180.54</v>
      </c>
      <c r="BR182" s="29">
        <v>166.25</v>
      </c>
      <c r="BX182" s="29">
        <v>46.0</v>
      </c>
      <c r="BY182" s="29">
        <v>52.0</v>
      </c>
      <c r="BZ182" s="29">
        <v>43.0</v>
      </c>
      <c r="CA182" s="29">
        <v>44.0</v>
      </c>
      <c r="CD182" s="29">
        <v>36.45</v>
      </c>
      <c r="CE182" s="29">
        <v>41.69</v>
      </c>
      <c r="CI182" s="29">
        <v>4209.0</v>
      </c>
      <c r="CJ182" s="27" t="inlineStr">
        <is>
          <t xml:space="preserve">mar/26</t>
        </is>
      </c>
    </row>
    <row r="183">
      <c r="A183" s="28">
        <v>46059</v>
      </c>
      <c r="B183" s="29">
        <v>1171.18</v>
      </c>
      <c r="C183" s="29">
        <v>3118.69</v>
      </c>
      <c r="D183" s="29">
        <v>6.97</v>
      </c>
      <c r="E183" s="29">
        <v>6.91</v>
      </c>
      <c r="F183" s="29">
        <v>1884.66</v>
      </c>
      <c r="G183" s="29">
        <v>1068.7</v>
      </c>
      <c r="H183" s="29">
        <v>379.0</v>
      </c>
      <c r="I183" s="27" t="inlineStr">
        <is>
          <t xml:space="preserve">mar/26</t>
        </is>
      </c>
      <c r="J183" s="29">
        <v>182949.78</v>
      </c>
      <c r="K183" s="30">
        <v>5242.5</v>
      </c>
      <c r="L183" s="27" t="inlineStr">
        <is>
          <t xml:space="preserve">mar/26</t>
        </is>
      </c>
      <c r="M183" s="29">
        <v>346.3</v>
      </c>
      <c r="N183" s="27" t="inlineStr">
        <is>
          <t xml:space="preserve">mar/26</t>
        </is>
      </c>
      <c r="O183" s="29">
        <v>68.98</v>
      </c>
      <c r="P183" s="27" t="inlineStr">
        <is>
          <t xml:space="preserve">mar/26</t>
        </is>
      </c>
      <c r="S183" s="30">
        <v>11.1525</v>
      </c>
      <c r="T183" s="27" t="inlineStr">
        <is>
          <t xml:space="preserve">mar/26</t>
        </is>
      </c>
      <c r="U183" s="30">
        <v>4.3025</v>
      </c>
      <c r="V183" s="27" t="inlineStr">
        <is>
          <t xml:space="preserve">mar/26</t>
        </is>
      </c>
      <c r="W183" s="29">
        <v>303.6</v>
      </c>
      <c r="X183" s="27" t="inlineStr">
        <is>
          <t xml:space="preserve">mar/26</t>
        </is>
      </c>
      <c r="Y183" s="30">
        <v>0.5533</v>
      </c>
      <c r="Z183" s="27" t="inlineStr">
        <is>
          <t xml:space="preserve">mar/26</t>
        </is>
      </c>
      <c r="AA183" s="29">
        <v>353.23</v>
      </c>
      <c r="AB183" s="29">
        <v>100.63</v>
      </c>
      <c r="AC183" s="29">
        <v>336.03</v>
      </c>
      <c r="AD183" s="29">
        <v>317.23</v>
      </c>
      <c r="AE183" s="29">
        <v>316.37</v>
      </c>
      <c r="AF183" s="29">
        <v>311.34</v>
      </c>
      <c r="AG183" s="29">
        <v>316.81</v>
      </c>
      <c r="AH183" s="29">
        <v>308.94</v>
      </c>
      <c r="AI183" s="29">
        <v>310.51</v>
      </c>
      <c r="AJ183" s="29">
        <v>294.88</v>
      </c>
      <c r="AK183" s="29">
        <v>304.87</v>
      </c>
      <c r="AL183" s="29">
        <v>6.76</v>
      </c>
      <c r="AM183" s="29">
        <v>6.69</v>
      </c>
      <c r="AN183" s="29">
        <v>6.81</v>
      </c>
      <c r="AO183" s="29">
        <v>6.61</v>
      </c>
      <c r="AP183" s="29">
        <v>7.03</v>
      </c>
      <c r="AQ183" s="29">
        <v>149.16</v>
      </c>
      <c r="AR183" s="29">
        <v>169.12</v>
      </c>
      <c r="BC183" s="29">
        <v>9.56</v>
      </c>
      <c r="BD183" s="29">
        <v>9.58</v>
      </c>
      <c r="BE183" s="29">
        <v>10.23</v>
      </c>
      <c r="BF183" s="29">
        <v>8.72</v>
      </c>
      <c r="BG183" s="29">
        <v>9.79</v>
      </c>
      <c r="BH183" s="29">
        <v>1066.46</v>
      </c>
      <c r="BI183" s="29">
        <v>54.35</v>
      </c>
      <c r="BK183" s="29">
        <v>301.8</v>
      </c>
      <c r="BL183" s="29">
        <v>297.93</v>
      </c>
      <c r="BM183" s="29">
        <v>294.47</v>
      </c>
      <c r="BO183" s="29">
        <v>188.66</v>
      </c>
      <c r="BP183" s="29">
        <v>201.07</v>
      </c>
      <c r="BQ183" s="29">
        <v>183.23</v>
      </c>
      <c r="BR183" s="29">
        <v>166.11</v>
      </c>
      <c r="BS183" s="30">
        <v>3.0496</v>
      </c>
      <c r="BT183" s="30">
        <v>3.49</v>
      </c>
      <c r="BU183" s="29">
        <v>480.04</v>
      </c>
      <c r="BV183" s="29">
        <v>431.55</v>
      </c>
      <c r="BW183" s="29">
        <v>455.57</v>
      </c>
      <c r="BX183" s="29">
        <v>46.0</v>
      </c>
      <c r="BY183" s="29">
        <v>52.0</v>
      </c>
      <c r="BZ183" s="29">
        <v>43.0</v>
      </c>
      <c r="CA183" s="29">
        <v>44.0</v>
      </c>
      <c r="CD183" s="29">
        <v>36.45</v>
      </c>
      <c r="CE183" s="29">
        <v>41.69</v>
      </c>
      <c r="CI183" s="29">
        <v>4197.0</v>
      </c>
      <c r="CJ183" s="27" t="inlineStr">
        <is>
          <t xml:space="preserve">mar/26</t>
        </is>
      </c>
    </row>
    <row r="184">
      <c r="A184" s="28">
        <v>46062</v>
      </c>
      <c r="B184" s="29">
        <v>1166.42</v>
      </c>
      <c r="C184" s="29">
        <v>3112.21</v>
      </c>
      <c r="D184" s="29">
        <v>6.97</v>
      </c>
      <c r="E184" s="29">
        <v>6.88</v>
      </c>
      <c r="F184" s="29">
        <v>1861.69</v>
      </c>
      <c r="G184" s="29">
        <v>1063.5</v>
      </c>
      <c r="H184" s="29">
        <v>386.45</v>
      </c>
      <c r="I184" s="27" t="inlineStr">
        <is>
          <t xml:space="preserve">mar/26</t>
        </is>
      </c>
      <c r="J184" s="29">
        <v>186241.15</v>
      </c>
      <c r="K184" s="30">
        <v>5217.0</v>
      </c>
      <c r="L184" s="27" t="inlineStr">
        <is>
          <t xml:space="preserve">mar/26</t>
        </is>
      </c>
      <c r="M184" s="29">
        <v>344.2</v>
      </c>
      <c r="N184" s="27" t="inlineStr">
        <is>
          <t xml:space="preserve">mar/26</t>
        </is>
      </c>
      <c r="O184" s="29">
        <v>68.85</v>
      </c>
      <c r="P184" s="27" t="inlineStr">
        <is>
          <t xml:space="preserve">mar/26</t>
        </is>
      </c>
      <c r="S184" s="30">
        <v>11.1075</v>
      </c>
      <c r="T184" s="27" t="inlineStr">
        <is>
          <t xml:space="preserve">mar/26</t>
        </is>
      </c>
      <c r="U184" s="30">
        <v>4.2875</v>
      </c>
      <c r="V184" s="27" t="inlineStr">
        <is>
          <t xml:space="preserve">mar/26</t>
        </is>
      </c>
      <c r="W184" s="29">
        <v>297.8</v>
      </c>
      <c r="X184" s="27" t="inlineStr">
        <is>
          <t xml:space="preserve">mar/26</t>
        </is>
      </c>
      <c r="Y184" s="30">
        <v>0.5669</v>
      </c>
      <c r="Z184" s="27" t="inlineStr">
        <is>
          <t xml:space="preserve">mar/26</t>
        </is>
      </c>
      <c r="AA184" s="29">
        <v>351.32</v>
      </c>
      <c r="AB184" s="29">
        <v>100.1</v>
      </c>
      <c r="AC184" s="29">
        <v>336.54</v>
      </c>
      <c r="AD184" s="29">
        <v>317.88</v>
      </c>
      <c r="AE184" s="29">
        <v>319.18</v>
      </c>
      <c r="AF184" s="29">
        <v>310.34</v>
      </c>
      <c r="AG184" s="29">
        <v>317.98</v>
      </c>
      <c r="AH184" s="29">
        <v>308.78</v>
      </c>
      <c r="AI184" s="29">
        <v>310.81</v>
      </c>
      <c r="AJ184" s="29">
        <v>295.91</v>
      </c>
      <c r="AK184" s="29">
        <v>303.64</v>
      </c>
      <c r="AL184" s="29">
        <v>6.78</v>
      </c>
      <c r="AM184" s="29">
        <v>6.71</v>
      </c>
      <c r="AN184" s="29">
        <v>6.84</v>
      </c>
      <c r="AO184" s="29">
        <v>6.61</v>
      </c>
      <c r="AP184" s="29">
        <v>7.03</v>
      </c>
      <c r="AQ184" s="29">
        <v>149.2</v>
      </c>
      <c r="AR184" s="29">
        <v>168.64</v>
      </c>
      <c r="BH184" s="29">
        <v>1066.05</v>
      </c>
      <c r="BI184" s="29">
        <v>54.44</v>
      </c>
      <c r="BK184" s="29">
        <v>305.11</v>
      </c>
      <c r="BL184" s="29">
        <v>301.13</v>
      </c>
      <c r="BM184" s="29">
        <v>294.96</v>
      </c>
      <c r="BO184" s="29">
        <v>188.97</v>
      </c>
      <c r="BP184" s="29">
        <v>200.67</v>
      </c>
      <c r="BQ184" s="29">
        <v>182.82</v>
      </c>
      <c r="BR184" s="29">
        <v>166.11</v>
      </c>
      <c r="BX184" s="29">
        <v>46.0</v>
      </c>
      <c r="BY184" s="29">
        <v>52.0</v>
      </c>
      <c r="BZ184" s="29">
        <v>42.67</v>
      </c>
      <c r="CA184" s="29">
        <v>44.0</v>
      </c>
      <c r="CD184" s="29">
        <v>36.25</v>
      </c>
      <c r="CE184" s="29">
        <v>41.13</v>
      </c>
      <c r="CI184" s="29">
        <v>4102.0</v>
      </c>
      <c r="CJ184" s="27" t="inlineStr">
        <is>
          <t xml:space="preserve">mar/26</t>
        </is>
      </c>
    </row>
    <row r="185">
      <c r="A185" s="28">
        <v>46063</v>
      </c>
      <c r="B185" s="29">
        <v>1168.75</v>
      </c>
      <c r="C185" s="29">
        <v>3137.12</v>
      </c>
      <c r="D185" s="29">
        <v>7.07</v>
      </c>
      <c r="E185" s="29">
        <v>6.97</v>
      </c>
      <c r="F185" s="29">
        <v>1861.64</v>
      </c>
      <c r="G185" s="29">
        <v>1069.05</v>
      </c>
      <c r="H185" s="29">
        <v>380.45</v>
      </c>
      <c r="I185" s="27" t="inlineStr">
        <is>
          <t xml:space="preserve">mar/26</t>
        </is>
      </c>
      <c r="J185" s="29">
        <v>185929.33</v>
      </c>
      <c r="K185" s="30">
        <v>5211.5</v>
      </c>
      <c r="L185" s="27" t="inlineStr">
        <is>
          <t xml:space="preserve">mar/26</t>
        </is>
      </c>
      <c r="M185" s="29">
        <v>344.8</v>
      </c>
      <c r="N185" s="27" t="inlineStr">
        <is>
          <t xml:space="preserve">mar/26</t>
        </is>
      </c>
      <c r="O185" s="29">
        <v>69.9</v>
      </c>
      <c r="P185" s="27" t="inlineStr">
        <is>
          <t xml:space="preserve">mar/26</t>
        </is>
      </c>
      <c r="S185" s="30">
        <v>11.225</v>
      </c>
      <c r="T185" s="27" t="inlineStr">
        <is>
          <t xml:space="preserve">mar/26</t>
        </is>
      </c>
      <c r="U185" s="30">
        <v>4.2875</v>
      </c>
      <c r="V185" s="27" t="inlineStr">
        <is>
          <t xml:space="preserve">mar/26</t>
        </is>
      </c>
      <c r="W185" s="29">
        <v>300.8</v>
      </c>
      <c r="X185" s="27" t="inlineStr">
        <is>
          <t xml:space="preserve">mar/26</t>
        </is>
      </c>
      <c r="Y185" s="30">
        <v>0.5727</v>
      </c>
      <c r="Z185" s="27" t="inlineStr">
        <is>
          <t xml:space="preserve">mar/26</t>
        </is>
      </c>
      <c r="AA185" s="29">
        <v>353.51</v>
      </c>
      <c r="AB185" s="29">
        <v>101.65</v>
      </c>
      <c r="AL185" s="29">
        <v>6.79</v>
      </c>
      <c r="AM185" s="29">
        <v>6.67</v>
      </c>
      <c r="AN185" s="29">
        <v>6.81</v>
      </c>
      <c r="AO185" s="29">
        <v>6.61</v>
      </c>
      <c r="AP185" s="29">
        <v>7.13</v>
      </c>
      <c r="AQ185" s="29">
        <v>149.2</v>
      </c>
      <c r="AR185" s="29">
        <v>168.22</v>
      </c>
      <c r="BH185" s="29">
        <v>1066.05</v>
      </c>
      <c r="BI185" s="29">
        <v>54.58</v>
      </c>
      <c r="BK185" s="29">
        <v>310.99</v>
      </c>
      <c r="BL185" s="29">
        <v>304.27</v>
      </c>
      <c r="BM185" s="29">
        <v>294.67</v>
      </c>
      <c r="BO185" s="29">
        <v>191.9</v>
      </c>
      <c r="BP185" s="29">
        <v>197.81</v>
      </c>
      <c r="BQ185" s="29">
        <v>184.92</v>
      </c>
      <c r="BR185" s="29">
        <v>164.38</v>
      </c>
      <c r="BX185" s="29">
        <v>46.0</v>
      </c>
      <c r="BY185" s="29">
        <v>52.0</v>
      </c>
      <c r="BZ185" s="29">
        <v>42.67</v>
      </c>
      <c r="CA185" s="29">
        <v>44.0</v>
      </c>
      <c r="CD185" s="29">
        <v>35.97</v>
      </c>
      <c r="CE185" s="29">
        <v>40.25</v>
      </c>
      <c r="CI185" s="29">
        <v>3805.0</v>
      </c>
      <c r="CJ185" s="27" t="inlineStr">
        <is>
          <t xml:space="preserve">mar/26</t>
        </is>
      </c>
    </row>
    <row r="186">
      <c r="A186" s="28">
        <v>46064</v>
      </c>
      <c r="B186" s="29">
        <v>1166.91</v>
      </c>
      <c r="C186" s="29">
        <v>3159.72</v>
      </c>
      <c r="D186" s="29">
        <v>7.26</v>
      </c>
      <c r="E186" s="29">
        <v>6.96</v>
      </c>
      <c r="F186" s="29">
        <v>1863.8</v>
      </c>
      <c r="G186" s="29">
        <v>1058.11</v>
      </c>
      <c r="H186" s="29">
        <v>387.5</v>
      </c>
      <c r="I186" s="27" t="inlineStr">
        <is>
          <t xml:space="preserve">mar/26</t>
        </is>
      </c>
      <c r="J186" s="29">
        <v>189699.12</v>
      </c>
      <c r="K186" s="30">
        <v>5198.5</v>
      </c>
      <c r="L186" s="27" t="inlineStr">
        <is>
          <t xml:space="preserve">mar/26</t>
        </is>
      </c>
      <c r="M186" s="29">
        <v>347.0</v>
      </c>
      <c r="N186" s="27" t="inlineStr">
        <is>
          <t xml:space="preserve">mar/26</t>
        </is>
      </c>
      <c r="O186" s="29">
        <v>69.97</v>
      </c>
      <c r="P186" s="27" t="inlineStr">
        <is>
          <t xml:space="preserve">mar/26</t>
        </is>
      </c>
      <c r="S186" s="30">
        <v>11.24</v>
      </c>
      <c r="T186" s="27" t="inlineStr">
        <is>
          <t xml:space="preserve">mar/26</t>
        </is>
      </c>
      <c r="U186" s="30">
        <v>4.275</v>
      </c>
      <c r="V186" s="27" t="inlineStr">
        <is>
          <t xml:space="preserve">mar/26</t>
        </is>
      </c>
      <c r="W186" s="29">
        <v>303.0</v>
      </c>
      <c r="X186" s="27" t="inlineStr">
        <is>
          <t xml:space="preserve">mar/26</t>
        </is>
      </c>
      <c r="Y186" s="30">
        <v>0.5705</v>
      </c>
      <c r="Z186" s="27" t="inlineStr">
        <is>
          <t xml:space="preserve">mar/26</t>
        </is>
      </c>
      <c r="AA186" s="29">
        <v>351.89</v>
      </c>
      <c r="AB186" s="29">
        <v>99.67</v>
      </c>
      <c r="AC186" s="29">
        <v>341.75</v>
      </c>
      <c r="AD186" s="29">
        <v>322.97</v>
      </c>
      <c r="AE186" s="29">
        <v>320.89</v>
      </c>
      <c r="AF186" s="29">
        <v>310.69</v>
      </c>
      <c r="AG186" s="29">
        <v>320.62</v>
      </c>
      <c r="AH186" s="29">
        <v>310.4</v>
      </c>
      <c r="AI186" s="29">
        <v>319.44</v>
      </c>
      <c r="AJ186" s="29">
        <v>297.7</v>
      </c>
      <c r="AK186" s="29">
        <v>304.59</v>
      </c>
      <c r="AL186" s="29">
        <v>6.78</v>
      </c>
      <c r="AM186" s="29">
        <v>6.66</v>
      </c>
      <c r="AN186" s="29">
        <v>6.81</v>
      </c>
      <c r="AO186" s="29">
        <v>6.59</v>
      </c>
      <c r="AP186" s="29">
        <v>7.29</v>
      </c>
      <c r="AQ186" s="29">
        <v>149.2</v>
      </c>
      <c r="AR186" s="29">
        <v>168.22</v>
      </c>
      <c r="BH186" s="29">
        <v>1066.54</v>
      </c>
      <c r="BI186" s="29">
        <v>54.3</v>
      </c>
      <c r="BK186" s="29">
        <v>314.76</v>
      </c>
      <c r="BL186" s="29">
        <v>307.51</v>
      </c>
      <c r="BM186" s="29">
        <v>294.19</v>
      </c>
      <c r="BO186" s="29">
        <v>194.09</v>
      </c>
      <c r="BP186" s="29">
        <v>200.5</v>
      </c>
      <c r="BQ186" s="29">
        <v>184.55</v>
      </c>
      <c r="BR186" s="29">
        <v>166.67</v>
      </c>
      <c r="BX186" s="29">
        <v>46.0</v>
      </c>
      <c r="BY186" s="29">
        <v>52.0</v>
      </c>
      <c r="BZ186" s="29">
        <v>42.67</v>
      </c>
      <c r="CA186" s="29">
        <v>44.0</v>
      </c>
      <c r="CD186" s="29">
        <v>35.69</v>
      </c>
      <c r="CE186" s="29">
        <v>40.67</v>
      </c>
      <c r="CI186" s="29">
        <v>3762.0</v>
      </c>
      <c r="CJ186" s="27" t="inlineStr">
        <is>
          <t xml:space="preserve">mar/26</t>
        </is>
      </c>
    </row>
    <row r="187">
      <c r="A187" s="28">
        <v>46065</v>
      </c>
      <c r="B187" s="29">
        <v>1166.23</v>
      </c>
      <c r="C187" s="29">
        <v>3159.04</v>
      </c>
      <c r="D187" s="29">
        <v>7.26</v>
      </c>
      <c r="E187" s="29">
        <v>6.96</v>
      </c>
      <c r="F187" s="29">
        <v>1891.03</v>
      </c>
      <c r="G187" s="29">
        <v>1067.94</v>
      </c>
      <c r="H187" s="29">
        <v>389.1</v>
      </c>
      <c r="I187" s="27" t="inlineStr">
        <is>
          <t xml:space="preserve">mar/26</t>
        </is>
      </c>
      <c r="J187" s="29">
        <v>187766.42</v>
      </c>
      <c r="K187" s="30">
        <v>5228.5</v>
      </c>
      <c r="L187" s="27" t="inlineStr">
        <is>
          <t xml:space="preserve">mar/26</t>
        </is>
      </c>
      <c r="M187" s="29">
        <v>347.5</v>
      </c>
      <c r="N187" s="27" t="inlineStr">
        <is>
          <t xml:space="preserve">mar/26</t>
        </is>
      </c>
      <c r="O187" s="29">
        <v>70.75</v>
      </c>
      <c r="P187" s="27" t="inlineStr">
        <is>
          <t xml:space="preserve">mar/26</t>
        </is>
      </c>
      <c r="S187" s="30">
        <v>11.3725</v>
      </c>
      <c r="T187" s="27" t="inlineStr">
        <is>
          <t xml:space="preserve">mar/26</t>
        </is>
      </c>
      <c r="U187" s="30">
        <v>4.3125</v>
      </c>
      <c r="V187" s="27" t="inlineStr">
        <is>
          <t xml:space="preserve">mar/26</t>
        </is>
      </c>
      <c r="W187" s="29">
        <v>307.9</v>
      </c>
      <c r="X187" s="27" t="inlineStr">
        <is>
          <t xml:space="preserve">mar/26</t>
        </is>
      </c>
      <c r="Y187" s="30">
        <v>0.5754</v>
      </c>
      <c r="Z187" s="27" t="inlineStr">
        <is>
          <t xml:space="preserve">mar/26</t>
        </is>
      </c>
      <c r="AA187" s="29">
        <v>353.45</v>
      </c>
      <c r="AB187" s="29">
        <v>98.53</v>
      </c>
      <c r="AL187" s="29">
        <v>6.78</v>
      </c>
      <c r="AM187" s="29">
        <v>6.67</v>
      </c>
      <c r="AN187" s="29">
        <v>6.81</v>
      </c>
      <c r="AO187" s="29">
        <v>6.63</v>
      </c>
      <c r="AP187" s="29">
        <v>7.29</v>
      </c>
      <c r="AQ187" s="29">
        <v>149.35</v>
      </c>
      <c r="AR187" s="29">
        <v>167.53</v>
      </c>
      <c r="BH187" s="29">
        <v>1066.54</v>
      </c>
      <c r="BI187" s="29">
        <v>54.52</v>
      </c>
      <c r="BK187" s="29">
        <v>315.51</v>
      </c>
      <c r="BL187" s="29">
        <v>306.93</v>
      </c>
      <c r="BM187" s="29">
        <v>313.33</v>
      </c>
      <c r="BO187" s="29">
        <v>191.06</v>
      </c>
      <c r="BP187" s="29">
        <v>200.5</v>
      </c>
      <c r="BQ187" s="29">
        <v>183.98</v>
      </c>
      <c r="BR187" s="29">
        <v>175.0</v>
      </c>
      <c r="BX187" s="29">
        <v>46.0</v>
      </c>
      <c r="BY187" s="29">
        <v>52.0</v>
      </c>
      <c r="BZ187" s="29">
        <v>42.67</v>
      </c>
      <c r="CA187" s="29">
        <v>44.0</v>
      </c>
      <c r="CD187" s="29">
        <v>35.66</v>
      </c>
      <c r="CE187" s="29">
        <v>40.48</v>
      </c>
      <c r="CI187" s="29">
        <v>3632.0</v>
      </c>
      <c r="CJ187" s="27" t="inlineStr">
        <is>
          <t xml:space="preserve">mar/26</t>
        </is>
      </c>
    </row>
    <row r="188">
      <c r="A188" s="28">
        <v>46066</v>
      </c>
      <c r="B188" s="29">
        <v>1165.57</v>
      </c>
      <c r="C188" s="29">
        <v>3157.23</v>
      </c>
      <c r="D188" s="29">
        <v>7.31</v>
      </c>
      <c r="E188" s="29">
        <v>6.92</v>
      </c>
      <c r="F188" s="29">
        <v>1901.38</v>
      </c>
      <c r="G188" s="29">
        <v>1092.1</v>
      </c>
      <c r="H188" s="29">
        <v>382.25</v>
      </c>
      <c r="I188" s="27" t="inlineStr">
        <is>
          <t xml:space="preserve">mar/26</t>
        </is>
      </c>
      <c r="J188" s="29">
        <v>186464.3</v>
      </c>
      <c r="K188" s="30">
        <v>5231.0</v>
      </c>
      <c r="L188" s="27" t="inlineStr">
        <is>
          <t xml:space="preserve">mar/26</t>
        </is>
      </c>
      <c r="M188" s="29">
        <v>347.0</v>
      </c>
      <c r="N188" s="27" t="inlineStr">
        <is>
          <t xml:space="preserve">mar/26</t>
        </is>
      </c>
      <c r="O188" s="29">
        <v>71.11</v>
      </c>
      <c r="P188" s="27" t="inlineStr">
        <is>
          <t xml:space="preserve">mar/26</t>
        </is>
      </c>
      <c r="S188" s="30">
        <v>11.33</v>
      </c>
      <c r="T188" s="27" t="inlineStr">
        <is>
          <t xml:space="preserve">mar/26</t>
        </is>
      </c>
      <c r="U188" s="30">
        <v>4.3175</v>
      </c>
      <c r="V188" s="27" t="inlineStr">
        <is>
          <t xml:space="preserve">mar/26</t>
        </is>
      </c>
      <c r="W188" s="29">
        <v>309.2</v>
      </c>
      <c r="X188" s="27" t="inlineStr">
        <is>
          <t xml:space="preserve">mar/26</t>
        </is>
      </c>
      <c r="Y188" s="30">
        <v>0.5708</v>
      </c>
      <c r="Z188" s="27" t="inlineStr">
        <is>
          <t xml:space="preserve">mar/26</t>
        </is>
      </c>
      <c r="AA188" s="29">
        <v>351.15</v>
      </c>
      <c r="AB188" s="29">
        <v>99.51</v>
      </c>
      <c r="AC188" s="29">
        <v>343.03</v>
      </c>
      <c r="AD188" s="29">
        <v>324.0</v>
      </c>
      <c r="AE188" s="29">
        <v>322.71</v>
      </c>
      <c r="AF188" s="29">
        <v>314.34</v>
      </c>
      <c r="AG188" s="29">
        <v>322.8</v>
      </c>
      <c r="AH188" s="29">
        <v>309.67</v>
      </c>
      <c r="AI188" s="29">
        <v>324.26</v>
      </c>
      <c r="AJ188" s="29">
        <v>299.34</v>
      </c>
      <c r="AK188" s="29">
        <v>306.47</v>
      </c>
      <c r="AL188" s="29">
        <v>6.76</v>
      </c>
      <c r="AM188" s="29">
        <v>6.65</v>
      </c>
      <c r="AN188" s="29">
        <v>6.8</v>
      </c>
      <c r="AO188" s="29">
        <v>6.59</v>
      </c>
      <c r="AP188" s="29">
        <v>7.33</v>
      </c>
      <c r="AQ188" s="29">
        <v>149.47</v>
      </c>
      <c r="AR188" s="29">
        <v>168.74</v>
      </c>
      <c r="BC188" s="29">
        <v>9.62</v>
      </c>
      <c r="BD188" s="29">
        <v>9.62</v>
      </c>
      <c r="BE188" s="29">
        <v>10.24</v>
      </c>
      <c r="BF188" s="29">
        <v>8.74</v>
      </c>
      <c r="BG188" s="29">
        <v>9.82</v>
      </c>
      <c r="BH188" s="29">
        <v>1066.54</v>
      </c>
      <c r="BI188" s="29">
        <v>54.59</v>
      </c>
      <c r="BK188" s="29">
        <v>317.23</v>
      </c>
      <c r="BL188" s="29">
        <v>305.17</v>
      </c>
      <c r="BM188" s="29">
        <v>315.45</v>
      </c>
      <c r="BO188" s="29">
        <v>190.4</v>
      </c>
      <c r="BP188" s="29">
        <v>200.5</v>
      </c>
      <c r="BQ188" s="29">
        <v>184.15</v>
      </c>
      <c r="BR188" s="29">
        <v>175.0</v>
      </c>
      <c r="BS188" s="30">
        <v>3.0203</v>
      </c>
      <c r="BT188" s="30">
        <v>3.412</v>
      </c>
      <c r="BU188" s="29">
        <v>470.86</v>
      </c>
      <c r="BV188" s="29">
        <v>437.88</v>
      </c>
      <c r="BW188" s="29">
        <v>473.98</v>
      </c>
      <c r="BX188" s="29">
        <v>46.0</v>
      </c>
      <c r="BY188" s="29">
        <v>52.0</v>
      </c>
      <c r="BZ188" s="29">
        <v>42.67</v>
      </c>
      <c r="CA188" s="29">
        <v>44.0</v>
      </c>
      <c r="CD188" s="29">
        <v>35.66</v>
      </c>
      <c r="CE188" s="29">
        <v>40.48</v>
      </c>
      <c r="CI188" s="29">
        <v>3581.0</v>
      </c>
      <c r="CJ188" s="27" t="inlineStr">
        <is>
          <t xml:space="preserve">mar/26</t>
        </is>
      </c>
    </row>
    <row r="189">
      <c r="A189" s="28">
        <v>46069</v>
      </c>
      <c r="H189" s="29">
        <v>384.0</v>
      </c>
      <c r="I189" s="27" t="inlineStr">
        <is>
          <t xml:space="preserve">mar/26</t>
        </is>
      </c>
      <c r="M189" s="29">
        <v>347.0</v>
      </c>
      <c r="N189" s="27" t="inlineStr">
        <is>
          <t xml:space="preserve">mar/26</t>
        </is>
      </c>
      <c r="O189" s="29">
        <v>71.02</v>
      </c>
      <c r="P189" s="27" t="inlineStr">
        <is>
          <t xml:space="preserve">mar/26</t>
        </is>
      </c>
    </row>
    <row r="190">
      <c r="A190" s="28">
        <v>46070</v>
      </c>
      <c r="H190" s="29">
        <v>384.0</v>
      </c>
      <c r="I190" s="27" t="inlineStr">
        <is>
          <t xml:space="preserve">mar/26</t>
        </is>
      </c>
      <c r="M190" s="29">
        <v>347.0</v>
      </c>
      <c r="N190" s="27" t="inlineStr">
        <is>
          <t xml:space="preserve">mar/26</t>
        </is>
      </c>
      <c r="O190" s="29">
        <v>71.02</v>
      </c>
      <c r="P190" s="27" t="inlineStr">
        <is>
          <t xml:space="preserve">mar/26</t>
        </is>
      </c>
      <c r="S190" s="30">
        <v>11.34</v>
      </c>
      <c r="T190" s="27" t="inlineStr">
        <is>
          <t xml:space="preserve">mar/26</t>
        </is>
      </c>
      <c r="U190" s="30">
        <v>4.2625</v>
      </c>
      <c r="V190" s="27" t="inlineStr">
        <is>
          <t xml:space="preserve">mar/26</t>
        </is>
      </c>
      <c r="W190" s="29">
        <v>305.8</v>
      </c>
      <c r="X190" s="27" t="inlineStr">
        <is>
          <t xml:space="preserve">mar/26</t>
        </is>
      </c>
      <c r="Y190" s="30">
        <v>0.5729</v>
      </c>
      <c r="Z190" s="27" t="inlineStr">
        <is>
          <t xml:space="preserve">mar/26</t>
        </is>
      </c>
      <c r="CI190" s="29">
        <v>3384.0</v>
      </c>
      <c r="CJ190" s="27" t="inlineStr">
        <is>
          <t xml:space="preserve">mar/26</t>
        </is>
      </c>
    </row>
    <row r="191">
      <c r="A191" s="28">
        <v>46071</v>
      </c>
      <c r="B191" s="29">
        <v>1165.62</v>
      </c>
      <c r="C191" s="29">
        <v>3145.84</v>
      </c>
      <c r="D191" s="29">
        <v>7.31</v>
      </c>
      <c r="E191" s="29">
        <v>6.87</v>
      </c>
      <c r="F191" s="29">
        <v>1862.4</v>
      </c>
      <c r="G191" s="29">
        <v>1056.49</v>
      </c>
      <c r="H191" s="29">
        <v>374.95</v>
      </c>
      <c r="I191" s="27" t="inlineStr">
        <is>
          <t xml:space="preserve">mar/26</t>
        </is>
      </c>
      <c r="J191" s="29">
        <v>186016.31</v>
      </c>
      <c r="K191" s="30">
        <v>5249.0</v>
      </c>
      <c r="L191" s="27" t="inlineStr">
        <is>
          <t xml:space="preserve">mar/26</t>
        </is>
      </c>
      <c r="M191" s="29">
        <v>349.75</v>
      </c>
      <c r="N191" s="27" t="inlineStr">
        <is>
          <t xml:space="preserve">mar/26</t>
        </is>
      </c>
      <c r="O191" s="29">
        <v>70.95</v>
      </c>
      <c r="P191" s="27" t="inlineStr">
        <is>
          <t xml:space="preserve">mar/26</t>
        </is>
      </c>
      <c r="S191" s="30">
        <v>11.335</v>
      </c>
      <c r="T191" s="27" t="inlineStr">
        <is>
          <t xml:space="preserve">mar/26</t>
        </is>
      </c>
      <c r="U191" s="30">
        <v>4.27</v>
      </c>
      <c r="V191" s="27" t="inlineStr">
        <is>
          <t xml:space="preserve">mar/26</t>
        </is>
      </c>
      <c r="W191" s="29">
        <v>303.9</v>
      </c>
      <c r="X191" s="27" t="inlineStr">
        <is>
          <t xml:space="preserve">mar/26</t>
        </is>
      </c>
      <c r="Y191" s="30">
        <v>0.5859</v>
      </c>
      <c r="Z191" s="27" t="inlineStr">
        <is>
          <t xml:space="preserve">mar/26</t>
        </is>
      </c>
      <c r="AA191" s="29">
        <v>353.45</v>
      </c>
      <c r="AB191" s="29">
        <v>99.25</v>
      </c>
      <c r="AC191" s="29">
        <v>343.6</v>
      </c>
      <c r="AD191" s="29">
        <v>324.98</v>
      </c>
      <c r="AE191" s="29">
        <v>322.19</v>
      </c>
      <c r="AF191" s="29">
        <v>315.6</v>
      </c>
      <c r="AG191" s="29">
        <v>323.23</v>
      </c>
      <c r="AH191" s="29">
        <v>311.27</v>
      </c>
      <c r="AI191" s="29">
        <v>324.79</v>
      </c>
      <c r="AJ191" s="29">
        <v>299.86</v>
      </c>
      <c r="AK191" s="29">
        <v>309.66</v>
      </c>
      <c r="AL191" s="29">
        <v>6.76</v>
      </c>
      <c r="AM191" s="29">
        <v>6.64</v>
      </c>
      <c r="AN191" s="29">
        <v>6.74</v>
      </c>
      <c r="AO191" s="29">
        <v>6.58</v>
      </c>
      <c r="AP191" s="29">
        <v>7.33</v>
      </c>
      <c r="AQ191" s="29">
        <v>149.47</v>
      </c>
      <c r="AR191" s="29">
        <v>168.74</v>
      </c>
      <c r="BH191" s="29">
        <v>1066.13</v>
      </c>
      <c r="BI191" s="29">
        <v>54.89</v>
      </c>
      <c r="BK191" s="29">
        <v>318.89</v>
      </c>
      <c r="BL191" s="29">
        <v>311.16</v>
      </c>
      <c r="BM191" s="29">
        <v>315.91</v>
      </c>
      <c r="BO191" s="29">
        <v>190.87</v>
      </c>
      <c r="BP191" s="29">
        <v>200.5</v>
      </c>
      <c r="BQ191" s="29">
        <v>186.07</v>
      </c>
      <c r="BR191" s="29">
        <v>175.0</v>
      </c>
      <c r="BX191" s="29">
        <v>46.0</v>
      </c>
      <c r="BY191" s="29">
        <v>52.0</v>
      </c>
      <c r="BZ191" s="29">
        <v>42.67</v>
      </c>
      <c r="CA191" s="29">
        <v>44.0</v>
      </c>
      <c r="CD191" s="29">
        <v>32.5</v>
      </c>
      <c r="CE191" s="29">
        <v>41.14</v>
      </c>
      <c r="CI191" s="29">
        <v>3226.0</v>
      </c>
      <c r="CJ191" s="27" t="inlineStr">
        <is>
          <t xml:space="preserve">mar/26</t>
        </is>
      </c>
    </row>
    <row r="192">
      <c r="A192" s="28">
        <v>46072</v>
      </c>
      <c r="B192" s="29">
        <v>1161.04</v>
      </c>
      <c r="C192" s="29">
        <v>3180.64</v>
      </c>
      <c r="D192" s="29">
        <v>7.3</v>
      </c>
      <c r="E192" s="29">
        <v>6.84</v>
      </c>
      <c r="F192" s="29">
        <v>1818.91</v>
      </c>
      <c r="G192" s="29">
        <v>1027.75</v>
      </c>
      <c r="H192" s="29">
        <v>378.1</v>
      </c>
      <c r="I192" s="27" t="inlineStr">
        <is>
          <t xml:space="preserve">mar/26</t>
        </is>
      </c>
      <c r="J192" s="29">
        <v>188534.42</v>
      </c>
      <c r="K192" s="30">
        <v>5224.0</v>
      </c>
      <c r="L192" s="27" t="inlineStr">
        <is>
          <t xml:space="preserve">mar/26</t>
        </is>
      </c>
      <c r="M192" s="29">
        <v>349.8</v>
      </c>
      <c r="N192" s="27" t="inlineStr">
        <is>
          <t xml:space="preserve">mar/26</t>
        </is>
      </c>
      <c r="O192" s="29">
        <v>71.29</v>
      </c>
      <c r="P192" s="27" t="inlineStr">
        <is>
          <t xml:space="preserve">mar/26</t>
        </is>
      </c>
      <c r="S192" s="30">
        <v>11.41</v>
      </c>
      <c r="T192" s="27" t="inlineStr">
        <is>
          <t xml:space="preserve">mar/26</t>
        </is>
      </c>
      <c r="U192" s="30">
        <v>4.2575</v>
      </c>
      <c r="V192" s="27" t="inlineStr">
        <is>
          <t xml:space="preserve">mar/26</t>
        </is>
      </c>
      <c r="W192" s="29">
        <v>304.8</v>
      </c>
      <c r="X192" s="27" t="inlineStr">
        <is>
          <t xml:space="preserve">mar/26</t>
        </is>
      </c>
      <c r="Y192" s="30">
        <v>0.5968</v>
      </c>
      <c r="Z192" s="27" t="inlineStr">
        <is>
          <t xml:space="preserve">mar/26</t>
        </is>
      </c>
      <c r="AA192" s="29">
        <v>352.25</v>
      </c>
      <c r="AB192" s="29">
        <v>101.9</v>
      </c>
      <c r="AC192" s="29">
        <v>344.56</v>
      </c>
      <c r="AD192" s="29">
        <v>325.66</v>
      </c>
      <c r="AE192" s="29">
        <v>325.22</v>
      </c>
      <c r="AF192" s="29">
        <v>316.42</v>
      </c>
      <c r="AG192" s="29">
        <v>325.8</v>
      </c>
      <c r="AH192" s="29">
        <v>311.46</v>
      </c>
      <c r="AI192" s="29">
        <v>325.72</v>
      </c>
      <c r="AJ192" s="29">
        <v>301.47</v>
      </c>
      <c r="AK192" s="29">
        <v>309.58</v>
      </c>
      <c r="AL192" s="29">
        <v>6.76</v>
      </c>
      <c r="AM192" s="29">
        <v>6.64</v>
      </c>
      <c r="AN192" s="29">
        <v>6.74</v>
      </c>
      <c r="AO192" s="29">
        <v>6.59</v>
      </c>
      <c r="AP192" s="29">
        <v>7.32</v>
      </c>
      <c r="AQ192" s="29">
        <v>149.21</v>
      </c>
      <c r="AR192" s="29">
        <v>167.62</v>
      </c>
      <c r="BH192" s="29">
        <v>1069.52</v>
      </c>
      <c r="BI192" s="29">
        <v>55.26</v>
      </c>
      <c r="BK192" s="29">
        <v>329.82</v>
      </c>
      <c r="BL192" s="29">
        <v>310.82</v>
      </c>
      <c r="BM192" s="29">
        <v>325.33</v>
      </c>
      <c r="BO192" s="29">
        <v>194.62</v>
      </c>
      <c r="BP192" s="29">
        <v>204.17</v>
      </c>
      <c r="BQ192" s="29">
        <v>187.16</v>
      </c>
      <c r="BR192" s="29">
        <v>175.83</v>
      </c>
      <c r="BX192" s="29">
        <v>46.0</v>
      </c>
      <c r="BY192" s="29">
        <v>52.0</v>
      </c>
      <c r="BZ192" s="29">
        <v>42.33</v>
      </c>
      <c r="CA192" s="29">
        <v>44.0</v>
      </c>
      <c r="CD192" s="29">
        <v>31.43</v>
      </c>
      <c r="CE192" s="29">
        <v>42.0</v>
      </c>
      <c r="CI192" s="29">
        <v>2968.0</v>
      </c>
      <c r="CJ192" s="27" t="inlineStr">
        <is>
          <t xml:space="preserve">mar/26</t>
        </is>
      </c>
    </row>
    <row r="193">
      <c r="A193" s="28">
        <v>46073</v>
      </c>
      <c r="B193" s="29">
        <v>1161.05</v>
      </c>
      <c r="C193" s="29">
        <v>3186.09</v>
      </c>
      <c r="D193" s="29">
        <v>7.29</v>
      </c>
      <c r="E193" s="29">
        <v>6.87</v>
      </c>
      <c r="F193" s="29">
        <v>1806.48</v>
      </c>
      <c r="G193" s="29">
        <v>1042.95</v>
      </c>
      <c r="H193" s="29">
        <v>372.0</v>
      </c>
      <c r="I193" s="27" t="inlineStr">
        <is>
          <t xml:space="preserve">mar/26</t>
        </is>
      </c>
      <c r="J193" s="29">
        <v>190534.42</v>
      </c>
      <c r="K193" s="30">
        <v>5185.0</v>
      </c>
      <c r="L193" s="27" t="inlineStr">
        <is>
          <t xml:space="preserve">mar/26</t>
        </is>
      </c>
      <c r="M193" s="29">
        <v>354.4</v>
      </c>
      <c r="N193" s="27" t="inlineStr">
        <is>
          <t xml:space="preserve">mar/26</t>
        </is>
      </c>
      <c r="O193" s="29">
        <v>72.0</v>
      </c>
      <c r="P193" s="27" t="inlineStr">
        <is>
          <t xml:space="preserve">mar/26</t>
        </is>
      </c>
      <c r="S193" s="30">
        <v>11.375</v>
      </c>
      <c r="T193" s="27" t="inlineStr">
        <is>
          <t xml:space="preserve">mar/26</t>
        </is>
      </c>
      <c r="U193" s="30">
        <v>4.275</v>
      </c>
      <c r="V193" s="27" t="inlineStr">
        <is>
          <t xml:space="preserve">mar/26</t>
        </is>
      </c>
      <c r="W193" s="29">
        <v>309.8</v>
      </c>
      <c r="X193" s="27" t="inlineStr">
        <is>
          <t xml:space="preserve">mar/26</t>
        </is>
      </c>
      <c r="Y193" s="30">
        <v>0.5892</v>
      </c>
      <c r="Z193" s="27" t="inlineStr">
        <is>
          <t xml:space="preserve">mar/26</t>
        </is>
      </c>
      <c r="AA193" s="29">
        <v>350.96</v>
      </c>
      <c r="AB193" s="29">
        <v>100.45</v>
      </c>
      <c r="AC193" s="29">
        <v>347.87</v>
      </c>
      <c r="AD193" s="29">
        <v>327.0</v>
      </c>
      <c r="AE193" s="29">
        <v>327.58</v>
      </c>
      <c r="AF193" s="29">
        <v>317.81</v>
      </c>
      <c r="AG193" s="29">
        <v>326.25</v>
      </c>
      <c r="AH193" s="29">
        <v>311.19</v>
      </c>
      <c r="AI193" s="29">
        <v>329.15</v>
      </c>
      <c r="AJ193" s="29">
        <v>304.35</v>
      </c>
      <c r="AK193" s="29">
        <v>312.76</v>
      </c>
      <c r="AL193" s="29">
        <v>6.76</v>
      </c>
      <c r="AM193" s="29">
        <v>6.64</v>
      </c>
      <c r="AN193" s="29">
        <v>6.74</v>
      </c>
      <c r="AO193" s="29">
        <v>6.59</v>
      </c>
      <c r="AP193" s="29">
        <v>7.31</v>
      </c>
      <c r="AQ193" s="29">
        <v>149.18</v>
      </c>
      <c r="AR193" s="29">
        <v>167.73</v>
      </c>
      <c r="BC193" s="29">
        <v>9.63</v>
      </c>
      <c r="BD193" s="29">
        <v>9.64</v>
      </c>
      <c r="BE193" s="29">
        <v>10.24</v>
      </c>
      <c r="BF193" s="29">
        <v>8.74</v>
      </c>
      <c r="BG193" s="29">
        <v>9.89</v>
      </c>
      <c r="BH193" s="29">
        <v>1085.5</v>
      </c>
      <c r="BI193" s="29">
        <v>55.26</v>
      </c>
      <c r="BK193" s="29">
        <v>332.97</v>
      </c>
      <c r="BL193" s="29">
        <v>310.82</v>
      </c>
      <c r="BM193" s="29">
        <v>325.0</v>
      </c>
      <c r="BO193" s="29">
        <v>200.27</v>
      </c>
      <c r="BP193" s="29">
        <v>204.17</v>
      </c>
      <c r="BQ193" s="29">
        <v>188.0</v>
      </c>
      <c r="BR193" s="29">
        <v>175.83</v>
      </c>
      <c r="BS193" s="30">
        <v>2.9442</v>
      </c>
      <c r="BT193" s="30">
        <v>3.3544</v>
      </c>
      <c r="BU193" s="29">
        <v>474.63</v>
      </c>
      <c r="BV193" s="29">
        <v>433.6</v>
      </c>
      <c r="BW193" s="29">
        <v>476.93</v>
      </c>
      <c r="BX193" s="29">
        <v>46.0</v>
      </c>
      <c r="BY193" s="29">
        <v>52.0</v>
      </c>
      <c r="BZ193" s="29">
        <v>42.33</v>
      </c>
      <c r="CA193" s="29">
        <v>44.0</v>
      </c>
      <c r="CD193" s="29">
        <v>32.5</v>
      </c>
      <c r="CE193" s="29">
        <v>42.5</v>
      </c>
      <c r="CI193" s="29">
        <v>3080.0</v>
      </c>
      <c r="CJ193" s="27" t="inlineStr">
        <is>
          <t xml:space="preserve">mar/26</t>
        </is>
      </c>
    </row>
    <row r="194">
      <c r="A194" s="28">
        <v>46076</v>
      </c>
      <c r="B194" s="29">
        <v>1172.8</v>
      </c>
      <c r="C194" s="29">
        <v>3213.2</v>
      </c>
      <c r="D194" s="29">
        <v>7.26</v>
      </c>
      <c r="E194" s="29">
        <v>6.86</v>
      </c>
      <c r="F194" s="29">
        <v>1781.98</v>
      </c>
      <c r="G194" s="29">
        <v>1030.25</v>
      </c>
      <c r="H194" s="29">
        <v>369.95</v>
      </c>
      <c r="I194" s="27" t="inlineStr">
        <is>
          <t xml:space="preserve">mar/26</t>
        </is>
      </c>
      <c r="J194" s="29">
        <v>188853.49</v>
      </c>
      <c r="K194" s="30">
        <v>5179.5</v>
      </c>
      <c r="L194" s="27" t="inlineStr">
        <is>
          <t xml:space="preserve">mar/26</t>
        </is>
      </c>
      <c r="M194" s="29">
        <v>354.8</v>
      </c>
      <c r="N194" s="27" t="inlineStr">
        <is>
          <t xml:space="preserve">mar/26</t>
        </is>
      </c>
      <c r="O194" s="29">
        <v>71.32</v>
      </c>
      <c r="P194" s="27" t="inlineStr">
        <is>
          <t xml:space="preserve">mar/26</t>
        </is>
      </c>
      <c r="S194" s="30">
        <v>11.3425</v>
      </c>
      <c r="T194" s="27" t="inlineStr">
        <is>
          <t xml:space="preserve">mar/26</t>
        </is>
      </c>
      <c r="U194" s="30">
        <v>4.275</v>
      </c>
      <c r="V194" s="27" t="inlineStr">
        <is>
          <t xml:space="preserve">mar/26</t>
        </is>
      </c>
      <c r="W194" s="29">
        <v>308.7</v>
      </c>
      <c r="X194" s="27" t="inlineStr">
        <is>
          <t xml:space="preserve">mar/26</t>
        </is>
      </c>
      <c r="Y194" s="30">
        <v>0.5939</v>
      </c>
      <c r="Z194" s="27" t="inlineStr">
        <is>
          <t xml:space="preserve">mar/26</t>
        </is>
      </c>
      <c r="AA194" s="29">
        <v>349.59</v>
      </c>
      <c r="AB194" s="29">
        <v>99.09</v>
      </c>
      <c r="AC194" s="29">
        <v>348.1</v>
      </c>
      <c r="AD194" s="29">
        <v>327.09</v>
      </c>
      <c r="AE194" s="29">
        <v>328.61</v>
      </c>
      <c r="AF194" s="29">
        <v>317.66</v>
      </c>
      <c r="AG194" s="29">
        <v>326.02</v>
      </c>
      <c r="AH194" s="29">
        <v>311.0</v>
      </c>
      <c r="AI194" s="29">
        <v>331.87</v>
      </c>
      <c r="AJ194" s="29">
        <v>303.65</v>
      </c>
      <c r="AK194" s="29">
        <v>312.14</v>
      </c>
      <c r="AL194" s="29">
        <v>6.77</v>
      </c>
      <c r="AM194" s="29">
        <v>6.59</v>
      </c>
      <c r="AN194" s="29">
        <v>6.61</v>
      </c>
      <c r="AO194" s="29">
        <v>6.58</v>
      </c>
      <c r="AP194" s="29">
        <v>7.31</v>
      </c>
      <c r="AQ194" s="29">
        <v>149.18</v>
      </c>
      <c r="AR194" s="29">
        <v>167.73</v>
      </c>
      <c r="BH194" s="29">
        <v>1089.32</v>
      </c>
      <c r="BI194" s="29">
        <v>55.26</v>
      </c>
      <c r="BK194" s="29">
        <v>333.9</v>
      </c>
      <c r="BL194" s="29">
        <v>313.1</v>
      </c>
      <c r="BM194" s="29">
        <v>332.73</v>
      </c>
      <c r="BO194" s="29">
        <v>202.57</v>
      </c>
      <c r="BP194" s="29">
        <v>205.0</v>
      </c>
      <c r="BQ194" s="29">
        <v>189.17</v>
      </c>
      <c r="BR194" s="29">
        <v>175.83</v>
      </c>
      <c r="BX194" s="29">
        <v>46.0</v>
      </c>
      <c r="BY194" s="29">
        <v>52.0</v>
      </c>
      <c r="BZ194" s="29">
        <v>41.83</v>
      </c>
      <c r="CA194" s="29">
        <v>44.0</v>
      </c>
      <c r="CD194" s="29">
        <v>32.22</v>
      </c>
      <c r="CE194" s="29">
        <v>41.61</v>
      </c>
      <c r="CI194" s="29">
        <v>3004.0</v>
      </c>
      <c r="CJ194" s="27" t="inlineStr">
        <is>
          <t xml:space="preserve">mar/26</t>
        </is>
      </c>
    </row>
    <row r="195">
      <c r="A195" s="28">
        <v>46077</v>
      </c>
      <c r="B195" s="29">
        <v>1158.45</v>
      </c>
      <c r="C195" s="29">
        <v>3232.77</v>
      </c>
      <c r="D195" s="29">
        <v>7.26</v>
      </c>
      <c r="E195" s="29">
        <v>6.85</v>
      </c>
      <c r="F195" s="29">
        <v>1811.91</v>
      </c>
      <c r="G195" s="29">
        <v>1044.06</v>
      </c>
      <c r="H195" s="29">
        <v>367.05</v>
      </c>
      <c r="I195" s="27" t="inlineStr">
        <is>
          <t xml:space="preserve">mar/26</t>
        </is>
      </c>
      <c r="J195" s="29">
        <v>191490.4</v>
      </c>
      <c r="K195" s="30">
        <v>5162.5</v>
      </c>
      <c r="L195" s="27" t="inlineStr">
        <is>
          <t xml:space="preserve">mar/26</t>
        </is>
      </c>
      <c r="M195" s="29">
        <v>357.0</v>
      </c>
      <c r="N195" s="27" t="inlineStr">
        <is>
          <t xml:space="preserve">mar/26</t>
        </is>
      </c>
      <c r="O195" s="29">
        <v>70.7</v>
      </c>
      <c r="P195" s="27" t="inlineStr">
        <is>
          <t xml:space="preserve">mar/26</t>
        </is>
      </c>
      <c r="S195" s="30">
        <v>11.395</v>
      </c>
      <c r="T195" s="27" t="inlineStr">
        <is>
          <t xml:space="preserve">mar/26</t>
        </is>
      </c>
      <c r="U195" s="30">
        <v>4.2775</v>
      </c>
      <c r="V195" s="27" t="inlineStr">
        <is>
          <t xml:space="preserve">mar/26</t>
        </is>
      </c>
      <c r="W195" s="29">
        <v>310.7</v>
      </c>
      <c r="X195" s="27" t="inlineStr">
        <is>
          <t xml:space="preserve">mar/26</t>
        </is>
      </c>
      <c r="Y195" s="30">
        <v>0.6003</v>
      </c>
      <c r="Z195" s="27" t="inlineStr">
        <is>
          <t xml:space="preserve">mar/26</t>
        </is>
      </c>
      <c r="AA195" s="29">
        <v>349.51</v>
      </c>
      <c r="AB195" s="29">
        <v>99.11</v>
      </c>
      <c r="AC195" s="29">
        <v>348.57</v>
      </c>
      <c r="AD195" s="29">
        <v>328.65</v>
      </c>
      <c r="AE195" s="29">
        <v>329.18</v>
      </c>
      <c r="AF195" s="29">
        <v>319.07</v>
      </c>
      <c r="AG195" s="29">
        <v>327.71</v>
      </c>
      <c r="AH195" s="29">
        <v>318.19</v>
      </c>
      <c r="AI195" s="29">
        <v>331.28</v>
      </c>
      <c r="AJ195" s="29">
        <v>306.35</v>
      </c>
      <c r="AK195" s="29">
        <v>312.36</v>
      </c>
      <c r="AL195" s="29">
        <v>6.77</v>
      </c>
      <c r="AM195" s="29">
        <v>6.59</v>
      </c>
      <c r="AN195" s="29">
        <v>6.63</v>
      </c>
      <c r="AO195" s="29">
        <v>6.57</v>
      </c>
      <c r="AP195" s="29">
        <v>7.31</v>
      </c>
      <c r="AQ195" s="29">
        <v>149.18</v>
      </c>
      <c r="AR195" s="29">
        <v>167.73</v>
      </c>
      <c r="BH195" s="29">
        <v>1092.04</v>
      </c>
      <c r="BI195" s="29">
        <v>55.45</v>
      </c>
      <c r="BK195" s="29">
        <v>348.63</v>
      </c>
      <c r="BL195" s="29">
        <v>322.11</v>
      </c>
      <c r="BM195" s="29">
        <v>342.78</v>
      </c>
      <c r="BO195" s="29">
        <v>202.63</v>
      </c>
      <c r="BP195" s="29">
        <v>205.0</v>
      </c>
      <c r="BQ195" s="29">
        <v>191.38</v>
      </c>
      <c r="BR195" s="29">
        <v>177.0</v>
      </c>
      <c r="BX195" s="29">
        <v>46.0</v>
      </c>
      <c r="BY195" s="29">
        <v>52.0</v>
      </c>
      <c r="BZ195" s="29">
        <v>41.83</v>
      </c>
      <c r="CA195" s="29">
        <v>44.0</v>
      </c>
      <c r="CD195" s="29">
        <v>32.11</v>
      </c>
      <c r="CE195" s="29">
        <v>41.88</v>
      </c>
      <c r="CI195" s="29">
        <v>2997.0</v>
      </c>
      <c r="CJ195" s="27" t="inlineStr">
        <is>
          <t xml:space="preserve">mar/26</t>
        </is>
      </c>
    </row>
    <row r="196">
      <c r="A196" s="28">
        <v>46078</v>
      </c>
      <c r="B196" s="29">
        <v>1173.45</v>
      </c>
      <c r="C196" s="29">
        <v>3218.7</v>
      </c>
      <c r="D196" s="29">
        <v>7.26</v>
      </c>
      <c r="E196" s="29">
        <v>6.85</v>
      </c>
      <c r="F196" s="29">
        <v>1796.0</v>
      </c>
      <c r="G196" s="29">
        <v>1055.17</v>
      </c>
      <c r="H196" s="29">
        <v>365.0</v>
      </c>
      <c r="I196" s="27" t="inlineStr">
        <is>
          <t xml:space="preserve">mar/26</t>
        </is>
      </c>
      <c r="J196" s="29">
        <v>191247.46</v>
      </c>
      <c r="K196" s="30">
        <v>5128.0</v>
      </c>
      <c r="L196" s="27" t="inlineStr">
        <is>
          <t xml:space="preserve">mar/26</t>
        </is>
      </c>
      <c r="M196" s="29">
        <v>356.95</v>
      </c>
      <c r="N196" s="27" t="inlineStr">
        <is>
          <t xml:space="preserve">mar/26</t>
        </is>
      </c>
      <c r="O196" s="29">
        <v>70.54</v>
      </c>
      <c r="P196" s="27" t="inlineStr">
        <is>
          <t xml:space="preserve">mar/26</t>
        </is>
      </c>
      <c r="S196" s="30">
        <v>11.4825</v>
      </c>
      <c r="T196" s="27" t="inlineStr">
        <is>
          <t xml:space="preserve">mar/26</t>
        </is>
      </c>
      <c r="U196" s="30">
        <v>4.305</v>
      </c>
      <c r="V196" s="27" t="inlineStr">
        <is>
          <t xml:space="preserve">mar/26</t>
        </is>
      </c>
      <c r="W196" s="29">
        <v>318.3</v>
      </c>
      <c r="X196" s="27" t="inlineStr">
        <is>
          <t xml:space="preserve">mar/26</t>
        </is>
      </c>
      <c r="Y196" s="30">
        <v>0.6026</v>
      </c>
      <c r="Z196" s="27" t="inlineStr">
        <is>
          <t xml:space="preserve">mar/26</t>
        </is>
      </c>
      <c r="AA196" s="29">
        <v>349.18</v>
      </c>
      <c r="AB196" s="29">
        <v>98.28</v>
      </c>
      <c r="AC196" s="29">
        <v>350.27</v>
      </c>
      <c r="AD196" s="29">
        <v>331.9</v>
      </c>
      <c r="AE196" s="29">
        <v>327.69</v>
      </c>
      <c r="AF196" s="29">
        <v>320.81</v>
      </c>
      <c r="AG196" s="29">
        <v>329.47</v>
      </c>
      <c r="AH196" s="29">
        <v>323.02</v>
      </c>
      <c r="AI196" s="29">
        <v>333.57</v>
      </c>
      <c r="AJ196" s="29">
        <v>306.04</v>
      </c>
      <c r="AK196" s="29">
        <v>315.91</v>
      </c>
      <c r="AL196" s="29">
        <v>6.77</v>
      </c>
      <c r="AM196" s="29">
        <v>6.6</v>
      </c>
      <c r="AN196" s="29">
        <v>6.67</v>
      </c>
      <c r="AO196" s="29">
        <v>6.52</v>
      </c>
      <c r="AP196" s="29">
        <v>7.31</v>
      </c>
      <c r="AQ196" s="29">
        <v>149.18</v>
      </c>
      <c r="AR196" s="29">
        <v>167.73</v>
      </c>
      <c r="BH196" s="29">
        <v>1086.74</v>
      </c>
      <c r="BI196" s="29">
        <v>55.54</v>
      </c>
      <c r="BK196" s="29">
        <v>352.93</v>
      </c>
      <c r="BL196" s="29">
        <v>322.11</v>
      </c>
      <c r="BM196" s="29">
        <v>343.0</v>
      </c>
      <c r="BO196" s="29">
        <v>204.48</v>
      </c>
      <c r="BP196" s="29">
        <v>208.93</v>
      </c>
      <c r="BQ196" s="29">
        <v>190.91</v>
      </c>
      <c r="BR196" s="29">
        <v>177.0</v>
      </c>
      <c r="BX196" s="29">
        <v>46.0</v>
      </c>
      <c r="BY196" s="29">
        <v>52.0</v>
      </c>
      <c r="BZ196" s="29">
        <v>41.83</v>
      </c>
      <c r="CA196" s="29">
        <v>44.0</v>
      </c>
      <c r="CD196" s="29">
        <v>32.5</v>
      </c>
      <c r="CE196" s="29">
        <v>41.43</v>
      </c>
      <c r="CI196" s="29">
        <v>2957.0</v>
      </c>
      <c r="CJ196" s="27" t="inlineStr">
        <is>
          <t xml:space="preserve">mar/26</t>
        </is>
      </c>
    </row>
    <row r="197">
      <c r="A197" s="28">
        <v>46079</v>
      </c>
      <c r="B197" s="29">
        <v>1175.36</v>
      </c>
      <c r="C197" s="29">
        <v>3218.74</v>
      </c>
      <c r="D197" s="29">
        <v>7.26</v>
      </c>
      <c r="E197" s="29">
        <v>6.85</v>
      </c>
      <c r="F197" s="29">
        <v>1796.15</v>
      </c>
      <c r="G197" s="29">
        <v>1042.39</v>
      </c>
      <c r="H197" s="29">
        <v>372.0</v>
      </c>
      <c r="I197" s="27" t="inlineStr">
        <is>
          <t xml:space="preserve">mar/26</t>
        </is>
      </c>
      <c r="J197" s="29">
        <v>191005.02</v>
      </c>
      <c r="K197" s="30">
        <v>5137.0</v>
      </c>
      <c r="L197" s="27" t="inlineStr">
        <is>
          <t xml:space="preserve">mar/26</t>
        </is>
      </c>
      <c r="M197" s="29">
        <v>355.1</v>
      </c>
      <c r="N197" s="27" t="inlineStr">
        <is>
          <t xml:space="preserve">mar/26</t>
        </is>
      </c>
      <c r="O197" s="29">
        <v>71.45</v>
      </c>
      <c r="P197" s="27" t="inlineStr">
        <is>
          <t xml:space="preserve">mar/26</t>
        </is>
      </c>
      <c r="S197" s="30">
        <v>11.4775</v>
      </c>
      <c r="T197" s="27" t="inlineStr">
        <is>
          <t xml:space="preserve">mar/26</t>
        </is>
      </c>
      <c r="U197" s="30">
        <v>4.3325</v>
      </c>
      <c r="V197" s="27" t="inlineStr">
        <is>
          <t xml:space="preserve">mar/26</t>
        </is>
      </c>
      <c r="W197" s="29">
        <v>317.6</v>
      </c>
      <c r="X197" s="27" t="inlineStr">
        <is>
          <t xml:space="preserve">mar/26</t>
        </is>
      </c>
      <c r="Y197" s="30">
        <v>0.6129</v>
      </c>
      <c r="Z197" s="27" t="inlineStr">
        <is>
          <t xml:space="preserve">mar/26</t>
        </is>
      </c>
      <c r="AA197" s="29">
        <v>351.59</v>
      </c>
      <c r="AB197" s="29">
        <v>98.14</v>
      </c>
      <c r="AC197" s="29">
        <v>352.9</v>
      </c>
      <c r="AD197" s="29">
        <v>333.85</v>
      </c>
      <c r="AE197" s="29">
        <v>334.81</v>
      </c>
      <c r="AF197" s="29">
        <v>322.13</v>
      </c>
      <c r="AG197" s="29">
        <v>331.69</v>
      </c>
      <c r="AH197" s="29">
        <v>324.47</v>
      </c>
      <c r="AI197" s="29">
        <v>334.8</v>
      </c>
      <c r="AJ197" s="29">
        <v>307.17</v>
      </c>
      <c r="AK197" s="29">
        <v>316.42</v>
      </c>
      <c r="AL197" s="29">
        <v>6.77</v>
      </c>
      <c r="AM197" s="29">
        <v>6.59</v>
      </c>
      <c r="AN197" s="29">
        <v>6.67</v>
      </c>
      <c r="AO197" s="29">
        <v>6.51</v>
      </c>
      <c r="AP197" s="29">
        <v>7.31</v>
      </c>
      <c r="AQ197" s="29">
        <v>149.01</v>
      </c>
      <c r="AR197" s="29">
        <v>167.13</v>
      </c>
      <c r="BH197" s="29">
        <v>1087.75</v>
      </c>
      <c r="BI197" s="29">
        <v>55.53</v>
      </c>
      <c r="BK197" s="29">
        <v>356.81</v>
      </c>
      <c r="BL197" s="29">
        <v>333.78</v>
      </c>
      <c r="BM197" s="29">
        <v>343.64</v>
      </c>
      <c r="BO197" s="29">
        <v>199.24</v>
      </c>
      <c r="BP197" s="29">
        <v>212.28</v>
      </c>
      <c r="BQ197" s="29">
        <v>190.0</v>
      </c>
      <c r="BR197" s="29">
        <v>177.0</v>
      </c>
      <c r="BX197" s="29">
        <v>46.0</v>
      </c>
      <c r="BY197" s="29">
        <v>52.0</v>
      </c>
      <c r="BZ197" s="29">
        <v>41.83</v>
      </c>
      <c r="CA197" s="29">
        <v>44.0</v>
      </c>
      <c r="CD197" s="29">
        <v>32.5</v>
      </c>
      <c r="CE197" s="29">
        <v>42.4</v>
      </c>
      <c r="CI197" s="29">
        <v>2974.0</v>
      </c>
      <c r="CJ197" s="27" t="inlineStr">
        <is>
          <t xml:space="preserve">mar/26</t>
        </is>
      </c>
    </row>
    <row r="198">
      <c r="A198" s="28">
        <v>46080</v>
      </c>
      <c r="B198" s="29">
        <v>1178.08</v>
      </c>
      <c r="C198" s="29">
        <v>3224.18</v>
      </c>
      <c r="D198" s="29">
        <v>7.26</v>
      </c>
      <c r="E198" s="29">
        <v>6.9</v>
      </c>
      <c r="F198" s="29">
        <v>1797.61</v>
      </c>
      <c r="G198" s="29">
        <v>1032.75</v>
      </c>
      <c r="H198" s="29">
        <v>370.75</v>
      </c>
      <c r="I198" s="27" t="inlineStr">
        <is>
          <t xml:space="preserve">mar/26</t>
        </is>
      </c>
      <c r="J198" s="29">
        <v>188786.98</v>
      </c>
      <c r="K198" s="30">
        <v>5149.5</v>
      </c>
      <c r="L198" s="27" t="inlineStr">
        <is>
          <t xml:space="preserve">mar/26</t>
        </is>
      </c>
      <c r="M198" s="29">
        <v>354.05</v>
      </c>
      <c r="N198" s="27" t="inlineStr">
        <is>
          <t xml:space="preserve">mar/26</t>
        </is>
      </c>
      <c r="O198" s="29">
        <v>72.29</v>
      </c>
      <c r="P198" s="27" t="inlineStr">
        <is>
          <t xml:space="preserve">mar/26</t>
        </is>
      </c>
      <c r="S198" s="30">
        <v>11.5725</v>
      </c>
      <c r="T198" s="27" t="inlineStr">
        <is>
          <t xml:space="preserve">mar/26</t>
        </is>
      </c>
      <c r="U198" s="30">
        <v>4.3875</v>
      </c>
      <c r="V198" s="27" t="inlineStr">
        <is>
          <t xml:space="preserve">mar/26</t>
        </is>
      </c>
      <c r="W198" s="29">
        <v>315.5</v>
      </c>
      <c r="X198" s="27" t="inlineStr">
        <is>
          <t xml:space="preserve">mar/26</t>
        </is>
      </c>
      <c r="Y198" s="30">
        <v>0.6129</v>
      </c>
      <c r="Z198" s="27" t="inlineStr">
        <is>
          <t xml:space="preserve">mar/26</t>
        </is>
      </c>
      <c r="AA198" s="29">
        <v>352.27</v>
      </c>
      <c r="AB198" s="29">
        <v>98.59</v>
      </c>
      <c r="AL198" s="29">
        <v>6.76</v>
      </c>
      <c r="AM198" s="29">
        <v>6.59</v>
      </c>
      <c r="AN198" s="29">
        <v>6.73</v>
      </c>
      <c r="AO198" s="29">
        <v>6.51</v>
      </c>
      <c r="AP198" s="29">
        <v>7.31</v>
      </c>
      <c r="AQ198" s="29">
        <v>159.04</v>
      </c>
      <c r="AR198" s="29">
        <v>177.59</v>
      </c>
      <c r="BC198" s="29">
        <v>9.66</v>
      </c>
      <c r="BD198" s="29">
        <v>9.68</v>
      </c>
      <c r="BE198" s="29">
        <v>10.26</v>
      </c>
      <c r="BF198" s="29">
        <v>8.77</v>
      </c>
      <c r="BG198" s="29">
        <v>9.99</v>
      </c>
      <c r="BH198" s="29">
        <v>1098.73</v>
      </c>
      <c r="BI198" s="29">
        <v>55.51</v>
      </c>
      <c r="BK198" s="29">
        <v>352.59</v>
      </c>
      <c r="BL198" s="29">
        <v>330.64</v>
      </c>
      <c r="BM198" s="29">
        <v>343.64</v>
      </c>
      <c r="BO198" s="29">
        <v>198.65</v>
      </c>
      <c r="BP198" s="29">
        <v>213.25</v>
      </c>
      <c r="BQ198" s="29">
        <v>190.52</v>
      </c>
      <c r="BR198" s="29">
        <v>185.0</v>
      </c>
      <c r="BS198" s="30">
        <v>2.8462</v>
      </c>
      <c r="BT198" s="30">
        <v>3.2256</v>
      </c>
      <c r="BU198" s="29">
        <v>499.61</v>
      </c>
      <c r="BV198" s="29">
        <v>441.44</v>
      </c>
      <c r="BW198" s="29">
        <v>493.33</v>
      </c>
      <c r="BX198" s="29">
        <v>46.0</v>
      </c>
      <c r="BY198" s="29">
        <v>52.0</v>
      </c>
      <c r="BZ198" s="29">
        <v>41.83</v>
      </c>
      <c r="CA198" s="29">
        <v>44.0</v>
      </c>
      <c r="CD198" s="29">
        <v>31.67</v>
      </c>
      <c r="CE198" s="29">
        <v>42.04</v>
      </c>
      <c r="CI198" s="29">
        <v>2798.0</v>
      </c>
      <c r="CJ198" s="27" t="inlineStr">
        <is>
          <t xml:space="preserve">mar/26</t>
        </is>
      </c>
    </row>
    <row r="199">
      <c r="A199" s="28">
        <v>46082</v>
      </c>
      <c r="AS199" s="30">
        <v>2.39</v>
      </c>
      <c r="AT199" s="30">
        <v>2.46</v>
      </c>
      <c r="AU199" s="30">
        <v>2.34</v>
      </c>
      <c r="AV199" s="30">
        <v>2.42</v>
      </c>
      <c r="AW199" s="30">
        <v>2.47</v>
      </c>
      <c r="AX199" s="30">
        <v>2.36</v>
      </c>
      <c r="AY199" s="30">
        <v>2.31</v>
      </c>
      <c r="AZ199" s="30">
        <v>2.19</v>
      </c>
      <c r="BA199" s="30">
        <v>2.28</v>
      </c>
      <c r="BB199" s="30">
        <v>2.06</v>
      </c>
    </row>
    <row r="200">
      <c r="A200" s="28">
        <v>46083</v>
      </c>
      <c r="B200" s="29">
        <v>1182.38</v>
      </c>
      <c r="C200" s="29">
        <v>3225.73</v>
      </c>
      <c r="D200" s="29">
        <v>7.12</v>
      </c>
      <c r="E200" s="29">
        <v>6.91</v>
      </c>
      <c r="F200" s="29">
        <v>1840.71</v>
      </c>
      <c r="G200" s="29">
        <v>1056.07</v>
      </c>
      <c r="H200" s="29">
        <v>372.0</v>
      </c>
      <c r="I200" s="27" t="inlineStr">
        <is>
          <t xml:space="preserve">mai/26</t>
        </is>
      </c>
      <c r="J200" s="29">
        <v>189307.02</v>
      </c>
      <c r="K200" s="30">
        <v>5212.5</v>
      </c>
      <c r="L200" s="27" t="inlineStr">
        <is>
          <t xml:space="preserve">abr/26</t>
        </is>
      </c>
      <c r="M200" s="29">
        <v>342.85</v>
      </c>
      <c r="N200" s="27" t="inlineStr">
        <is>
          <t xml:space="preserve">abr/26</t>
        </is>
      </c>
      <c r="O200" s="29">
        <v>71.51</v>
      </c>
      <c r="P200" s="27" t="inlineStr">
        <is>
          <t xml:space="preserve">mai/26</t>
        </is>
      </c>
      <c r="S200" s="30">
        <v>11.64</v>
      </c>
      <c r="T200" s="27" t="inlineStr">
        <is>
          <t xml:space="preserve">mai/26</t>
        </is>
      </c>
      <c r="U200" s="30">
        <v>4.4575</v>
      </c>
      <c r="V200" s="27" t="inlineStr">
        <is>
          <t xml:space="preserve">mai/26</t>
        </is>
      </c>
      <c r="W200" s="29">
        <v>312.9</v>
      </c>
      <c r="X200" s="27" t="inlineStr">
        <is>
          <t xml:space="preserve">mai/26</t>
        </is>
      </c>
      <c r="Y200" s="30">
        <v>0.6274</v>
      </c>
      <c r="Z200" s="27" t="inlineStr">
        <is>
          <t xml:space="preserve">mai/26</t>
        </is>
      </c>
      <c r="AA200" s="29">
        <v>352.48</v>
      </c>
      <c r="AB200" s="29">
        <v>98.55</v>
      </c>
      <c r="AC200" s="29">
        <v>352.91</v>
      </c>
      <c r="AD200" s="29">
        <v>335.4</v>
      </c>
      <c r="AE200" s="29">
        <v>334.38</v>
      </c>
      <c r="AF200" s="29">
        <v>324.86</v>
      </c>
      <c r="AG200" s="29">
        <v>331.92</v>
      </c>
      <c r="AH200" s="29">
        <v>325.62</v>
      </c>
      <c r="AI200" s="29">
        <v>338.59</v>
      </c>
      <c r="AJ200" s="29">
        <v>310.58</v>
      </c>
      <c r="AK200" s="29">
        <v>318.48</v>
      </c>
      <c r="AL200" s="29">
        <v>6.76</v>
      </c>
      <c r="AM200" s="29">
        <v>6.6</v>
      </c>
      <c r="AN200" s="29">
        <v>6.74</v>
      </c>
      <c r="AO200" s="29">
        <v>6.51</v>
      </c>
      <c r="AP200" s="29">
        <v>7.17</v>
      </c>
      <c r="AQ200" s="29">
        <v>159.04</v>
      </c>
      <c r="AR200" s="29">
        <v>177.59</v>
      </c>
      <c r="BH200" s="29">
        <v>1095.19</v>
      </c>
      <c r="BI200" s="29">
        <v>55.46</v>
      </c>
      <c r="BK200" s="29">
        <v>354.93</v>
      </c>
      <c r="BL200" s="29">
        <v>330.53</v>
      </c>
      <c r="BM200" s="29">
        <v>345.0</v>
      </c>
      <c r="BO200" s="29">
        <v>199.37</v>
      </c>
      <c r="BP200" s="29">
        <v>213.25</v>
      </c>
      <c r="BQ200" s="29">
        <v>190.16</v>
      </c>
      <c r="BR200" s="29">
        <v>178.57</v>
      </c>
      <c r="BX200" s="29">
        <v>46.0</v>
      </c>
      <c r="BY200" s="29">
        <v>52.0</v>
      </c>
      <c r="BZ200" s="29">
        <v>41.83</v>
      </c>
      <c r="CA200" s="29">
        <v>44.8</v>
      </c>
      <c r="CD200" s="29">
        <v>31.25</v>
      </c>
      <c r="CE200" s="29">
        <v>42.04</v>
      </c>
      <c r="CI200" s="29">
        <v>3021.0</v>
      </c>
      <c r="CJ200" s="27" t="inlineStr">
        <is>
          <t xml:space="preserve">mai/26</t>
        </is>
      </c>
    </row>
    <row r="201">
      <c r="A201" s="28">
        <v>46084</v>
      </c>
      <c r="B201" s="29">
        <v>1185.88</v>
      </c>
      <c r="C201" s="29">
        <v>3246.87</v>
      </c>
      <c r="D201" s="29">
        <v>7.07</v>
      </c>
      <c r="E201" s="29">
        <v>6.93</v>
      </c>
      <c r="F201" s="29">
        <v>1853.29</v>
      </c>
      <c r="G201" s="29">
        <v>1075.07</v>
      </c>
      <c r="H201" s="29">
        <v>371.45</v>
      </c>
      <c r="I201" s="27" t="inlineStr">
        <is>
          <t xml:space="preserve">mai/26</t>
        </is>
      </c>
      <c r="J201" s="29">
        <v>183104.87</v>
      </c>
      <c r="K201" s="30">
        <v>5319.0</v>
      </c>
      <c r="L201" s="27" t="inlineStr">
        <is>
          <t xml:space="preserve">abr/26</t>
        </is>
      </c>
      <c r="M201" s="29">
        <v>337.75</v>
      </c>
      <c r="N201" s="27" t="inlineStr">
        <is>
          <t xml:space="preserve">abr/26</t>
        </is>
      </c>
      <c r="O201" s="29">
        <v>72.73</v>
      </c>
      <c r="P201" s="27" t="inlineStr">
        <is>
          <t xml:space="preserve">mai/26</t>
        </is>
      </c>
      <c r="Q201" s="29">
        <v>25.8</v>
      </c>
      <c r="R201" s="27" t="inlineStr">
        <is>
          <t xml:space="preserve">mai/26</t>
        </is>
      </c>
      <c r="S201" s="30">
        <v>11.705</v>
      </c>
      <c r="T201" s="27" t="inlineStr">
        <is>
          <t xml:space="preserve">mai/26</t>
        </is>
      </c>
      <c r="U201" s="30">
        <v>4.465</v>
      </c>
      <c r="V201" s="27" t="inlineStr">
        <is>
          <t xml:space="preserve">mai/26</t>
        </is>
      </c>
      <c r="W201" s="29">
        <v>314.7</v>
      </c>
      <c r="X201" s="27" t="inlineStr">
        <is>
          <t xml:space="preserve">mai/26</t>
        </is>
      </c>
      <c r="Y201" s="30">
        <v>0.6282</v>
      </c>
      <c r="Z201" s="27" t="inlineStr">
        <is>
          <t xml:space="preserve">mai/26</t>
        </is>
      </c>
      <c r="AA201" s="29">
        <v>348.32</v>
      </c>
      <c r="AB201" s="29">
        <v>98.23</v>
      </c>
      <c r="AL201" s="29">
        <v>6.76</v>
      </c>
      <c r="AM201" s="29">
        <v>6.65</v>
      </c>
      <c r="AN201" s="29">
        <v>6.74</v>
      </c>
      <c r="AO201" s="29">
        <v>6.51</v>
      </c>
      <c r="AP201" s="29">
        <v>7.11</v>
      </c>
      <c r="AQ201" s="29">
        <v>159.02</v>
      </c>
      <c r="AR201" s="29">
        <v>177.57</v>
      </c>
      <c r="BH201" s="29">
        <v>1095.2</v>
      </c>
      <c r="BI201" s="29">
        <v>55.79</v>
      </c>
      <c r="BK201" s="29">
        <v>352.69</v>
      </c>
      <c r="BL201" s="29">
        <v>332.57</v>
      </c>
      <c r="BM201" s="29">
        <v>345.56</v>
      </c>
      <c r="BO201" s="29">
        <v>196.55</v>
      </c>
      <c r="BP201" s="29">
        <v>213.47</v>
      </c>
      <c r="BQ201" s="29">
        <v>189.93</v>
      </c>
      <c r="BR201" s="29">
        <v>178.57</v>
      </c>
      <c r="BX201" s="29">
        <v>46.7</v>
      </c>
      <c r="BY201" s="29">
        <v>52.0</v>
      </c>
      <c r="BZ201" s="29">
        <v>41.83</v>
      </c>
      <c r="CA201" s="29">
        <v>44.8</v>
      </c>
      <c r="CD201" s="29">
        <v>31.67</v>
      </c>
      <c r="CE201" s="29">
        <v>41.68</v>
      </c>
      <c r="CI201" s="29">
        <v>3015.0</v>
      </c>
      <c r="CJ201" s="27" t="inlineStr">
        <is>
          <t xml:space="preserve">mai/26</t>
        </is>
      </c>
    </row>
    <row r="202">
      <c r="A202" s="28">
        <v>46085</v>
      </c>
      <c r="B202" s="29">
        <v>1203.09</v>
      </c>
      <c r="C202" s="29">
        <v>3257.05</v>
      </c>
      <c r="D202" s="29">
        <v>7.06</v>
      </c>
      <c r="E202" s="29">
        <v>6.96</v>
      </c>
      <c r="F202" s="29">
        <v>1859.96</v>
      </c>
      <c r="G202" s="29">
        <v>1067.9</v>
      </c>
      <c r="H202" s="29">
        <v>375.85</v>
      </c>
      <c r="I202" s="27" t="inlineStr">
        <is>
          <t xml:space="preserve">mai/26</t>
        </is>
      </c>
      <c r="J202" s="29">
        <v>185366.44</v>
      </c>
      <c r="K202" s="30">
        <v>5270.0</v>
      </c>
      <c r="L202" s="27" t="inlineStr">
        <is>
          <t xml:space="preserve">abr/26</t>
        </is>
      </c>
      <c r="M202" s="29">
        <v>340.0</v>
      </c>
      <c r="N202" s="27" t="inlineStr">
        <is>
          <t xml:space="preserve">abr/26</t>
        </is>
      </c>
      <c r="O202" s="29">
        <v>72.68</v>
      </c>
      <c r="P202" s="27" t="inlineStr">
        <is>
          <t xml:space="preserve">mai/26</t>
        </is>
      </c>
      <c r="Q202" s="29">
        <v>25.77</v>
      </c>
      <c r="R202" s="27" t="inlineStr">
        <is>
          <t xml:space="preserve">mai/26</t>
        </is>
      </c>
      <c r="S202" s="30">
        <v>11.695</v>
      </c>
      <c r="T202" s="27" t="inlineStr">
        <is>
          <t xml:space="preserve">mai/26</t>
        </is>
      </c>
      <c r="U202" s="30">
        <v>4.4375</v>
      </c>
      <c r="V202" s="27" t="inlineStr">
        <is>
          <t xml:space="preserve">mai/26</t>
        </is>
      </c>
      <c r="W202" s="29">
        <v>309.9</v>
      </c>
      <c r="X202" s="27" t="inlineStr">
        <is>
          <t xml:space="preserve">mai/26</t>
        </is>
      </c>
      <c r="Y202" s="30">
        <v>0.6359</v>
      </c>
      <c r="Z202" s="27" t="inlineStr">
        <is>
          <t xml:space="preserve">mai/26</t>
        </is>
      </c>
      <c r="AA202" s="29">
        <v>352.66</v>
      </c>
      <c r="AB202" s="29">
        <v>98.23</v>
      </c>
      <c r="AC202" s="29">
        <v>348.55</v>
      </c>
      <c r="AD202" s="29">
        <v>336.69</v>
      </c>
      <c r="AE202" s="29">
        <v>339.27</v>
      </c>
      <c r="AF202" s="29">
        <v>326.2</v>
      </c>
      <c r="AG202" s="29">
        <v>330.62</v>
      </c>
      <c r="AH202" s="29">
        <v>325.09</v>
      </c>
      <c r="AI202" s="29">
        <v>338.87</v>
      </c>
      <c r="AJ202" s="29">
        <v>305.64</v>
      </c>
      <c r="AK202" s="29">
        <v>319.65</v>
      </c>
      <c r="AL202" s="29">
        <v>6.76</v>
      </c>
      <c r="AM202" s="29">
        <v>6.69</v>
      </c>
      <c r="AN202" s="29">
        <v>6.74</v>
      </c>
      <c r="AO202" s="29">
        <v>6.51</v>
      </c>
      <c r="AP202" s="29">
        <v>7.1</v>
      </c>
      <c r="AQ202" s="29">
        <v>168.74</v>
      </c>
      <c r="AR202" s="29">
        <v>195.04</v>
      </c>
      <c r="BH202" s="29">
        <v>1085.53</v>
      </c>
      <c r="BI202" s="29">
        <v>55.9</v>
      </c>
      <c r="BK202" s="29">
        <v>351.41</v>
      </c>
      <c r="BL202" s="29">
        <v>333.08</v>
      </c>
      <c r="BM202" s="29">
        <v>343.75</v>
      </c>
      <c r="BO202" s="29">
        <v>198.66</v>
      </c>
      <c r="BP202" s="29">
        <v>210.28</v>
      </c>
      <c r="BQ202" s="29">
        <v>189.45</v>
      </c>
      <c r="BR202" s="29">
        <v>178.57</v>
      </c>
      <c r="BX202" s="29">
        <v>46.7</v>
      </c>
      <c r="BY202" s="29">
        <v>52.0</v>
      </c>
      <c r="BZ202" s="29">
        <v>41.83</v>
      </c>
      <c r="CA202" s="29">
        <v>44.8</v>
      </c>
      <c r="CD202" s="29">
        <v>31.5</v>
      </c>
      <c r="CE202" s="29">
        <v>43.1</v>
      </c>
      <c r="CI202" s="29">
        <v>3060.0</v>
      </c>
      <c r="CJ202" s="27" t="inlineStr">
        <is>
          <t xml:space="preserve">mai/26</t>
        </is>
      </c>
    </row>
    <row r="203">
      <c r="A203" s="28">
        <v>46086</v>
      </c>
      <c r="B203" s="29">
        <v>1190.04</v>
      </c>
      <c r="C203" s="29">
        <v>3266.23</v>
      </c>
      <c r="D203" s="29">
        <v>7.06</v>
      </c>
      <c r="E203" s="29">
        <v>6.95</v>
      </c>
      <c r="F203" s="29">
        <v>1874.79</v>
      </c>
      <c r="G203" s="29">
        <v>1065.57</v>
      </c>
      <c r="H203" s="29">
        <v>387.0</v>
      </c>
      <c r="I203" s="27" t="inlineStr">
        <is>
          <t xml:space="preserve">mai/26</t>
        </is>
      </c>
      <c r="J203" s="29">
        <v>180463.84</v>
      </c>
      <c r="K203" s="30">
        <v>5302.5</v>
      </c>
      <c r="L203" s="27" t="inlineStr">
        <is>
          <t xml:space="preserve">abr/26</t>
        </is>
      </c>
      <c r="M203" s="29">
        <v>337.3</v>
      </c>
      <c r="N203" s="27" t="inlineStr">
        <is>
          <t xml:space="preserve">abr/26</t>
        </is>
      </c>
      <c r="O203" s="29">
        <v>73.23</v>
      </c>
      <c r="P203" s="27" t="inlineStr">
        <is>
          <t xml:space="preserve">mai/26</t>
        </is>
      </c>
      <c r="Q203" s="29">
        <v>26.0</v>
      </c>
      <c r="R203" s="27" t="inlineStr">
        <is>
          <t xml:space="preserve">mai/26</t>
        </is>
      </c>
      <c r="S203" s="30">
        <v>11.7925</v>
      </c>
      <c r="T203" s="27" t="inlineStr">
        <is>
          <t xml:space="preserve">mai/26</t>
        </is>
      </c>
      <c r="U203" s="30">
        <v>4.535</v>
      </c>
      <c r="V203" s="27" t="inlineStr">
        <is>
          <t xml:space="preserve">mai/26</t>
        </is>
      </c>
      <c r="W203" s="29">
        <v>309.3</v>
      </c>
      <c r="X203" s="27" t="inlineStr">
        <is>
          <t xml:space="preserve">mai/26</t>
        </is>
      </c>
      <c r="Y203" s="30">
        <v>0.657</v>
      </c>
      <c r="Z203" s="27" t="inlineStr">
        <is>
          <t xml:space="preserve">mai/26</t>
        </is>
      </c>
      <c r="AA203" s="29">
        <v>355.28</v>
      </c>
      <c r="AB203" s="29">
        <v>97.62</v>
      </c>
      <c r="AC203" s="29">
        <v>345.52</v>
      </c>
      <c r="AD203" s="29">
        <v>336.17</v>
      </c>
      <c r="AE203" s="29">
        <v>337.44</v>
      </c>
      <c r="AF203" s="29">
        <v>324.99</v>
      </c>
      <c r="AG203" s="29">
        <v>328.96</v>
      </c>
      <c r="AH203" s="29">
        <v>320.97</v>
      </c>
      <c r="AI203" s="29">
        <v>337.06</v>
      </c>
      <c r="AJ203" s="29">
        <v>303.64</v>
      </c>
      <c r="AK203" s="29">
        <v>323.15</v>
      </c>
      <c r="AL203" s="29">
        <v>6.76</v>
      </c>
      <c r="AM203" s="29">
        <v>6.71</v>
      </c>
      <c r="AN203" s="29">
        <v>6.74</v>
      </c>
      <c r="AO203" s="29">
        <v>6.51</v>
      </c>
      <c r="AP203" s="29">
        <v>7.1</v>
      </c>
      <c r="AQ203" s="29">
        <v>168.76</v>
      </c>
      <c r="AR203" s="29">
        <v>194.93</v>
      </c>
      <c r="BH203" s="29">
        <v>1084.48</v>
      </c>
      <c r="BI203" s="29">
        <v>55.94</v>
      </c>
      <c r="BK203" s="29">
        <v>353.88</v>
      </c>
      <c r="BL203" s="29">
        <v>335.44</v>
      </c>
      <c r="BM203" s="29">
        <v>348.75</v>
      </c>
      <c r="BO203" s="29">
        <v>197.49</v>
      </c>
      <c r="BP203" s="29">
        <v>210.28</v>
      </c>
      <c r="BQ203" s="29">
        <v>190.25</v>
      </c>
      <c r="BR203" s="29">
        <v>181.43</v>
      </c>
      <c r="BX203" s="29">
        <v>46.7</v>
      </c>
      <c r="BY203" s="29">
        <v>52.0</v>
      </c>
      <c r="BZ203" s="29">
        <v>41.9</v>
      </c>
      <c r="CA203" s="29">
        <v>44.8</v>
      </c>
      <c r="CD203" s="29">
        <v>31.15</v>
      </c>
      <c r="CE203" s="29">
        <v>43.46</v>
      </c>
      <c r="CI203" s="29">
        <v>3055.0</v>
      </c>
      <c r="CJ203" s="27" t="inlineStr">
        <is>
          <t xml:space="preserve">mai/26</t>
        </is>
      </c>
    </row>
    <row r="204">
      <c r="A204" s="28">
        <v>46087</v>
      </c>
      <c r="B204" s="29">
        <v>1207.77</v>
      </c>
      <c r="C204" s="29">
        <v>3267.63</v>
      </c>
      <c r="D204" s="29">
        <v>7.06</v>
      </c>
      <c r="E204" s="29">
        <v>6.95</v>
      </c>
      <c r="F204" s="29">
        <v>1913.12</v>
      </c>
      <c r="G204" s="29">
        <v>1070.68</v>
      </c>
      <c r="H204" s="29">
        <v>398.5</v>
      </c>
      <c r="I204" s="27" t="inlineStr">
        <is>
          <t xml:space="preserve">mai/26</t>
        </is>
      </c>
      <c r="J204" s="29">
        <v>179364.82</v>
      </c>
      <c r="K204" s="30">
        <v>5296.5</v>
      </c>
      <c r="L204" s="27" t="inlineStr">
        <is>
          <t xml:space="preserve">abr/26</t>
        </is>
      </c>
      <c r="M204" s="29">
        <v>336.8</v>
      </c>
      <c r="N204" s="27" t="inlineStr">
        <is>
          <t xml:space="preserve">abr/26</t>
        </is>
      </c>
      <c r="O204" s="29">
        <v>74.83</v>
      </c>
      <c r="P204" s="27" t="inlineStr">
        <is>
          <t xml:space="preserve">mai/26</t>
        </is>
      </c>
      <c r="Q204" s="29">
        <v>26.48</v>
      </c>
      <c r="R204" s="27" t="inlineStr">
        <is>
          <t xml:space="preserve">mai/26</t>
        </is>
      </c>
      <c r="S204" s="30">
        <v>12.0075</v>
      </c>
      <c r="T204" s="27" t="inlineStr">
        <is>
          <t xml:space="preserve">mai/26</t>
        </is>
      </c>
      <c r="U204" s="30">
        <v>4.605</v>
      </c>
      <c r="V204" s="27" t="inlineStr">
        <is>
          <t xml:space="preserve">mai/26</t>
        </is>
      </c>
      <c r="W204" s="29">
        <v>317.2</v>
      </c>
      <c r="X204" s="27" t="inlineStr">
        <is>
          <t xml:space="preserve">mai/26</t>
        </is>
      </c>
      <c r="Y204" s="30">
        <v>0.6658</v>
      </c>
      <c r="Z204" s="27" t="inlineStr">
        <is>
          <t xml:space="preserve">mai/26</t>
        </is>
      </c>
      <c r="AA204" s="29">
        <v>357.25</v>
      </c>
      <c r="AB204" s="29">
        <v>97.38</v>
      </c>
      <c r="AC204" s="29">
        <v>344.09</v>
      </c>
      <c r="AD204" s="29">
        <v>334.35</v>
      </c>
      <c r="AE204" s="29">
        <v>331.6</v>
      </c>
      <c r="AF204" s="29">
        <v>327.2</v>
      </c>
      <c r="AG204" s="29">
        <v>325.81</v>
      </c>
      <c r="AH204" s="29">
        <v>323.75</v>
      </c>
      <c r="AI204" s="29">
        <v>336.77</v>
      </c>
      <c r="AJ204" s="29">
        <v>302.93</v>
      </c>
      <c r="AK204" s="29">
        <v>322.47</v>
      </c>
      <c r="AL204" s="29">
        <v>6.76</v>
      </c>
      <c r="AM204" s="29">
        <v>6.71</v>
      </c>
      <c r="AN204" s="29">
        <v>6.77</v>
      </c>
      <c r="AO204" s="29">
        <v>6.63</v>
      </c>
      <c r="AP204" s="29">
        <v>7.1</v>
      </c>
      <c r="AQ204" s="29">
        <v>168.76</v>
      </c>
      <c r="AR204" s="29">
        <v>194.93</v>
      </c>
      <c r="BC204" s="29">
        <v>9.71</v>
      </c>
      <c r="BD204" s="29">
        <v>9.72</v>
      </c>
      <c r="BE204" s="29">
        <v>10.34</v>
      </c>
      <c r="BF204" s="29">
        <v>8.82</v>
      </c>
      <c r="BG204" s="29">
        <v>10.03</v>
      </c>
      <c r="BH204" s="29">
        <v>1085.06</v>
      </c>
      <c r="BI204" s="29">
        <v>56.49</v>
      </c>
      <c r="BK204" s="29">
        <v>353.33</v>
      </c>
      <c r="BL204" s="29">
        <v>334.82</v>
      </c>
      <c r="BM204" s="29">
        <v>348.75</v>
      </c>
      <c r="BO204" s="29">
        <v>197.78</v>
      </c>
      <c r="BP204" s="29">
        <v>206.94</v>
      </c>
      <c r="BQ204" s="29">
        <v>189.35</v>
      </c>
      <c r="BR204" s="29">
        <v>181.43</v>
      </c>
      <c r="BS204" s="30">
        <v>2.9352</v>
      </c>
      <c r="BT204" s="30">
        <v>3.2737</v>
      </c>
      <c r="BU204" s="29">
        <v>510.43</v>
      </c>
      <c r="BV204" s="29">
        <v>456.67</v>
      </c>
      <c r="BW204" s="29">
        <v>505.91</v>
      </c>
      <c r="BX204" s="29">
        <v>46.7</v>
      </c>
      <c r="BY204" s="29">
        <v>52.0</v>
      </c>
      <c r="BZ204" s="29">
        <v>41.9</v>
      </c>
      <c r="CA204" s="29">
        <v>45.2</v>
      </c>
      <c r="CD204" s="29">
        <v>31.15</v>
      </c>
      <c r="CE204" s="29">
        <v>43.46</v>
      </c>
      <c r="CI204" s="29">
        <v>3230.0</v>
      </c>
      <c r="CJ204" s="27" t="inlineStr">
        <is>
          <t xml:space="preserve">mai/26</t>
        </is>
      </c>
    </row>
    <row r="205">
      <c r="A205" s="28">
        <v>46090</v>
      </c>
      <c r="B205" s="29">
        <v>1209.02</v>
      </c>
      <c r="C205" s="29">
        <v>3263.92</v>
      </c>
      <c r="D205" s="29">
        <v>7.05</v>
      </c>
      <c r="E205" s="29">
        <v>6.94</v>
      </c>
      <c r="F205" s="29">
        <v>1929.37</v>
      </c>
      <c r="G205" s="29">
        <v>1067.07</v>
      </c>
      <c r="H205" s="29">
        <v>389.1</v>
      </c>
      <c r="I205" s="27" t="inlineStr">
        <is>
          <t xml:space="preserve">mai/26</t>
        </is>
      </c>
      <c r="J205" s="29">
        <v>180915.36</v>
      </c>
      <c r="K205" s="30">
        <v>5199.0</v>
      </c>
      <c r="L205" s="27" t="inlineStr">
        <is>
          <t xml:space="preserve">abr/26</t>
        </is>
      </c>
      <c r="M205" s="29">
        <v>345.45</v>
      </c>
      <c r="N205" s="27" t="inlineStr">
        <is>
          <t xml:space="preserve">abr/26</t>
        </is>
      </c>
      <c r="O205" s="29">
        <v>75.9</v>
      </c>
      <c r="P205" s="27" t="inlineStr">
        <is>
          <t xml:space="preserve">mai/26</t>
        </is>
      </c>
      <c r="Q205" s="29">
        <v>26.38</v>
      </c>
      <c r="R205" s="27" t="inlineStr">
        <is>
          <t xml:space="preserve">mai/26</t>
        </is>
      </c>
      <c r="S205" s="30">
        <v>11.9625</v>
      </c>
      <c r="T205" s="27" t="inlineStr">
        <is>
          <t xml:space="preserve">mai/26</t>
        </is>
      </c>
      <c r="U205" s="30">
        <v>4.5375</v>
      </c>
      <c r="V205" s="27" t="inlineStr">
        <is>
          <t xml:space="preserve">mai/26</t>
        </is>
      </c>
      <c r="W205" s="29">
        <v>313.5</v>
      </c>
      <c r="X205" s="27" t="inlineStr">
        <is>
          <t xml:space="preserve">mai/26</t>
        </is>
      </c>
      <c r="Y205" s="30">
        <v>0.661</v>
      </c>
      <c r="Z205" s="27" t="inlineStr">
        <is>
          <t xml:space="preserve">mai/26</t>
        </is>
      </c>
      <c r="AA205" s="29">
        <v>355.47</v>
      </c>
      <c r="AB205" s="29">
        <v>98.31</v>
      </c>
      <c r="AL205" s="29">
        <v>6.76</v>
      </c>
      <c r="AM205" s="29">
        <v>6.7</v>
      </c>
      <c r="AN205" s="29">
        <v>6.78</v>
      </c>
      <c r="AO205" s="29">
        <v>6.63</v>
      </c>
      <c r="AP205" s="29">
        <v>7.09</v>
      </c>
      <c r="AQ205" s="29">
        <v>168.76</v>
      </c>
      <c r="AR205" s="29">
        <v>194.93</v>
      </c>
      <c r="BH205" s="29">
        <v>1091.6</v>
      </c>
      <c r="BI205" s="29">
        <v>56.75</v>
      </c>
      <c r="BK205" s="29">
        <v>354.08</v>
      </c>
      <c r="BL205" s="29">
        <v>335.44</v>
      </c>
      <c r="BM205" s="29">
        <v>346.25</v>
      </c>
      <c r="BO205" s="29">
        <v>198.49</v>
      </c>
      <c r="BP205" s="29">
        <v>206.94</v>
      </c>
      <c r="BQ205" s="29">
        <v>189.17</v>
      </c>
      <c r="BR205" s="29">
        <v>181.43</v>
      </c>
      <c r="BX205" s="29">
        <v>46.7</v>
      </c>
      <c r="BY205" s="29">
        <v>52.0</v>
      </c>
      <c r="BZ205" s="29">
        <v>41.9</v>
      </c>
      <c r="CA205" s="29">
        <v>45.2</v>
      </c>
      <c r="CD205" s="29">
        <v>32.27</v>
      </c>
      <c r="CE205" s="29">
        <v>43.62</v>
      </c>
      <c r="CI205" s="29">
        <v>3289.0</v>
      </c>
      <c r="CJ205" s="27" t="inlineStr">
        <is>
          <t xml:space="preserve">mai/26</t>
        </is>
      </c>
    </row>
    <row r="206">
      <c r="A206" s="28">
        <v>46091</v>
      </c>
      <c r="B206" s="29">
        <v>1211.34</v>
      </c>
      <c r="C206" s="29">
        <v>3252.9</v>
      </c>
      <c r="D206" s="29">
        <v>7.05</v>
      </c>
      <c r="E206" s="29">
        <v>6.94</v>
      </c>
      <c r="F206" s="29">
        <v>1918.6</v>
      </c>
      <c r="G206" s="29">
        <v>1037.08</v>
      </c>
      <c r="H206" s="29">
        <v>390.2</v>
      </c>
      <c r="I206" s="27" t="inlineStr">
        <is>
          <t xml:space="preserve">mai/26</t>
        </is>
      </c>
      <c r="J206" s="29">
        <v>183447.0</v>
      </c>
      <c r="K206" s="30">
        <v>5190.5</v>
      </c>
      <c r="L206" s="27" t="inlineStr">
        <is>
          <t xml:space="preserve">abr/26</t>
        </is>
      </c>
      <c r="M206" s="29">
        <v>343.0</v>
      </c>
      <c r="N206" s="27" t="inlineStr">
        <is>
          <t xml:space="preserve">abr/26</t>
        </is>
      </c>
      <c r="O206" s="29">
        <v>75.24</v>
      </c>
      <c r="P206" s="27" t="inlineStr">
        <is>
          <t xml:space="preserve">mai/26</t>
        </is>
      </c>
      <c r="Q206" s="29">
        <v>26.48</v>
      </c>
      <c r="R206" s="27" t="inlineStr">
        <is>
          <t xml:space="preserve">mai/26</t>
        </is>
      </c>
      <c r="S206" s="30">
        <v>12.0175</v>
      </c>
      <c r="T206" s="27" t="inlineStr">
        <is>
          <t xml:space="preserve">mai/26</t>
        </is>
      </c>
      <c r="U206" s="30">
        <v>4.5225</v>
      </c>
      <c r="V206" s="27" t="inlineStr">
        <is>
          <t xml:space="preserve">mai/26</t>
        </is>
      </c>
      <c r="W206" s="29">
        <v>314.5</v>
      </c>
      <c r="X206" s="27" t="inlineStr">
        <is>
          <t xml:space="preserve">mai/26</t>
        </is>
      </c>
      <c r="Y206" s="30">
        <v>0.6562</v>
      </c>
      <c r="Z206" s="27" t="inlineStr">
        <is>
          <t xml:space="preserve">mai/26</t>
        </is>
      </c>
      <c r="AA206" s="29">
        <v>353.1</v>
      </c>
      <c r="AB206" s="29">
        <v>98.52</v>
      </c>
      <c r="AC206" s="29">
        <v>343.49</v>
      </c>
      <c r="AD206" s="29">
        <v>331.42</v>
      </c>
      <c r="AE206" s="29">
        <v>326.05</v>
      </c>
      <c r="AF206" s="29">
        <v>324.09</v>
      </c>
      <c r="AG206" s="29">
        <v>327.66</v>
      </c>
      <c r="AH206" s="29">
        <v>320.41</v>
      </c>
      <c r="AI206" s="29">
        <v>336.26</v>
      </c>
      <c r="AJ206" s="29">
        <v>303.5</v>
      </c>
      <c r="AK206" s="29">
        <v>315.46</v>
      </c>
      <c r="AL206" s="29">
        <v>6.76</v>
      </c>
      <c r="AM206" s="29">
        <v>6.67</v>
      </c>
      <c r="AN206" s="29">
        <v>6.78</v>
      </c>
      <c r="AO206" s="29">
        <v>6.64</v>
      </c>
      <c r="AP206" s="29">
        <v>7.09</v>
      </c>
      <c r="AQ206" s="29">
        <v>168.82</v>
      </c>
      <c r="AR206" s="29">
        <v>194.84</v>
      </c>
      <c r="BH206" s="29">
        <v>1091.6</v>
      </c>
      <c r="BI206" s="29">
        <v>57.22</v>
      </c>
      <c r="BK206" s="29">
        <v>354.56</v>
      </c>
      <c r="BL206" s="29">
        <v>334.64</v>
      </c>
      <c r="BM206" s="29">
        <v>345.0</v>
      </c>
      <c r="BO206" s="29">
        <v>198.04</v>
      </c>
      <c r="BP206" s="29">
        <v>205.63</v>
      </c>
      <c r="BQ206" s="29">
        <v>188.91</v>
      </c>
      <c r="BR206" s="29">
        <v>181.43</v>
      </c>
      <c r="BY206" s="29">
        <v>52.0</v>
      </c>
      <c r="BZ206" s="29">
        <v>41.9</v>
      </c>
      <c r="CA206" s="29">
        <v>45.2</v>
      </c>
      <c r="CD206" s="29">
        <v>32.0</v>
      </c>
      <c r="CE206" s="29">
        <v>44.23</v>
      </c>
      <c r="CI206" s="29">
        <v>3447.0</v>
      </c>
      <c r="CJ206" s="27" t="inlineStr">
        <is>
          <t xml:space="preserve">mai/26</t>
        </is>
      </c>
    </row>
    <row r="207">
      <c r="A207" s="28">
        <v>46092</v>
      </c>
      <c r="B207" s="29">
        <v>1210.08</v>
      </c>
      <c r="C207" s="29">
        <v>3251.73</v>
      </c>
      <c r="D207" s="29">
        <v>7.05</v>
      </c>
      <c r="E207" s="29">
        <v>6.96</v>
      </c>
      <c r="F207" s="29">
        <v>1872.75</v>
      </c>
      <c r="G207" s="29">
        <v>998.97</v>
      </c>
      <c r="H207" s="29">
        <v>379.35</v>
      </c>
      <c r="I207" s="27" t="inlineStr">
        <is>
          <t xml:space="preserve">mai/26</t>
        </is>
      </c>
      <c r="J207" s="29">
        <v>183969.35</v>
      </c>
      <c r="K207" s="30">
        <v>5183.5</v>
      </c>
      <c r="L207" s="27" t="inlineStr">
        <is>
          <t xml:space="preserve">abr/26</t>
        </is>
      </c>
      <c r="M207" s="29">
        <v>346.4</v>
      </c>
      <c r="N207" s="27" t="inlineStr">
        <is>
          <t xml:space="preserve">abr/26</t>
        </is>
      </c>
      <c r="O207" s="29">
        <v>75.82</v>
      </c>
      <c r="P207" s="27" t="inlineStr">
        <is>
          <t xml:space="preserve">mai/26</t>
        </is>
      </c>
      <c r="Q207" s="29">
        <v>26.73</v>
      </c>
      <c r="R207" s="27" t="inlineStr">
        <is>
          <t xml:space="preserve">mai/26</t>
        </is>
      </c>
      <c r="S207" s="30">
        <v>12.14</v>
      </c>
      <c r="T207" s="27" t="inlineStr">
        <is>
          <t xml:space="preserve">mai/26</t>
        </is>
      </c>
      <c r="U207" s="30">
        <v>4.6025</v>
      </c>
      <c r="V207" s="27" t="inlineStr">
        <is>
          <t xml:space="preserve">mai/26</t>
        </is>
      </c>
      <c r="W207" s="29">
        <v>315.4</v>
      </c>
      <c r="X207" s="27" t="inlineStr">
        <is>
          <t xml:space="preserve">mai/26</t>
        </is>
      </c>
      <c r="Y207" s="30">
        <v>0.6716</v>
      </c>
      <c r="Z207" s="27" t="inlineStr">
        <is>
          <t xml:space="preserve">mai/26</t>
        </is>
      </c>
      <c r="AA207" s="29">
        <v>352.83</v>
      </c>
      <c r="AB207" s="29">
        <v>97.28</v>
      </c>
      <c r="AC207" s="29">
        <v>345.89</v>
      </c>
      <c r="AD207" s="29">
        <v>331.63</v>
      </c>
      <c r="AE207" s="29">
        <v>326.64</v>
      </c>
      <c r="AF207" s="29">
        <v>323.66</v>
      </c>
      <c r="AG207" s="29">
        <v>329.96</v>
      </c>
      <c r="AH207" s="29">
        <v>320.3</v>
      </c>
      <c r="AI207" s="29">
        <v>337.39</v>
      </c>
      <c r="AJ207" s="29">
        <v>304.53</v>
      </c>
      <c r="AK207" s="29">
        <v>313.6</v>
      </c>
      <c r="AL207" s="29">
        <v>6.76</v>
      </c>
      <c r="AM207" s="29">
        <v>6.69</v>
      </c>
      <c r="AN207" s="29">
        <v>6.8</v>
      </c>
      <c r="AO207" s="29">
        <v>6.64</v>
      </c>
      <c r="AP207" s="29">
        <v>7.09</v>
      </c>
      <c r="AQ207" s="29">
        <v>168.81</v>
      </c>
      <c r="AR207" s="29">
        <v>194.84</v>
      </c>
      <c r="BH207" s="29">
        <v>1093.06</v>
      </c>
      <c r="BI207" s="29">
        <v>57.45</v>
      </c>
      <c r="BK207" s="29">
        <v>350.78</v>
      </c>
      <c r="BL207" s="29">
        <v>333.25</v>
      </c>
      <c r="BM207" s="29">
        <v>343.33</v>
      </c>
      <c r="BO207" s="29">
        <v>197.82</v>
      </c>
      <c r="BP207" s="29">
        <v>204.03</v>
      </c>
      <c r="BQ207" s="29">
        <v>188.4</v>
      </c>
      <c r="BX207" s="29">
        <v>47.5</v>
      </c>
      <c r="BY207" s="29">
        <v>52.0</v>
      </c>
      <c r="BZ207" s="29">
        <v>41.9</v>
      </c>
      <c r="CA207" s="29">
        <v>45.2</v>
      </c>
      <c r="CD207" s="29">
        <v>32.22</v>
      </c>
      <c r="CE207" s="29">
        <v>44.32</v>
      </c>
      <c r="CI207" s="29">
        <v>3429.0</v>
      </c>
      <c r="CJ207" s="27" t="inlineStr">
        <is>
          <t xml:space="preserve">mai/26</t>
        </is>
      </c>
    </row>
    <row r="208">
      <c r="A208" s="28">
        <v>46093</v>
      </c>
      <c r="B208" s="29">
        <v>1217.19</v>
      </c>
      <c r="C208" s="29">
        <v>3253.4</v>
      </c>
      <c r="D208" s="29">
        <v>7.05</v>
      </c>
      <c r="E208" s="29">
        <v>6.96</v>
      </c>
      <c r="F208" s="29">
        <v>1901.07</v>
      </c>
      <c r="G208" s="29">
        <v>1011.41</v>
      </c>
      <c r="H208" s="29">
        <v>382.05</v>
      </c>
      <c r="I208" s="27" t="inlineStr">
        <is>
          <t xml:space="preserve">mai/26</t>
        </is>
      </c>
      <c r="J208" s="29">
        <v>179284.49</v>
      </c>
      <c r="K208" s="30">
        <v>5281.5</v>
      </c>
      <c r="L208" s="27" t="inlineStr">
        <is>
          <t xml:space="preserve">abr/26</t>
        </is>
      </c>
      <c r="M208" s="29">
        <v>348.95</v>
      </c>
      <c r="N208" s="27" t="inlineStr">
        <is>
          <t xml:space="preserve">abr/26</t>
        </is>
      </c>
      <c r="O208" s="29">
        <v>75.2</v>
      </c>
      <c r="P208" s="27" t="inlineStr">
        <is>
          <t xml:space="preserve">mai/26</t>
        </is>
      </c>
      <c r="Q208" s="29">
        <v>27.04</v>
      </c>
      <c r="R208" s="27" t="inlineStr">
        <is>
          <t xml:space="preserve">mai/26</t>
        </is>
      </c>
      <c r="S208" s="30">
        <v>12.2725</v>
      </c>
      <c r="T208" s="27" t="inlineStr">
        <is>
          <t xml:space="preserve">mai/26</t>
        </is>
      </c>
      <c r="U208" s="30">
        <v>4.625</v>
      </c>
      <c r="V208" s="27" t="inlineStr">
        <is>
          <t xml:space="preserve">mai/26</t>
        </is>
      </c>
      <c r="W208" s="29">
        <v>320.2</v>
      </c>
      <c r="X208" s="27" t="inlineStr">
        <is>
          <t xml:space="preserve">mai/26</t>
        </is>
      </c>
      <c r="Y208" s="30">
        <v>0.6742</v>
      </c>
      <c r="Z208" s="27" t="inlineStr">
        <is>
          <t xml:space="preserve">mai/26</t>
        </is>
      </c>
      <c r="AA208" s="29">
        <v>361.32</v>
      </c>
      <c r="AB208" s="29">
        <v>95.79</v>
      </c>
      <c r="AC208" s="29">
        <v>345.69</v>
      </c>
      <c r="AD208" s="29">
        <v>332.05</v>
      </c>
      <c r="AE208" s="29">
        <v>327.54</v>
      </c>
      <c r="AF208" s="29">
        <v>323.44</v>
      </c>
      <c r="AG208" s="29">
        <v>330.01</v>
      </c>
      <c r="AH208" s="29">
        <v>320.1</v>
      </c>
      <c r="AI208" s="29">
        <v>340.15</v>
      </c>
      <c r="AJ208" s="29">
        <v>305.18</v>
      </c>
      <c r="AK208" s="29">
        <v>313.7</v>
      </c>
      <c r="AL208" s="29">
        <v>6.75</v>
      </c>
      <c r="AM208" s="29">
        <v>6.68</v>
      </c>
      <c r="AN208" s="29">
        <v>6.8</v>
      </c>
      <c r="AO208" s="29">
        <v>6.63</v>
      </c>
      <c r="AP208" s="29">
        <v>7.09</v>
      </c>
      <c r="AQ208" s="29">
        <v>168.87</v>
      </c>
      <c r="AR208" s="29">
        <v>195.36</v>
      </c>
      <c r="BH208" s="29">
        <v>1093.06</v>
      </c>
      <c r="BI208" s="29">
        <v>57.97</v>
      </c>
      <c r="BK208" s="29">
        <v>354.73</v>
      </c>
      <c r="BL208" s="29">
        <v>332.35</v>
      </c>
      <c r="BM208" s="29">
        <v>341.25</v>
      </c>
      <c r="BO208" s="29">
        <v>197.5</v>
      </c>
      <c r="BP208" s="29">
        <v>204.03</v>
      </c>
      <c r="BQ208" s="29">
        <v>185.53</v>
      </c>
      <c r="BX208" s="29">
        <v>47.5</v>
      </c>
      <c r="BY208" s="29">
        <v>52.0</v>
      </c>
      <c r="BZ208" s="29">
        <v>41.9</v>
      </c>
      <c r="CA208" s="29">
        <v>46.0</v>
      </c>
      <c r="CD208" s="29">
        <v>33.33</v>
      </c>
      <c r="CE208" s="29">
        <v>43.87</v>
      </c>
      <c r="CI208" s="29">
        <v>3315.0</v>
      </c>
      <c r="CJ208" s="27" t="inlineStr">
        <is>
          <t xml:space="preserve">mai/26</t>
        </is>
      </c>
    </row>
    <row r="209">
      <c r="A209" s="28">
        <v>46094</v>
      </c>
      <c r="B209" s="29">
        <v>1219.92</v>
      </c>
      <c r="C209" s="29">
        <v>3257.48</v>
      </c>
      <c r="D209" s="29">
        <v>7.03</v>
      </c>
      <c r="E209" s="29">
        <v>6.96</v>
      </c>
      <c r="F209" s="29">
        <v>1878.47</v>
      </c>
      <c r="G209" s="29">
        <v>1000.05</v>
      </c>
      <c r="H209" s="29">
        <v>383.95</v>
      </c>
      <c r="I209" s="27" t="inlineStr">
        <is>
          <t xml:space="preserve">mai/26</t>
        </is>
      </c>
      <c r="J209" s="29">
        <v>177653.31</v>
      </c>
      <c r="K209" s="30">
        <v>5353.5</v>
      </c>
      <c r="L209" s="27" t="inlineStr">
        <is>
          <t xml:space="preserve">abr/26</t>
        </is>
      </c>
      <c r="M209" s="29">
        <v>345.55</v>
      </c>
      <c r="N209" s="27" t="inlineStr">
        <is>
          <t xml:space="preserve">abr/26</t>
        </is>
      </c>
      <c r="O209" s="29">
        <v>75.29</v>
      </c>
      <c r="P209" s="27" t="inlineStr">
        <is>
          <t xml:space="preserve">mai/26</t>
        </is>
      </c>
      <c r="Q209" s="29">
        <v>27.0</v>
      </c>
      <c r="R209" s="27" t="inlineStr">
        <is>
          <t xml:space="preserve">mai/26</t>
        </is>
      </c>
      <c r="S209" s="30">
        <v>12.2525</v>
      </c>
      <c r="T209" s="27" t="inlineStr">
        <is>
          <t xml:space="preserve">mai/26</t>
        </is>
      </c>
      <c r="U209" s="30">
        <v>4.6725</v>
      </c>
      <c r="V209" s="27" t="inlineStr">
        <is>
          <t xml:space="preserve">mai/26</t>
        </is>
      </c>
      <c r="W209" s="29">
        <v>322.7</v>
      </c>
      <c r="X209" s="27" t="inlineStr">
        <is>
          <t xml:space="preserve">mai/26</t>
        </is>
      </c>
      <c r="Y209" s="30">
        <v>0.6744</v>
      </c>
      <c r="Z209" s="27" t="inlineStr">
        <is>
          <t xml:space="preserve">mai/26</t>
        </is>
      </c>
      <c r="AA209" s="29">
        <v>364.34</v>
      </c>
      <c r="AB209" s="29">
        <v>97.24</v>
      </c>
      <c r="AC209" s="29">
        <v>346.51</v>
      </c>
      <c r="AD209" s="29">
        <v>333.11</v>
      </c>
      <c r="AE209" s="29">
        <v>327.17</v>
      </c>
      <c r="AF209" s="29">
        <v>324.99</v>
      </c>
      <c r="AG209" s="29">
        <v>329.43</v>
      </c>
      <c r="AH209" s="29">
        <v>320.64</v>
      </c>
      <c r="AI209" s="29">
        <v>340.47</v>
      </c>
      <c r="AJ209" s="29">
        <v>305.6</v>
      </c>
      <c r="AK209" s="29">
        <v>316.72</v>
      </c>
      <c r="AL209" s="29">
        <v>6.76</v>
      </c>
      <c r="AM209" s="29">
        <v>6.68</v>
      </c>
      <c r="AN209" s="29">
        <v>6.8</v>
      </c>
      <c r="AO209" s="29">
        <v>6.65</v>
      </c>
      <c r="AP209" s="29">
        <v>7.07</v>
      </c>
      <c r="AQ209" s="29">
        <v>173.72</v>
      </c>
      <c r="AR209" s="29">
        <v>201.21</v>
      </c>
      <c r="BC209" s="29">
        <v>9.74</v>
      </c>
      <c r="BD209" s="29">
        <v>9.74</v>
      </c>
      <c r="BE209" s="29">
        <v>10.39</v>
      </c>
      <c r="BF209" s="29">
        <v>8.88</v>
      </c>
      <c r="BG209" s="29">
        <v>10.08</v>
      </c>
      <c r="BH209" s="29">
        <v>1093.06</v>
      </c>
      <c r="BI209" s="29">
        <v>58.45</v>
      </c>
      <c r="BK209" s="29">
        <v>352.87</v>
      </c>
      <c r="BL209" s="29">
        <v>332.35</v>
      </c>
      <c r="BM209" s="29">
        <v>340.0</v>
      </c>
      <c r="BO209" s="29">
        <v>197.78</v>
      </c>
      <c r="BP209" s="29">
        <v>204.03</v>
      </c>
      <c r="BQ209" s="29">
        <v>184.82</v>
      </c>
      <c r="BS209" s="30">
        <v>2.9439</v>
      </c>
      <c r="BT209" s="30">
        <v>3.2731</v>
      </c>
      <c r="BU209" s="29">
        <v>512.51</v>
      </c>
      <c r="BV209" s="29">
        <v>466.62</v>
      </c>
      <c r="BW209" s="29">
        <v>507.81</v>
      </c>
      <c r="BX209" s="29">
        <v>46.5</v>
      </c>
      <c r="BY209" s="29">
        <v>52.0</v>
      </c>
      <c r="BZ209" s="29">
        <v>42.33</v>
      </c>
      <c r="CA209" s="29">
        <v>46.8</v>
      </c>
      <c r="CD209" s="29">
        <v>32.86</v>
      </c>
      <c r="CE209" s="29">
        <v>43.47</v>
      </c>
      <c r="CI209" s="29">
        <v>3297.0</v>
      </c>
      <c r="CJ209" s="27" t="inlineStr">
        <is>
          <t xml:space="preserve">mai/26</t>
        </is>
      </c>
    </row>
    <row r="210">
      <c r="A210" s="28">
        <v>46097</v>
      </c>
      <c r="B210" s="29">
        <v>1223.46</v>
      </c>
      <c r="C210" s="29">
        <v>3256.1</v>
      </c>
      <c r="D210" s="29">
        <v>7.03</v>
      </c>
      <c r="E210" s="29">
        <v>6.96</v>
      </c>
      <c r="F210" s="29">
        <v>1908.03</v>
      </c>
      <c r="G210" s="29">
        <v>994.04</v>
      </c>
      <c r="H210" s="29">
        <v>386.25</v>
      </c>
      <c r="I210" s="27" t="inlineStr">
        <is>
          <t xml:space="preserve">mai/26</t>
        </is>
      </c>
      <c r="J210" s="29">
        <v>179875.44</v>
      </c>
      <c r="K210" s="30">
        <v>5253.0</v>
      </c>
      <c r="L210" s="27" t="inlineStr">
        <is>
          <t xml:space="preserve">abr/26</t>
        </is>
      </c>
      <c r="M210" s="29">
        <v>348.7</v>
      </c>
      <c r="N210" s="27" t="inlineStr">
        <is>
          <t xml:space="preserve">abr/26</t>
        </is>
      </c>
      <c r="O210" s="29">
        <v>72.37</v>
      </c>
      <c r="P210" s="27" t="inlineStr">
        <is>
          <t xml:space="preserve">mai/26</t>
        </is>
      </c>
      <c r="Q210" s="29">
        <v>25.48</v>
      </c>
      <c r="R210" s="27" t="inlineStr">
        <is>
          <t xml:space="preserve">mai/26</t>
        </is>
      </c>
      <c r="S210" s="30">
        <v>11.5525</v>
      </c>
      <c r="T210" s="27" t="inlineStr">
        <is>
          <t xml:space="preserve">mai/26</t>
        </is>
      </c>
      <c r="U210" s="30">
        <v>4.54</v>
      </c>
      <c r="V210" s="27" t="inlineStr">
        <is>
          <t xml:space="preserve">mai/26</t>
        </is>
      </c>
      <c r="W210" s="29">
        <v>312.2</v>
      </c>
      <c r="X210" s="27" t="inlineStr">
        <is>
          <t xml:space="preserve">mai/26</t>
        </is>
      </c>
      <c r="Y210" s="30">
        <v>0.6394</v>
      </c>
      <c r="Z210" s="27" t="inlineStr">
        <is>
          <t xml:space="preserve">mai/26</t>
        </is>
      </c>
      <c r="AA210" s="29">
        <v>365.01</v>
      </c>
      <c r="AB210" s="29">
        <v>97.62</v>
      </c>
      <c r="AC210" s="29">
        <v>344.85</v>
      </c>
      <c r="AD210" s="29">
        <v>333.99</v>
      </c>
      <c r="AE210" s="29">
        <v>327.68</v>
      </c>
      <c r="AF210" s="29">
        <v>325.38</v>
      </c>
      <c r="AG210" s="29">
        <v>329.99</v>
      </c>
      <c r="AH210" s="29">
        <v>321.16</v>
      </c>
      <c r="AI210" s="29">
        <v>342.1</v>
      </c>
      <c r="AJ210" s="29">
        <v>307.76</v>
      </c>
      <c r="AK210" s="29">
        <v>314.6</v>
      </c>
      <c r="AL210" s="29">
        <v>6.76</v>
      </c>
      <c r="AM210" s="29">
        <v>6.68</v>
      </c>
      <c r="AN210" s="29">
        <v>6.8</v>
      </c>
      <c r="AO210" s="29">
        <v>6.66</v>
      </c>
      <c r="AP210" s="29">
        <v>7.04</v>
      </c>
      <c r="AQ210" s="29">
        <v>173.72</v>
      </c>
      <c r="AR210" s="29">
        <v>201.21</v>
      </c>
      <c r="BH210" s="29">
        <v>1091.17</v>
      </c>
      <c r="BI210" s="29">
        <v>58.48</v>
      </c>
      <c r="BK210" s="29">
        <v>352.83</v>
      </c>
      <c r="BL210" s="29">
        <v>329.53</v>
      </c>
      <c r="BM210" s="29">
        <v>340.0</v>
      </c>
      <c r="BO210" s="29">
        <v>196.51</v>
      </c>
      <c r="BP210" s="29">
        <v>203.84</v>
      </c>
      <c r="BQ210" s="29">
        <v>184.58</v>
      </c>
      <c r="BR210" s="29">
        <v>170.0</v>
      </c>
      <c r="BY210" s="29">
        <v>52.0</v>
      </c>
      <c r="BZ210" s="29">
        <v>42.33</v>
      </c>
      <c r="CA210" s="29">
        <v>46.8</v>
      </c>
      <c r="CD210" s="29">
        <v>31.0</v>
      </c>
      <c r="CE210" s="29">
        <v>43.33</v>
      </c>
      <c r="CI210" s="29">
        <v>3418.0</v>
      </c>
      <c r="CJ210" s="27" t="inlineStr">
        <is>
          <t xml:space="preserve">mai/26</t>
        </is>
      </c>
    </row>
    <row r="211">
      <c r="A211" s="28">
        <v>46098</v>
      </c>
      <c r="B211" s="29">
        <v>1224.33</v>
      </c>
      <c r="C211" s="29">
        <v>3253.44</v>
      </c>
      <c r="D211" s="29">
        <v>7.0</v>
      </c>
      <c r="E211" s="29">
        <v>6.97</v>
      </c>
      <c r="F211" s="29">
        <v>1927.15</v>
      </c>
      <c r="G211" s="29">
        <v>989.6</v>
      </c>
      <c r="H211" s="29">
        <v>386.6</v>
      </c>
      <c r="I211" s="27" t="inlineStr">
        <is>
          <t xml:space="preserve">mai/26</t>
        </is>
      </c>
      <c r="J211" s="29">
        <v>180409.73</v>
      </c>
      <c r="K211" s="30">
        <v>5215.0</v>
      </c>
      <c r="L211" s="27" t="inlineStr">
        <is>
          <t xml:space="preserve">abr/26</t>
        </is>
      </c>
      <c r="M211" s="29">
        <v>344.9</v>
      </c>
      <c r="N211" s="27" t="inlineStr">
        <is>
          <t xml:space="preserve">abr/26</t>
        </is>
      </c>
      <c r="O211" s="29">
        <v>72.13</v>
      </c>
      <c r="P211" s="27" t="inlineStr">
        <is>
          <t xml:space="preserve">mai/26</t>
        </is>
      </c>
      <c r="Q211" s="29">
        <v>25.47</v>
      </c>
      <c r="R211" s="27" t="inlineStr">
        <is>
          <t xml:space="preserve">mai/26</t>
        </is>
      </c>
      <c r="S211" s="30">
        <v>11.57</v>
      </c>
      <c r="T211" s="27" t="inlineStr">
        <is>
          <t xml:space="preserve">mai/26</t>
        </is>
      </c>
      <c r="U211" s="30">
        <v>4.54</v>
      </c>
      <c r="V211" s="27" t="inlineStr">
        <is>
          <t xml:space="preserve">mai/26</t>
        </is>
      </c>
      <c r="W211" s="29">
        <v>311.7</v>
      </c>
      <c r="X211" s="27" t="inlineStr">
        <is>
          <t xml:space="preserve">mai/26</t>
        </is>
      </c>
      <c r="Y211" s="30">
        <v>0.6597</v>
      </c>
      <c r="Z211" s="27" t="inlineStr">
        <is>
          <t xml:space="preserve">mai/26</t>
        </is>
      </c>
      <c r="AA211" s="29">
        <v>366.09</v>
      </c>
      <c r="AB211" s="29">
        <v>97.11</v>
      </c>
      <c r="AC211" s="29">
        <v>347.59</v>
      </c>
      <c r="AD211" s="29">
        <v>335.91</v>
      </c>
      <c r="AE211" s="29">
        <v>329.93</v>
      </c>
      <c r="AF211" s="29">
        <v>325.7</v>
      </c>
      <c r="AG211" s="29">
        <v>330.57</v>
      </c>
      <c r="AH211" s="29">
        <v>320.41</v>
      </c>
      <c r="AI211" s="29">
        <v>342.46</v>
      </c>
      <c r="AJ211" s="29">
        <v>310.2</v>
      </c>
      <c r="AK211" s="29">
        <v>313.93</v>
      </c>
      <c r="AL211" s="29">
        <v>6.76</v>
      </c>
      <c r="AM211" s="29">
        <v>6.65</v>
      </c>
      <c r="AN211" s="29">
        <v>6.81</v>
      </c>
      <c r="AO211" s="29">
        <v>6.65</v>
      </c>
      <c r="AP211" s="29">
        <v>7.01</v>
      </c>
      <c r="AQ211" s="29">
        <v>174.02</v>
      </c>
      <c r="AR211" s="29">
        <v>201.78</v>
      </c>
      <c r="BH211" s="29">
        <v>1090.6</v>
      </c>
      <c r="BI211" s="29">
        <v>58.58</v>
      </c>
      <c r="BK211" s="29">
        <v>349.48</v>
      </c>
      <c r="BL211" s="29">
        <v>322.63</v>
      </c>
      <c r="BM211" s="29">
        <v>347.0</v>
      </c>
      <c r="BO211" s="29">
        <v>197.02</v>
      </c>
      <c r="BP211" s="29">
        <v>203.84</v>
      </c>
      <c r="BQ211" s="29">
        <v>184.13</v>
      </c>
      <c r="BR211" s="29">
        <v>166.0</v>
      </c>
      <c r="BX211" s="29">
        <v>47.5</v>
      </c>
      <c r="BY211" s="29">
        <v>52.0</v>
      </c>
      <c r="BZ211" s="29">
        <v>42.33</v>
      </c>
      <c r="CA211" s="29">
        <v>46.8</v>
      </c>
      <c r="CD211" s="29">
        <v>31.11</v>
      </c>
      <c r="CE211" s="29">
        <v>42.76</v>
      </c>
      <c r="CI211" s="29">
        <v>3349.0</v>
      </c>
      <c r="CJ211" s="27" t="inlineStr">
        <is>
          <t xml:space="preserve">mai/26</t>
        </is>
      </c>
    </row>
    <row r="212">
      <c r="A212" s="28">
        <v>46099</v>
      </c>
      <c r="B212" s="29">
        <v>1249.19</v>
      </c>
      <c r="C212" s="29">
        <v>3258.37</v>
      </c>
      <c r="D212" s="29">
        <v>6.81</v>
      </c>
      <c r="E212" s="29">
        <v>6.98</v>
      </c>
      <c r="F212" s="29">
        <v>1917.02</v>
      </c>
      <c r="G212" s="29">
        <v>995.85</v>
      </c>
      <c r="H212" s="29">
        <v>382.0</v>
      </c>
      <c r="I212" s="27" t="inlineStr">
        <is>
          <t xml:space="preserve">mai/26</t>
        </is>
      </c>
      <c r="J212" s="29">
        <v>179639.91</v>
      </c>
      <c r="K212" s="30">
        <v>5264.5</v>
      </c>
      <c r="L212" s="27" t="inlineStr">
        <is>
          <t xml:space="preserve">abr/26</t>
        </is>
      </c>
      <c r="M212" s="29">
        <v>347.3</v>
      </c>
      <c r="N212" s="27" t="inlineStr">
        <is>
          <t xml:space="preserve">abr/26</t>
        </is>
      </c>
      <c r="O212" s="29">
        <v>72.5</v>
      </c>
      <c r="P212" s="27" t="inlineStr">
        <is>
          <t xml:space="preserve">mai/26</t>
        </is>
      </c>
      <c r="Q212" s="29">
        <v>25.64</v>
      </c>
      <c r="R212" s="27" t="inlineStr">
        <is>
          <t xml:space="preserve">mai/26</t>
        </is>
      </c>
      <c r="S212" s="30">
        <v>11.6175</v>
      </c>
      <c r="T212" s="27" t="inlineStr">
        <is>
          <t xml:space="preserve">mai/26</t>
        </is>
      </c>
      <c r="U212" s="30">
        <v>4.6325</v>
      </c>
      <c r="V212" s="27" t="inlineStr">
        <is>
          <t xml:space="preserve">mai/26</t>
        </is>
      </c>
      <c r="W212" s="29">
        <v>321.7</v>
      </c>
      <c r="X212" s="27" t="inlineStr">
        <is>
          <t xml:space="preserve">mai/26</t>
        </is>
      </c>
      <c r="Y212" s="30">
        <v>0.6553</v>
      </c>
      <c r="Z212" s="27" t="inlineStr">
        <is>
          <t xml:space="preserve">mai/26</t>
        </is>
      </c>
      <c r="AA212" s="29">
        <v>371.12</v>
      </c>
      <c r="AB212" s="29">
        <v>98.16</v>
      </c>
      <c r="AC212" s="29">
        <v>348.39</v>
      </c>
      <c r="AD212" s="29">
        <v>336.63</v>
      </c>
      <c r="AE212" s="29">
        <v>330.89</v>
      </c>
      <c r="AF212" s="29">
        <v>326.53</v>
      </c>
      <c r="AG212" s="29">
        <v>330.46</v>
      </c>
      <c r="AH212" s="29">
        <v>322.09</v>
      </c>
      <c r="AI212" s="29">
        <v>342.73</v>
      </c>
      <c r="AJ212" s="29">
        <v>310.33</v>
      </c>
      <c r="AK212" s="29">
        <v>315.94</v>
      </c>
      <c r="AL212" s="29">
        <v>6.76</v>
      </c>
      <c r="AM212" s="29">
        <v>6.65</v>
      </c>
      <c r="AN212" s="29">
        <v>6.79</v>
      </c>
      <c r="AO212" s="29">
        <v>6.64</v>
      </c>
      <c r="AP212" s="29">
        <v>6.87</v>
      </c>
      <c r="AQ212" s="29">
        <v>174.02</v>
      </c>
      <c r="AR212" s="29">
        <v>201.78</v>
      </c>
      <c r="BH212" s="29">
        <v>1089.9</v>
      </c>
      <c r="BI212" s="29">
        <v>59.02</v>
      </c>
      <c r="BK212" s="29">
        <v>349.32</v>
      </c>
      <c r="BL212" s="29">
        <v>322.63</v>
      </c>
      <c r="BM212" s="29">
        <v>347.0</v>
      </c>
      <c r="BO212" s="29">
        <v>195.8</v>
      </c>
      <c r="BP212" s="29">
        <v>202.19</v>
      </c>
      <c r="BQ212" s="29">
        <v>181.45</v>
      </c>
      <c r="BR212" s="29">
        <v>166.0</v>
      </c>
      <c r="BX212" s="29">
        <v>47.5</v>
      </c>
      <c r="BY212" s="29">
        <v>52.0</v>
      </c>
      <c r="BZ212" s="29">
        <v>42.33</v>
      </c>
      <c r="CA212" s="29">
        <v>46.8</v>
      </c>
      <c r="CD212" s="29">
        <v>30.91</v>
      </c>
      <c r="CE212" s="29">
        <v>43.7</v>
      </c>
      <c r="CI212" s="29">
        <v>3260.0</v>
      </c>
      <c r="CJ212" s="27" t="inlineStr">
        <is>
          <t xml:space="preserve">mai/26</t>
        </is>
      </c>
    </row>
    <row r="213">
      <c r="A213" s="28">
        <v>46100</v>
      </c>
      <c r="B213" s="29">
        <v>1251.18</v>
      </c>
      <c r="C213" s="29">
        <v>3264.36</v>
      </c>
      <c r="D213" s="29">
        <v>6.81</v>
      </c>
      <c r="E213" s="29">
        <v>6.98</v>
      </c>
      <c r="F213" s="29">
        <v>1924.51</v>
      </c>
      <c r="G213" s="29">
        <v>1005.22</v>
      </c>
      <c r="H213" s="29">
        <v>394.05</v>
      </c>
      <c r="I213" s="27" t="inlineStr">
        <is>
          <t xml:space="preserve">mai/26</t>
        </is>
      </c>
      <c r="J213" s="29">
        <v>180270.62</v>
      </c>
      <c r="K213" s="30">
        <v>5238.0</v>
      </c>
      <c r="L213" s="27" t="inlineStr">
        <is>
          <t xml:space="preserve">abr/26</t>
        </is>
      </c>
      <c r="M213" s="29">
        <v>350.9</v>
      </c>
      <c r="N213" s="27" t="inlineStr">
        <is>
          <t xml:space="preserve">abr/26</t>
        </is>
      </c>
      <c r="O213" s="29">
        <v>72.01</v>
      </c>
      <c r="P213" s="27" t="inlineStr">
        <is>
          <t xml:space="preserve">mai/26</t>
        </is>
      </c>
      <c r="Q213" s="29">
        <v>25.73</v>
      </c>
      <c r="R213" s="27" t="inlineStr">
        <is>
          <t xml:space="preserve">mai/26</t>
        </is>
      </c>
      <c r="S213" s="30">
        <v>11.685</v>
      </c>
      <c r="T213" s="27" t="inlineStr">
        <is>
          <t xml:space="preserve">mai/26</t>
        </is>
      </c>
      <c r="U213" s="30">
        <v>4.6975</v>
      </c>
      <c r="V213" s="27" t="inlineStr">
        <is>
          <t xml:space="preserve">mai/26</t>
        </is>
      </c>
      <c r="W213" s="29">
        <v>332.5</v>
      </c>
      <c r="X213" s="27" t="inlineStr">
        <is>
          <t xml:space="preserve">mai/26</t>
        </is>
      </c>
      <c r="Y213" s="30">
        <v>0.6541</v>
      </c>
      <c r="Z213" s="27" t="inlineStr">
        <is>
          <t xml:space="preserve">mai/26</t>
        </is>
      </c>
      <c r="AA213" s="29">
        <v>371.79</v>
      </c>
      <c r="AB213" s="29">
        <v>100.51</v>
      </c>
      <c r="AC213" s="29">
        <v>349.5</v>
      </c>
      <c r="AD213" s="29">
        <v>338.07</v>
      </c>
      <c r="AE213" s="29">
        <v>330.75</v>
      </c>
      <c r="AF213" s="29">
        <v>327.2</v>
      </c>
      <c r="AG213" s="29">
        <v>331.43</v>
      </c>
      <c r="AH213" s="29">
        <v>322.64</v>
      </c>
      <c r="AI213" s="29">
        <v>344.47</v>
      </c>
      <c r="AJ213" s="29">
        <v>311.08</v>
      </c>
      <c r="AK213" s="29">
        <v>314.72</v>
      </c>
      <c r="AL213" s="29">
        <v>6.75</v>
      </c>
      <c r="AM213" s="29">
        <v>6.63</v>
      </c>
      <c r="AN213" s="29">
        <v>6.79</v>
      </c>
      <c r="AO213" s="29">
        <v>6.65</v>
      </c>
      <c r="AP213" s="29">
        <v>6.87</v>
      </c>
      <c r="AQ213" s="29">
        <v>174.02</v>
      </c>
      <c r="AR213" s="29">
        <v>201.78</v>
      </c>
      <c r="BH213" s="29">
        <v>1101.12</v>
      </c>
      <c r="BI213" s="29">
        <v>59.54</v>
      </c>
      <c r="BK213" s="29">
        <v>352.28</v>
      </c>
      <c r="BL213" s="29">
        <v>322.63</v>
      </c>
      <c r="BM213" s="29">
        <v>347.0</v>
      </c>
      <c r="BO213" s="29">
        <v>195.14</v>
      </c>
      <c r="BP213" s="29">
        <v>202.19</v>
      </c>
      <c r="BQ213" s="29">
        <v>179.61</v>
      </c>
      <c r="BR213" s="29">
        <v>166.0</v>
      </c>
      <c r="BX213" s="29">
        <v>47.5</v>
      </c>
      <c r="BY213" s="29">
        <v>52.0</v>
      </c>
      <c r="BZ213" s="29">
        <v>42.5</v>
      </c>
      <c r="CA213" s="29">
        <v>46.8</v>
      </c>
      <c r="CD213" s="29">
        <v>30.71</v>
      </c>
      <c r="CE213" s="29">
        <v>43.82</v>
      </c>
      <c r="CI213" s="29">
        <v>3331.0</v>
      </c>
      <c r="CJ213" s="27" t="inlineStr">
        <is>
          <t xml:space="preserve">mai/26</t>
        </is>
      </c>
    </row>
    <row r="214">
      <c r="A214" s="28">
        <v>46101</v>
      </c>
      <c r="B214" s="29">
        <v>1251.47</v>
      </c>
      <c r="C214" s="29">
        <v>3266.08</v>
      </c>
      <c r="D214" s="29">
        <v>6.81</v>
      </c>
      <c r="E214" s="29">
        <v>6.97</v>
      </c>
      <c r="F214" s="29">
        <v>1962.67</v>
      </c>
      <c r="G214" s="29">
        <v>1014.04</v>
      </c>
      <c r="H214" s="29">
        <v>409.95</v>
      </c>
      <c r="I214" s="27" t="inlineStr">
        <is>
          <t xml:space="preserve">mai/26</t>
        </is>
      </c>
      <c r="J214" s="29">
        <v>176219.4</v>
      </c>
      <c r="K214" s="30">
        <v>5295.5</v>
      </c>
      <c r="L214" s="27" t="inlineStr">
        <is>
          <t xml:space="preserve">abr/26</t>
        </is>
      </c>
      <c r="M214" s="29">
        <v>355.45</v>
      </c>
      <c r="N214" s="27" t="inlineStr">
        <is>
          <t xml:space="preserve">abr/26</t>
        </is>
      </c>
      <c r="O214" s="29">
        <v>71.99</v>
      </c>
      <c r="P214" s="27" t="inlineStr">
        <is>
          <t xml:space="preserve">mai/26</t>
        </is>
      </c>
      <c r="Q214" s="29">
        <v>25.59</v>
      </c>
      <c r="R214" s="27" t="inlineStr">
        <is>
          <t xml:space="preserve">mai/26</t>
        </is>
      </c>
      <c r="S214" s="30">
        <v>11.6125</v>
      </c>
      <c r="T214" s="27" t="inlineStr">
        <is>
          <t xml:space="preserve">mai/26</t>
        </is>
      </c>
      <c r="U214" s="30">
        <v>4.655</v>
      </c>
      <c r="V214" s="27" t="inlineStr">
        <is>
          <t xml:space="preserve">mai/26</t>
        </is>
      </c>
      <c r="W214" s="29">
        <v>328.0</v>
      </c>
      <c r="X214" s="27" t="inlineStr">
        <is>
          <t xml:space="preserve">mai/26</t>
        </is>
      </c>
      <c r="Y214" s="30">
        <v>0.6551</v>
      </c>
      <c r="Z214" s="27" t="inlineStr">
        <is>
          <t xml:space="preserve">mai/26</t>
        </is>
      </c>
      <c r="AA214" s="29">
        <v>374.45</v>
      </c>
      <c r="AB214" s="29">
        <v>101.32</v>
      </c>
      <c r="AC214" s="29">
        <v>350.77</v>
      </c>
      <c r="AD214" s="29">
        <v>338.82</v>
      </c>
      <c r="AE214" s="29">
        <v>330.67</v>
      </c>
      <c r="AF214" s="29">
        <v>327.65</v>
      </c>
      <c r="AG214" s="29">
        <v>332.01</v>
      </c>
      <c r="AH214" s="29">
        <v>323.51</v>
      </c>
      <c r="AI214" s="29">
        <v>345.07</v>
      </c>
      <c r="AJ214" s="29">
        <v>312.23</v>
      </c>
      <c r="AK214" s="29">
        <v>318.36</v>
      </c>
      <c r="AL214" s="29">
        <v>6.75</v>
      </c>
      <c r="AM214" s="29">
        <v>6.63</v>
      </c>
      <c r="AN214" s="29">
        <v>6.85</v>
      </c>
      <c r="AO214" s="29">
        <v>6.65</v>
      </c>
      <c r="AP214" s="29">
        <v>6.87</v>
      </c>
      <c r="AQ214" s="29">
        <v>174.02</v>
      </c>
      <c r="AR214" s="29">
        <v>202.23</v>
      </c>
      <c r="BC214" s="29">
        <v>9.89</v>
      </c>
      <c r="BD214" s="29">
        <v>9.77</v>
      </c>
      <c r="BE214" s="29">
        <v>10.44</v>
      </c>
      <c r="BF214" s="29">
        <v>8.9</v>
      </c>
      <c r="BG214" s="29">
        <v>10.12</v>
      </c>
      <c r="BH214" s="29">
        <v>1107.94</v>
      </c>
      <c r="BI214" s="29">
        <v>60.0</v>
      </c>
      <c r="BK214" s="29">
        <v>351.8</v>
      </c>
      <c r="BL214" s="29">
        <v>324.5</v>
      </c>
      <c r="BM214" s="29">
        <v>345.0</v>
      </c>
      <c r="BO214" s="29">
        <v>195.87</v>
      </c>
      <c r="BP214" s="29">
        <v>203.16</v>
      </c>
      <c r="BQ214" s="29">
        <v>179.29</v>
      </c>
      <c r="BR214" s="29">
        <v>166.0</v>
      </c>
      <c r="BS214" s="30">
        <v>2.9609</v>
      </c>
      <c r="BT214" s="30">
        <v>3.3144</v>
      </c>
      <c r="BU214" s="29">
        <v>524.06</v>
      </c>
      <c r="BV214" s="29">
        <v>483.74</v>
      </c>
      <c r="BW214" s="29">
        <v>546.06</v>
      </c>
      <c r="BX214" s="29">
        <v>48.0</v>
      </c>
      <c r="BY214" s="29">
        <v>52.0</v>
      </c>
      <c r="BZ214" s="29">
        <v>42.5</v>
      </c>
      <c r="CA214" s="29">
        <v>46.8</v>
      </c>
      <c r="CD214" s="29">
        <v>30.77</v>
      </c>
      <c r="CE214" s="29">
        <v>44.35</v>
      </c>
      <c r="CI214" s="29">
        <v>3255.0</v>
      </c>
      <c r="CJ214" s="27" t="inlineStr">
        <is>
          <t xml:space="preserve">mai/26</t>
        </is>
      </c>
    </row>
    <row r="215">
      <c r="A215" s="28">
        <v>46104</v>
      </c>
      <c r="B215" s="29">
        <v>1251.49</v>
      </c>
      <c r="C215" s="29">
        <v>3273.13</v>
      </c>
      <c r="D215" s="29">
        <v>6.88</v>
      </c>
      <c r="E215" s="29">
        <v>6.94</v>
      </c>
      <c r="F215" s="29">
        <v>1963.83</v>
      </c>
      <c r="G215" s="29">
        <v>1012.93</v>
      </c>
      <c r="H215" s="29">
        <v>401.3</v>
      </c>
      <c r="I215" s="27" t="inlineStr">
        <is>
          <t xml:space="preserve">mai/26</t>
        </is>
      </c>
      <c r="J215" s="29">
        <v>181931.93</v>
      </c>
      <c r="K215" s="30">
        <v>5247.5</v>
      </c>
      <c r="L215" s="27" t="inlineStr">
        <is>
          <t xml:space="preserve">abr/26</t>
        </is>
      </c>
      <c r="M215" s="29">
        <v>358.55</v>
      </c>
      <c r="N215" s="27" t="inlineStr">
        <is>
          <t xml:space="preserve">abr/26</t>
        </is>
      </c>
      <c r="O215" s="29">
        <v>72.01</v>
      </c>
      <c r="P215" s="27" t="inlineStr">
        <is>
          <t xml:space="preserve">mai/26</t>
        </is>
      </c>
      <c r="Q215" s="29">
        <v>25.69</v>
      </c>
      <c r="R215" s="27" t="inlineStr">
        <is>
          <t xml:space="preserve">mai/26</t>
        </is>
      </c>
      <c r="S215" s="30">
        <v>11.635</v>
      </c>
      <c r="T215" s="27" t="inlineStr">
        <is>
          <t xml:space="preserve">mai/26</t>
        </is>
      </c>
      <c r="U215" s="30">
        <v>4.595</v>
      </c>
      <c r="V215" s="27" t="inlineStr">
        <is>
          <t xml:space="preserve">mai/26</t>
        </is>
      </c>
      <c r="W215" s="29">
        <v>326.6</v>
      </c>
      <c r="X215" s="27" t="inlineStr">
        <is>
          <t xml:space="preserve">mai/26</t>
        </is>
      </c>
      <c r="Y215" s="30">
        <v>0.6558</v>
      </c>
      <c r="Z215" s="27" t="inlineStr">
        <is>
          <t xml:space="preserve">mai/26</t>
        </is>
      </c>
      <c r="AA215" s="29">
        <v>370.08</v>
      </c>
      <c r="AB215" s="29">
        <v>100.77</v>
      </c>
      <c r="AC215" s="29">
        <v>350.58</v>
      </c>
      <c r="AD215" s="29">
        <v>338.74</v>
      </c>
      <c r="AE215" s="29">
        <v>333.17</v>
      </c>
      <c r="AF215" s="29">
        <v>330.45</v>
      </c>
      <c r="AG215" s="29">
        <v>331.62</v>
      </c>
      <c r="AH215" s="29">
        <v>325.3</v>
      </c>
      <c r="AI215" s="29">
        <v>345.52</v>
      </c>
      <c r="AJ215" s="29">
        <v>311.64</v>
      </c>
      <c r="AK215" s="29">
        <v>316.76</v>
      </c>
      <c r="AL215" s="29">
        <v>6.75</v>
      </c>
      <c r="AM215" s="29">
        <v>6.66</v>
      </c>
      <c r="AN215" s="29">
        <v>6.85</v>
      </c>
      <c r="AO215" s="29">
        <v>6.61</v>
      </c>
      <c r="AP215" s="29">
        <v>6.93</v>
      </c>
      <c r="AQ215" s="29">
        <v>174.02</v>
      </c>
      <c r="AR215" s="29">
        <v>201.69</v>
      </c>
      <c r="BH215" s="29">
        <v>1114.33</v>
      </c>
      <c r="BI215" s="29">
        <v>59.99</v>
      </c>
      <c r="BK215" s="29">
        <v>349.1</v>
      </c>
      <c r="BL215" s="29">
        <v>324.5</v>
      </c>
      <c r="BM215" s="29">
        <v>340.83</v>
      </c>
      <c r="BO215" s="29">
        <v>195.59</v>
      </c>
      <c r="BP215" s="29">
        <v>203.16</v>
      </c>
      <c r="BQ215" s="29">
        <v>174.57</v>
      </c>
      <c r="BR215" s="29">
        <v>166.0</v>
      </c>
      <c r="BX215" s="29">
        <v>48.0</v>
      </c>
      <c r="BY215" s="29">
        <v>52.0</v>
      </c>
      <c r="BZ215" s="29">
        <v>42.5</v>
      </c>
      <c r="CA215" s="29">
        <v>46.8</v>
      </c>
      <c r="CD215" s="29">
        <v>30.23</v>
      </c>
      <c r="CE215" s="29">
        <v>45.39</v>
      </c>
      <c r="CI215" s="29">
        <v>3180.0</v>
      </c>
      <c r="CJ215" s="27" t="inlineStr">
        <is>
          <t xml:space="preserve">mai/26</t>
        </is>
      </c>
    </row>
    <row r="216">
      <c r="A216" s="28">
        <v>46105</v>
      </c>
      <c r="B216" s="29">
        <v>1253.22</v>
      </c>
      <c r="C216" s="29">
        <v>3277.02</v>
      </c>
      <c r="D216" s="29">
        <v>6.88</v>
      </c>
      <c r="E216" s="29">
        <v>6.95</v>
      </c>
      <c r="F216" s="29">
        <v>1979.36</v>
      </c>
      <c r="G216" s="29">
        <v>1028.09</v>
      </c>
      <c r="H216" s="29">
        <v>418.0</v>
      </c>
      <c r="I216" s="27" t="inlineStr">
        <is>
          <t xml:space="preserve">mai/26</t>
        </is>
      </c>
      <c r="J216" s="29">
        <v>182509.14</v>
      </c>
      <c r="K216" s="30">
        <v>5242.5</v>
      </c>
      <c r="L216" s="27" t="inlineStr">
        <is>
          <t xml:space="preserve">abr/26</t>
        </is>
      </c>
      <c r="M216" s="29">
        <v>362.25</v>
      </c>
      <c r="N216" s="27" t="inlineStr">
        <is>
          <t xml:space="preserve">abr/26</t>
        </is>
      </c>
      <c r="O216" s="29">
        <v>71.91</v>
      </c>
      <c r="P216" s="27" t="inlineStr">
        <is>
          <t xml:space="preserve">mai/26</t>
        </is>
      </c>
      <c r="Q216" s="29">
        <v>25.45</v>
      </c>
      <c r="R216" s="27" t="inlineStr">
        <is>
          <t xml:space="preserve">mai/26</t>
        </is>
      </c>
      <c r="S216" s="30">
        <v>11.55</v>
      </c>
      <c r="T216" s="27" t="inlineStr">
        <is>
          <t xml:space="preserve">mai/26</t>
        </is>
      </c>
      <c r="U216" s="30">
        <v>4.625</v>
      </c>
      <c r="V216" s="27" t="inlineStr">
        <is>
          <t xml:space="preserve">mai/26</t>
        </is>
      </c>
      <c r="W216" s="29">
        <v>322.4</v>
      </c>
      <c r="X216" s="27" t="inlineStr">
        <is>
          <t xml:space="preserve">mai/26</t>
        </is>
      </c>
      <c r="Y216" s="30">
        <v>0.6573</v>
      </c>
      <c r="Z216" s="27" t="inlineStr">
        <is>
          <t xml:space="preserve">mai/26</t>
        </is>
      </c>
      <c r="AA216" s="29">
        <v>371.61</v>
      </c>
      <c r="AB216" s="29">
        <v>102.26</v>
      </c>
      <c r="AC216" s="29">
        <v>350.13</v>
      </c>
      <c r="AD216" s="29">
        <v>339.99</v>
      </c>
      <c r="AE216" s="29">
        <v>334.16</v>
      </c>
      <c r="AF216" s="29">
        <v>332.05</v>
      </c>
      <c r="AG216" s="29">
        <v>331.87</v>
      </c>
      <c r="AH216" s="29">
        <v>325.32</v>
      </c>
      <c r="AI216" s="29">
        <v>346.6</v>
      </c>
      <c r="AJ216" s="29">
        <v>313.25</v>
      </c>
      <c r="AK216" s="29">
        <v>315.81</v>
      </c>
      <c r="AL216" s="29">
        <v>6.76</v>
      </c>
      <c r="AM216" s="29">
        <v>6.65</v>
      </c>
      <c r="AN216" s="29">
        <v>6.84</v>
      </c>
      <c r="AO216" s="29">
        <v>6.59</v>
      </c>
      <c r="AP216" s="29">
        <v>6.93</v>
      </c>
      <c r="AQ216" s="29">
        <v>174.03</v>
      </c>
      <c r="AR216" s="29">
        <v>201.69</v>
      </c>
      <c r="BH216" s="29">
        <v>1114.33</v>
      </c>
      <c r="BI216" s="29">
        <v>61.52</v>
      </c>
      <c r="BK216" s="29">
        <v>344.26</v>
      </c>
      <c r="BL216" s="29">
        <v>322.6</v>
      </c>
      <c r="BM216" s="29">
        <v>338.33</v>
      </c>
      <c r="BO216" s="29">
        <v>195.56</v>
      </c>
      <c r="BP216" s="29">
        <v>203.79</v>
      </c>
      <c r="BQ216" s="29">
        <v>177.23</v>
      </c>
      <c r="BR216" s="29">
        <v>166.0</v>
      </c>
      <c r="BX216" s="29">
        <v>48.0</v>
      </c>
      <c r="BY216" s="29">
        <v>52.0</v>
      </c>
      <c r="BZ216" s="29">
        <v>42.5</v>
      </c>
      <c r="CA216" s="29">
        <v>46.8</v>
      </c>
      <c r="CD216" s="29">
        <v>30.21</v>
      </c>
      <c r="CE216" s="29">
        <v>44.93</v>
      </c>
      <c r="CI216" s="29">
        <v>3235.0</v>
      </c>
      <c r="CJ216" s="27" t="inlineStr">
        <is>
          <t xml:space="preserve">mai/26</t>
        </is>
      </c>
    </row>
    <row r="217">
      <c r="A217" s="28">
        <v>46106</v>
      </c>
      <c r="B217" s="29">
        <v>1268.54</v>
      </c>
      <c r="C217" s="29">
        <v>3278.85</v>
      </c>
      <c r="D217" s="29">
        <v>6.9</v>
      </c>
      <c r="E217" s="29">
        <v>6.93</v>
      </c>
      <c r="F217" s="29">
        <v>1977.91</v>
      </c>
      <c r="G217" s="29">
        <v>1026.26</v>
      </c>
      <c r="H217" s="29">
        <v>415.15</v>
      </c>
      <c r="I217" s="27" t="inlineStr">
        <is>
          <t xml:space="preserve">mai/26</t>
        </is>
      </c>
      <c r="J217" s="29">
        <v>185424.28</v>
      </c>
      <c r="K217" s="30">
        <v>5234.5</v>
      </c>
      <c r="L217" s="27" t="inlineStr">
        <is>
          <t xml:space="preserve">abr/26</t>
        </is>
      </c>
      <c r="M217" s="29">
        <v>366.1</v>
      </c>
      <c r="N217" s="27" t="inlineStr">
        <is>
          <t xml:space="preserve">abr/26</t>
        </is>
      </c>
      <c r="O217" s="29">
        <v>72.05</v>
      </c>
      <c r="P217" s="27" t="inlineStr">
        <is>
          <t xml:space="preserve">mai/26</t>
        </is>
      </c>
      <c r="Q217" s="29">
        <v>25.84</v>
      </c>
      <c r="R217" s="27" t="inlineStr">
        <is>
          <t xml:space="preserve">mai/26</t>
        </is>
      </c>
      <c r="S217" s="30">
        <v>11.7175</v>
      </c>
      <c r="T217" s="27" t="inlineStr">
        <is>
          <t xml:space="preserve">mai/26</t>
        </is>
      </c>
      <c r="U217" s="30">
        <v>4.6725</v>
      </c>
      <c r="V217" s="27" t="inlineStr">
        <is>
          <t xml:space="preserve">mai/26</t>
        </is>
      </c>
      <c r="W217" s="29">
        <v>319.8</v>
      </c>
      <c r="X217" s="27" t="inlineStr">
        <is>
          <t xml:space="preserve">mai/26</t>
        </is>
      </c>
      <c r="Y217" s="30">
        <v>0.671</v>
      </c>
      <c r="Z217" s="27" t="inlineStr">
        <is>
          <t xml:space="preserve">mai/26</t>
        </is>
      </c>
      <c r="AA217" s="29">
        <v>371.58</v>
      </c>
      <c r="AB217" s="29">
        <v>102.28</v>
      </c>
      <c r="AC217" s="29">
        <v>353.67</v>
      </c>
      <c r="AD217" s="29">
        <v>342.11</v>
      </c>
      <c r="AE217" s="29">
        <v>336.5</v>
      </c>
      <c r="AF217" s="29">
        <v>333.29</v>
      </c>
      <c r="AG217" s="29">
        <v>333.38</v>
      </c>
      <c r="AH217" s="29">
        <v>327.33</v>
      </c>
      <c r="AI217" s="29">
        <v>346.45</v>
      </c>
      <c r="AJ217" s="29">
        <v>314.24</v>
      </c>
      <c r="AK217" s="29">
        <v>322.13</v>
      </c>
      <c r="AL217" s="29">
        <v>6.73</v>
      </c>
      <c r="AM217" s="29">
        <v>6.63</v>
      </c>
      <c r="AN217" s="29">
        <v>6.74</v>
      </c>
      <c r="AO217" s="29">
        <v>6.51</v>
      </c>
      <c r="AP217" s="29">
        <v>6.92</v>
      </c>
      <c r="AQ217" s="29">
        <v>163.94</v>
      </c>
      <c r="AR217" s="29">
        <v>187.34</v>
      </c>
      <c r="BH217" s="29">
        <v>1126.03</v>
      </c>
      <c r="BI217" s="29">
        <v>61.89</v>
      </c>
      <c r="BK217" s="29">
        <v>343.88</v>
      </c>
      <c r="BL217" s="29">
        <v>318.92</v>
      </c>
      <c r="BM217" s="29">
        <v>342.5</v>
      </c>
      <c r="BO217" s="29">
        <v>195.62</v>
      </c>
      <c r="BP217" s="29">
        <v>197.99</v>
      </c>
      <c r="BQ217" s="29">
        <v>177.65</v>
      </c>
      <c r="BR217" s="29">
        <v>168.75</v>
      </c>
      <c r="BX217" s="29">
        <v>48.0</v>
      </c>
      <c r="BY217" s="29">
        <v>52.0</v>
      </c>
      <c r="BZ217" s="29">
        <v>42.5</v>
      </c>
      <c r="CA217" s="29">
        <v>46.8</v>
      </c>
      <c r="CD217" s="29">
        <v>30.25</v>
      </c>
      <c r="CE217" s="29">
        <v>43.36</v>
      </c>
      <c r="CI217" s="29">
        <v>3133.0</v>
      </c>
      <c r="CJ217" s="27" t="inlineStr">
        <is>
          <t xml:space="preserve">mai/26</t>
        </is>
      </c>
    </row>
    <row r="218">
      <c r="A218" s="28">
        <v>46107</v>
      </c>
      <c r="B218" s="29">
        <v>1272.01</v>
      </c>
      <c r="C218" s="29">
        <v>3274.3</v>
      </c>
      <c r="D218" s="29">
        <v>6.9</v>
      </c>
      <c r="E218" s="29">
        <v>6.96</v>
      </c>
      <c r="F218" s="29">
        <v>1968.47</v>
      </c>
      <c r="G218" s="29">
        <v>1017.1</v>
      </c>
      <c r="H218" s="29">
        <v>407.1</v>
      </c>
      <c r="I218" s="27" t="inlineStr">
        <is>
          <t xml:space="preserve">mai/26</t>
        </is>
      </c>
      <c r="J218" s="29">
        <v>182732.67</v>
      </c>
      <c r="K218" s="30">
        <v>5243.0</v>
      </c>
      <c r="L218" s="27" t="inlineStr">
        <is>
          <t xml:space="preserve">abr/26</t>
        </is>
      </c>
      <c r="M218" s="29">
        <v>365.0</v>
      </c>
      <c r="N218" s="27" t="inlineStr">
        <is>
          <t xml:space="preserve">abr/26</t>
        </is>
      </c>
      <c r="O218" s="29">
        <v>72.05</v>
      </c>
      <c r="P218" s="27" t="inlineStr">
        <is>
          <t xml:space="preserve">mai/26</t>
        </is>
      </c>
      <c r="Q218" s="29">
        <v>25.85</v>
      </c>
      <c r="R218" s="27" t="inlineStr">
        <is>
          <t xml:space="preserve">mai/26</t>
        </is>
      </c>
      <c r="S218" s="30">
        <v>11.7375</v>
      </c>
      <c r="T218" s="27" t="inlineStr">
        <is>
          <t xml:space="preserve">mai/26</t>
        </is>
      </c>
      <c r="U218" s="30">
        <v>4.67</v>
      </c>
      <c r="V218" s="27" t="inlineStr">
        <is>
          <t xml:space="preserve">mai/26</t>
        </is>
      </c>
      <c r="W218" s="29">
        <v>322.1</v>
      </c>
      <c r="X218" s="27" t="inlineStr">
        <is>
          <t xml:space="preserve">mai/26</t>
        </is>
      </c>
      <c r="Y218" s="30">
        <v>0.6802</v>
      </c>
      <c r="Z218" s="27" t="inlineStr">
        <is>
          <t xml:space="preserve">mai/26</t>
        </is>
      </c>
      <c r="AA218" s="29">
        <v>371.8</v>
      </c>
      <c r="AB218" s="29">
        <v>103.83</v>
      </c>
      <c r="AC218" s="29">
        <v>354.38</v>
      </c>
      <c r="AD218" s="29">
        <v>344.51</v>
      </c>
      <c r="AE218" s="29">
        <v>337.88</v>
      </c>
      <c r="AF218" s="29">
        <v>333.74</v>
      </c>
      <c r="AG218" s="29">
        <v>333.81</v>
      </c>
      <c r="AH218" s="29">
        <v>330.95</v>
      </c>
      <c r="AI218" s="29">
        <v>347.71</v>
      </c>
      <c r="AJ218" s="29">
        <v>314.72</v>
      </c>
      <c r="AK218" s="29">
        <v>324.19</v>
      </c>
      <c r="AL218" s="29">
        <v>6.72</v>
      </c>
      <c r="AM218" s="29">
        <v>6.62</v>
      </c>
      <c r="AN218" s="29">
        <v>6.74</v>
      </c>
      <c r="AO218" s="29">
        <v>6.43</v>
      </c>
      <c r="AP218" s="29">
        <v>6.9</v>
      </c>
      <c r="AQ218" s="29">
        <v>163.94</v>
      </c>
      <c r="AR218" s="29">
        <v>187.34</v>
      </c>
      <c r="BH218" s="29">
        <v>1129.56</v>
      </c>
      <c r="BI218" s="29">
        <v>61.87</v>
      </c>
      <c r="BK218" s="29">
        <v>347.63</v>
      </c>
      <c r="BL218" s="29">
        <v>318.92</v>
      </c>
      <c r="BM218" s="29">
        <v>342.5</v>
      </c>
      <c r="BO218" s="29">
        <v>195.62</v>
      </c>
      <c r="BP218" s="29">
        <v>197.66</v>
      </c>
      <c r="BQ218" s="29">
        <v>176.73</v>
      </c>
      <c r="BR218" s="29">
        <v>164.0</v>
      </c>
      <c r="BX218" s="29">
        <v>48.0</v>
      </c>
      <c r="BY218" s="29">
        <v>52.0</v>
      </c>
      <c r="BZ218" s="29">
        <v>42.5</v>
      </c>
      <c r="CA218" s="29">
        <v>46.8</v>
      </c>
      <c r="CD218" s="29">
        <v>30.25</v>
      </c>
      <c r="CE218" s="29">
        <v>43.96</v>
      </c>
      <c r="CI218" s="29">
        <v>3164.0</v>
      </c>
      <c r="CJ218" s="27" t="inlineStr">
        <is>
          <t xml:space="preserve">mai/26</t>
        </is>
      </c>
    </row>
    <row r="219">
      <c r="A219" s="28">
        <v>46108</v>
      </c>
      <c r="B219" s="29">
        <v>1268.96</v>
      </c>
      <c r="C219" s="29">
        <v>3285.53</v>
      </c>
      <c r="D219" s="29">
        <v>6.95</v>
      </c>
      <c r="E219" s="29">
        <v>6.92</v>
      </c>
      <c r="F219" s="29">
        <v>1947.89</v>
      </c>
      <c r="G219" s="29">
        <v>1016.6</v>
      </c>
      <c r="H219" s="29">
        <v>402.95</v>
      </c>
      <c r="I219" s="27" t="inlineStr">
        <is>
          <t xml:space="preserve">mai/26</t>
        </is>
      </c>
      <c r="J219" s="29">
        <v>181556.76</v>
      </c>
      <c r="K219" s="30">
        <v>5242.0</v>
      </c>
      <c r="L219" s="27" t="inlineStr">
        <is>
          <t xml:space="preserve">abr/26</t>
        </is>
      </c>
      <c r="M219" s="29">
        <v>367.25</v>
      </c>
      <c r="N219" s="27" t="inlineStr">
        <is>
          <t xml:space="preserve">abr/26</t>
        </is>
      </c>
      <c r="O219" s="29">
        <v>72.17</v>
      </c>
      <c r="P219" s="27" t="inlineStr">
        <is>
          <t xml:space="preserve">mai/26</t>
        </is>
      </c>
      <c r="Q219" s="29">
        <v>25.52</v>
      </c>
      <c r="R219" s="27" t="inlineStr">
        <is>
          <t xml:space="preserve">mai/26</t>
        </is>
      </c>
      <c r="S219" s="30">
        <v>11.5925</v>
      </c>
      <c r="T219" s="27" t="inlineStr">
        <is>
          <t xml:space="preserve">mai/26</t>
        </is>
      </c>
      <c r="U219" s="30">
        <v>4.62</v>
      </c>
      <c r="V219" s="27" t="inlineStr">
        <is>
          <t xml:space="preserve">mai/26</t>
        </is>
      </c>
      <c r="W219" s="29">
        <v>315.3</v>
      </c>
      <c r="X219" s="27" t="inlineStr">
        <is>
          <t xml:space="preserve">mai/26</t>
        </is>
      </c>
      <c r="Y219" s="30">
        <v>0.6741</v>
      </c>
      <c r="Z219" s="27" t="inlineStr">
        <is>
          <t xml:space="preserve">mai/26</t>
        </is>
      </c>
      <c r="AA219" s="29">
        <v>380.77</v>
      </c>
      <c r="AB219" s="29">
        <v>103.29</v>
      </c>
      <c r="AC219" s="29">
        <v>355.15</v>
      </c>
      <c r="AD219" s="29">
        <v>345.73</v>
      </c>
      <c r="AE219" s="29">
        <v>343.08</v>
      </c>
      <c r="AF219" s="29">
        <v>334.51</v>
      </c>
      <c r="AG219" s="29">
        <v>336.08</v>
      </c>
      <c r="AH219" s="29">
        <v>330.82</v>
      </c>
      <c r="AI219" s="29">
        <v>347.87</v>
      </c>
      <c r="AJ219" s="29">
        <v>316.98</v>
      </c>
      <c r="AK219" s="29">
        <v>320.22</v>
      </c>
      <c r="AL219" s="29">
        <v>6.69</v>
      </c>
      <c r="AM219" s="29">
        <v>6.53</v>
      </c>
      <c r="AN219" s="29">
        <v>6.63</v>
      </c>
      <c r="AO219" s="29">
        <v>6.35</v>
      </c>
      <c r="AP219" s="29">
        <v>6.95</v>
      </c>
      <c r="AQ219" s="29">
        <v>163.94</v>
      </c>
      <c r="AR219" s="29">
        <v>187.34</v>
      </c>
      <c r="BC219" s="29">
        <v>10.0</v>
      </c>
      <c r="BD219" s="29">
        <v>9.81</v>
      </c>
      <c r="BE219" s="29">
        <v>10.44</v>
      </c>
      <c r="BF219" s="29">
        <v>8.92</v>
      </c>
      <c r="BG219" s="29">
        <v>10.2</v>
      </c>
      <c r="BH219" s="29">
        <v>1136.66</v>
      </c>
      <c r="BI219" s="29">
        <v>61.83</v>
      </c>
      <c r="BK219" s="29">
        <v>347.63</v>
      </c>
      <c r="BL219" s="29">
        <v>317.68</v>
      </c>
      <c r="BM219" s="29">
        <v>342.5</v>
      </c>
      <c r="BO219" s="29">
        <v>195.46</v>
      </c>
      <c r="BP219" s="29">
        <v>196.26</v>
      </c>
      <c r="BQ219" s="29">
        <v>177.51</v>
      </c>
      <c r="BR219" s="29">
        <v>165.0</v>
      </c>
      <c r="BS219" s="30">
        <v>2.9496</v>
      </c>
      <c r="BT219" s="30">
        <v>3.3255</v>
      </c>
      <c r="BU219" s="29">
        <v>526.14</v>
      </c>
      <c r="BV219" s="29">
        <v>484.33</v>
      </c>
      <c r="BW219" s="29">
        <v>546.96</v>
      </c>
      <c r="BX219" s="29">
        <v>48.0</v>
      </c>
      <c r="BY219" s="29">
        <v>52.0</v>
      </c>
      <c r="BZ219" s="29">
        <v>42.67</v>
      </c>
      <c r="CA219" s="29">
        <v>46.8</v>
      </c>
      <c r="CD219" s="29">
        <v>30.25</v>
      </c>
      <c r="CE219" s="29">
        <v>44.46</v>
      </c>
      <c r="CI219" s="29">
        <v>3165.0</v>
      </c>
      <c r="CJ219" s="27" t="inlineStr">
        <is>
          <t xml:space="preserve">mai/26</t>
        </is>
      </c>
    </row>
    <row r="220">
      <c r="A220" s="28">
        <v>46111</v>
      </c>
      <c r="B220" s="29">
        <v>1278.29</v>
      </c>
      <c r="C220" s="29">
        <v>3295.07</v>
      </c>
      <c r="D220" s="29">
        <v>7.09</v>
      </c>
      <c r="E220" s="29">
        <v>6.87</v>
      </c>
      <c r="F220" s="29">
        <v>1898.9</v>
      </c>
      <c r="G220" s="29">
        <v>966.84</v>
      </c>
      <c r="H220" s="29">
        <v>397.0</v>
      </c>
      <c r="I220" s="27" t="inlineStr">
        <is>
          <t xml:space="preserve">mai/26</t>
        </is>
      </c>
      <c r="J220" s="29">
        <v>182514.2</v>
      </c>
      <c r="K220" s="30">
        <v>5258.0</v>
      </c>
      <c r="L220" s="27" t="inlineStr">
        <is>
          <t xml:space="preserve">abr/26</t>
        </is>
      </c>
      <c r="M220" s="29">
        <v>366.15</v>
      </c>
      <c r="N220" s="27" t="inlineStr">
        <is>
          <t xml:space="preserve">abr/26</t>
        </is>
      </c>
      <c r="O220" s="29">
        <v>73.7</v>
      </c>
      <c r="P220" s="27" t="inlineStr">
        <is>
          <t xml:space="preserve">mai/26</t>
        </is>
      </c>
      <c r="Q220" s="29">
        <v>25.58</v>
      </c>
      <c r="R220" s="27" t="inlineStr">
        <is>
          <t xml:space="preserve">mai/26</t>
        </is>
      </c>
      <c r="S220" s="30">
        <v>11.5975</v>
      </c>
      <c r="T220" s="27" t="inlineStr">
        <is>
          <t xml:space="preserve">mai/26</t>
        </is>
      </c>
      <c r="U220" s="30">
        <v>4.5575</v>
      </c>
      <c r="V220" s="27" t="inlineStr">
        <is>
          <t xml:space="preserve">mai/26</t>
        </is>
      </c>
      <c r="W220" s="29">
        <v>314.9</v>
      </c>
      <c r="X220" s="27" t="inlineStr">
        <is>
          <t xml:space="preserve">mai/26</t>
        </is>
      </c>
      <c r="Y220" s="30">
        <v>0.6847</v>
      </c>
      <c r="Z220" s="27" t="inlineStr">
        <is>
          <t xml:space="preserve">mai/26</t>
        </is>
      </c>
      <c r="AA220" s="29">
        <v>389.98</v>
      </c>
      <c r="AB220" s="29">
        <v>105.41</v>
      </c>
      <c r="AL220" s="29">
        <v>6.62</v>
      </c>
      <c r="AM220" s="29">
        <v>6.3</v>
      </c>
      <c r="AN220" s="29">
        <v>6.46</v>
      </c>
      <c r="AO220" s="29">
        <v>6.33</v>
      </c>
      <c r="AP220" s="29">
        <v>7.12</v>
      </c>
      <c r="AQ220" s="29">
        <v>163.94</v>
      </c>
      <c r="AR220" s="29">
        <v>187.34</v>
      </c>
      <c r="BH220" s="29">
        <v>1150.62</v>
      </c>
      <c r="BI220" s="29">
        <v>61.81</v>
      </c>
      <c r="BK220" s="29">
        <v>347.37</v>
      </c>
      <c r="BL220" s="29">
        <v>317.68</v>
      </c>
      <c r="BM220" s="29">
        <v>342.5</v>
      </c>
      <c r="BO220" s="29">
        <v>196.8</v>
      </c>
      <c r="BP220" s="29">
        <v>196.26</v>
      </c>
      <c r="BQ220" s="29">
        <v>174.53</v>
      </c>
      <c r="BR220" s="29">
        <v>164.0</v>
      </c>
      <c r="BX220" s="29">
        <v>48.0</v>
      </c>
      <c r="BY220" s="29">
        <v>52.0</v>
      </c>
      <c r="BZ220" s="29">
        <v>42.67</v>
      </c>
      <c r="CA220" s="29">
        <v>46.8</v>
      </c>
      <c r="CD220" s="29">
        <v>29.38</v>
      </c>
      <c r="CE220" s="29">
        <v>44.46</v>
      </c>
      <c r="CI220" s="29">
        <v>3155.0</v>
      </c>
      <c r="CJ220" s="27" t="inlineStr">
        <is>
          <t xml:space="preserve">mai/26</t>
        </is>
      </c>
    </row>
    <row r="221">
      <c r="A221" s="28">
        <v>46112</v>
      </c>
      <c r="B221" s="29">
        <v>1284.93</v>
      </c>
      <c r="C221" s="29">
        <v>3293.86</v>
      </c>
      <c r="D221" s="29">
        <v>7.24</v>
      </c>
      <c r="E221" s="29">
        <v>6.61</v>
      </c>
      <c r="F221" s="29">
        <v>1887.79</v>
      </c>
      <c r="G221" s="29">
        <v>965.73</v>
      </c>
      <c r="H221" s="29">
        <v>397.3</v>
      </c>
      <c r="I221" s="27" t="inlineStr">
        <is>
          <t xml:space="preserve">mai/26</t>
        </is>
      </c>
      <c r="J221" s="29">
        <v>187461.84</v>
      </c>
      <c r="K221" s="30">
        <v>5220.0</v>
      </c>
      <c r="L221" s="27" t="inlineStr">
        <is>
          <t xml:space="preserve">abr/26</t>
        </is>
      </c>
      <c r="M221" s="29">
        <v>364.8</v>
      </c>
      <c r="N221" s="27" t="inlineStr">
        <is>
          <t xml:space="preserve">abr/26</t>
        </is>
      </c>
      <c r="O221" s="29">
        <v>72.9</v>
      </c>
      <c r="P221" s="27" t="inlineStr">
        <is>
          <t xml:space="preserve">mai/26</t>
        </is>
      </c>
      <c r="S221" s="30">
        <v>11.71</v>
      </c>
      <c r="T221" s="27" t="inlineStr">
        <is>
          <t xml:space="preserve">mai/26</t>
        </is>
      </c>
      <c r="U221" s="30">
        <v>4.5775</v>
      </c>
      <c r="V221" s="27" t="inlineStr">
        <is>
          <t xml:space="preserve">mai/26</t>
        </is>
      </c>
      <c r="W221" s="29">
        <v>316.4</v>
      </c>
      <c r="X221" s="27" t="inlineStr">
        <is>
          <t xml:space="preserve">mai/26</t>
        </is>
      </c>
      <c r="Y221" s="30">
        <v>0.6888</v>
      </c>
      <c r="Z221" s="27" t="inlineStr">
        <is>
          <t xml:space="preserve">mai/26</t>
        </is>
      </c>
      <c r="AA221" s="29">
        <v>391.73</v>
      </c>
      <c r="AB221" s="29">
        <v>105.46</v>
      </c>
      <c r="AC221" s="29">
        <v>355.97</v>
      </c>
      <c r="AD221" s="29">
        <v>346.33</v>
      </c>
      <c r="AE221" s="29">
        <v>343.09</v>
      </c>
      <c r="AF221" s="29">
        <v>338.61</v>
      </c>
      <c r="AG221" s="29">
        <v>338.48</v>
      </c>
      <c r="AH221" s="29">
        <v>333.14</v>
      </c>
      <c r="AI221" s="29">
        <v>351.86</v>
      </c>
      <c r="AJ221" s="29">
        <v>320.28</v>
      </c>
      <c r="AK221" s="29">
        <v>321.04</v>
      </c>
      <c r="AL221" s="29">
        <v>6.57</v>
      </c>
      <c r="AM221" s="29">
        <v>6.15</v>
      </c>
      <c r="AN221" s="29">
        <v>6.29</v>
      </c>
      <c r="AO221" s="29">
        <v>6.16</v>
      </c>
      <c r="AP221" s="29">
        <v>7.27</v>
      </c>
      <c r="AQ221" s="29">
        <v>163.71</v>
      </c>
      <c r="AR221" s="29">
        <v>187.34</v>
      </c>
      <c r="BH221" s="29">
        <v>1152.68</v>
      </c>
      <c r="BI221" s="29">
        <v>62.24</v>
      </c>
      <c r="BK221" s="29">
        <v>347.36</v>
      </c>
      <c r="BL221" s="29">
        <v>318.78</v>
      </c>
      <c r="BM221" s="29">
        <v>344.29</v>
      </c>
      <c r="BO221" s="29">
        <v>196.8</v>
      </c>
      <c r="BP221" s="29">
        <v>196.01</v>
      </c>
      <c r="BQ221" s="29">
        <v>174.28</v>
      </c>
      <c r="BR221" s="29">
        <v>161.25</v>
      </c>
      <c r="BX221" s="29">
        <v>48.0</v>
      </c>
      <c r="BY221" s="29">
        <v>52.0</v>
      </c>
      <c r="BZ221" s="29">
        <v>42.67</v>
      </c>
      <c r="CA221" s="29">
        <v>46.8</v>
      </c>
      <c r="CD221" s="29">
        <v>29.29</v>
      </c>
      <c r="CE221" s="29">
        <v>45.0</v>
      </c>
      <c r="CI221" s="29">
        <v>3300.0</v>
      </c>
      <c r="CJ221" s="27" t="inlineStr">
        <is>
          <t xml:space="preserve">mai/26</t>
        </is>
      </c>
    </row>
    <row r="222">
      <c r="A222" s="28">
        <v>46113</v>
      </c>
      <c r="B222" s="29">
        <v>1289.02</v>
      </c>
      <c r="C222" s="29">
        <v>3298.07</v>
      </c>
      <c r="D222" s="29">
        <v>7.24</v>
      </c>
      <c r="E222" s="29">
        <v>6.61</v>
      </c>
      <c r="F222" s="29">
        <v>1880.08</v>
      </c>
      <c r="G222" s="29">
        <v>949.07</v>
      </c>
      <c r="H222" s="29">
        <v>403.0</v>
      </c>
      <c r="I222" s="27" t="inlineStr">
        <is>
          <t xml:space="preserve">mai/26</t>
        </is>
      </c>
      <c r="J222" s="29">
        <v>187952.91</v>
      </c>
      <c r="K222" s="30">
        <v>5187.5</v>
      </c>
      <c r="L222" s="27" t="inlineStr">
        <is>
          <t xml:space="preserve">mai/26</t>
        </is>
      </c>
      <c r="M222" s="29">
        <v>364.0</v>
      </c>
      <c r="N222" s="27" t="inlineStr">
        <is>
          <t xml:space="preserve">mai/26</t>
        </is>
      </c>
      <c r="O222" s="29">
        <v>71.32</v>
      </c>
      <c r="P222" s="27" t="inlineStr">
        <is>
          <t xml:space="preserve">mai/26</t>
        </is>
      </c>
      <c r="S222" s="30">
        <v>11.685</v>
      </c>
      <c r="T222" s="27" t="inlineStr">
        <is>
          <t xml:space="preserve">mai/26</t>
        </is>
      </c>
      <c r="U222" s="30">
        <v>4.5425</v>
      </c>
      <c r="V222" s="27" t="inlineStr">
        <is>
          <t xml:space="preserve">mai/26</t>
        </is>
      </c>
      <c r="W222" s="29">
        <v>318.2</v>
      </c>
      <c r="X222" s="27" t="inlineStr">
        <is>
          <t xml:space="preserve">mai/26</t>
        </is>
      </c>
      <c r="Y222" s="30">
        <v>0.6711</v>
      </c>
      <c r="Z222" s="27" t="inlineStr">
        <is>
          <t xml:space="preserve">mai/26</t>
        </is>
      </c>
      <c r="AA222" s="29">
        <v>396.84</v>
      </c>
      <c r="AB222" s="29">
        <v>105.33</v>
      </c>
      <c r="AC222" s="29">
        <v>358.23</v>
      </c>
      <c r="AD222" s="29">
        <v>348.03</v>
      </c>
      <c r="AE222" s="29">
        <v>343.12</v>
      </c>
      <c r="AF222" s="29">
        <v>341.59</v>
      </c>
      <c r="AG222" s="29">
        <v>341.42</v>
      </c>
      <c r="AH222" s="29">
        <v>333.91</v>
      </c>
      <c r="AI222" s="29">
        <v>354.8</v>
      </c>
      <c r="AJ222" s="29">
        <v>322.06</v>
      </c>
      <c r="AK222" s="29">
        <v>320.8</v>
      </c>
      <c r="AL222" s="29">
        <v>6.54</v>
      </c>
      <c r="AM222" s="29">
        <v>6.1</v>
      </c>
      <c r="AN222" s="29">
        <v>6.07</v>
      </c>
      <c r="AO222" s="29">
        <v>6.04</v>
      </c>
      <c r="AP222" s="29">
        <v>7.27</v>
      </c>
      <c r="AQ222" s="29">
        <v>163.71</v>
      </c>
      <c r="AR222" s="29">
        <v>187.34</v>
      </c>
      <c r="AS222" s="30">
        <v>2.66</v>
      </c>
      <c r="AT222" s="30">
        <v>2.75</v>
      </c>
      <c r="AU222" s="30">
        <v>2.59</v>
      </c>
      <c r="AV222" s="30">
        <v>2.65</v>
      </c>
      <c r="AW222" s="30">
        <v>2.76</v>
      </c>
      <c r="AX222" s="30">
        <v>2.69</v>
      </c>
      <c r="AY222" s="30">
        <v>2.52</v>
      </c>
      <c r="AZ222" s="30">
        <v>2.35</v>
      </c>
      <c r="BA222" s="30">
        <v>2.57</v>
      </c>
      <c r="BB222" s="30">
        <v>2.29</v>
      </c>
      <c r="BH222" s="29">
        <v>1156.38</v>
      </c>
      <c r="BI222" s="29">
        <v>62.34</v>
      </c>
      <c r="BK222" s="29">
        <v>346.01</v>
      </c>
      <c r="BL222" s="29">
        <v>317.68</v>
      </c>
      <c r="BM222" s="29">
        <v>344.29</v>
      </c>
      <c r="BO222" s="29">
        <v>191.07</v>
      </c>
      <c r="BP222" s="29">
        <v>192.67</v>
      </c>
      <c r="BQ222" s="29">
        <v>173.52</v>
      </c>
      <c r="BR222" s="29">
        <v>161.0</v>
      </c>
      <c r="BX222" s="29">
        <v>46.5</v>
      </c>
      <c r="BY222" s="29">
        <v>52.0</v>
      </c>
      <c r="BZ222" s="29">
        <v>42.67</v>
      </c>
      <c r="CA222" s="29">
        <v>46.8</v>
      </c>
      <c r="CD222" s="29">
        <v>29.29</v>
      </c>
      <c r="CE222" s="29">
        <v>45.54</v>
      </c>
      <c r="CI222" s="29">
        <v>3345.0</v>
      </c>
      <c r="CJ222" s="27" t="inlineStr">
        <is>
          <t xml:space="preserve">mai/26</t>
        </is>
      </c>
    </row>
    <row r="223">
      <c r="A223" s="28">
        <v>46114</v>
      </c>
      <c r="B223" s="29">
        <v>1288.15</v>
      </c>
      <c r="C223" s="29">
        <v>3297.48</v>
      </c>
      <c r="D223" s="29">
        <v>7.24</v>
      </c>
      <c r="E223" s="29">
        <v>6.52</v>
      </c>
      <c r="F223" s="29">
        <v>1870.64</v>
      </c>
      <c r="G223" s="29">
        <v>937.13</v>
      </c>
      <c r="H223" s="29">
        <v>397.3</v>
      </c>
      <c r="I223" s="27" t="inlineStr">
        <is>
          <t xml:space="preserve">mai/26</t>
        </is>
      </c>
      <c r="J223" s="29">
        <v>188052.02</v>
      </c>
      <c r="K223" s="30">
        <v>5192.0</v>
      </c>
      <c r="L223" s="27" t="inlineStr">
        <is>
          <t xml:space="preserve">mai/26</t>
        </is>
      </c>
      <c r="M223" s="29">
        <v>363.55</v>
      </c>
      <c r="N223" s="27" t="inlineStr">
        <is>
          <t xml:space="preserve">mai/26</t>
        </is>
      </c>
      <c r="O223" s="29">
        <v>71.72</v>
      </c>
      <c r="P223" s="27" t="inlineStr">
        <is>
          <t xml:space="preserve">mai/26</t>
        </is>
      </c>
      <c r="S223" s="30">
        <v>11.635</v>
      </c>
      <c r="T223" s="27" t="inlineStr">
        <is>
          <t xml:space="preserve">mai/26</t>
        </is>
      </c>
      <c r="U223" s="30">
        <v>4.5225</v>
      </c>
      <c r="V223" s="27" t="inlineStr">
        <is>
          <t xml:space="preserve">mai/26</t>
        </is>
      </c>
      <c r="W223" s="29">
        <v>315.2</v>
      </c>
      <c r="X223" s="27" t="inlineStr">
        <is>
          <t xml:space="preserve">mai/26</t>
        </is>
      </c>
      <c r="Y223" s="30">
        <v>0.6894</v>
      </c>
      <c r="Z223" s="27" t="inlineStr">
        <is>
          <t xml:space="preserve">mai/26</t>
        </is>
      </c>
      <c r="AA223" s="29">
        <v>392.39</v>
      </c>
      <c r="AB223" s="29">
        <v>105.06</v>
      </c>
      <c r="AC223" s="29">
        <v>360.75</v>
      </c>
      <c r="AD223" s="29">
        <v>351.36</v>
      </c>
      <c r="AE223" s="29">
        <v>342.96</v>
      </c>
      <c r="AF223" s="29">
        <v>343.58</v>
      </c>
      <c r="AG223" s="29">
        <v>342.72</v>
      </c>
      <c r="AH223" s="29">
        <v>334.47</v>
      </c>
      <c r="AI223" s="29">
        <v>355.86</v>
      </c>
      <c r="AJ223" s="29">
        <v>329.73</v>
      </c>
      <c r="AK223" s="29">
        <v>322.79</v>
      </c>
      <c r="AL223" s="29">
        <v>6.56</v>
      </c>
      <c r="AM223" s="29">
        <v>6.02</v>
      </c>
      <c r="AN223" s="29">
        <v>6.07</v>
      </c>
      <c r="AO223" s="29">
        <v>6.05</v>
      </c>
      <c r="AP223" s="29">
        <v>7.27</v>
      </c>
      <c r="AQ223" s="29">
        <v>164.2</v>
      </c>
      <c r="AR223" s="29">
        <v>186.13</v>
      </c>
      <c r="BC223" s="29">
        <v>10.02</v>
      </c>
      <c r="BD223" s="29">
        <v>9.82</v>
      </c>
      <c r="BE223" s="29">
        <v>10.45</v>
      </c>
      <c r="BF223" s="29">
        <v>8.92</v>
      </c>
      <c r="BG223" s="29">
        <v>10.22</v>
      </c>
      <c r="BH223" s="29">
        <v>1157.76</v>
      </c>
      <c r="BI223" s="29">
        <v>62.32</v>
      </c>
      <c r="BK223" s="29">
        <v>345.91</v>
      </c>
      <c r="BL223" s="29">
        <v>315.92</v>
      </c>
      <c r="BM223" s="29">
        <v>346.67</v>
      </c>
      <c r="BO223" s="29">
        <v>190.41</v>
      </c>
      <c r="BP223" s="29">
        <v>192.67</v>
      </c>
      <c r="BQ223" s="29">
        <v>170.75</v>
      </c>
      <c r="BR223" s="29">
        <v>161.0</v>
      </c>
      <c r="BS223" s="30">
        <v>2.8875</v>
      </c>
      <c r="BT223" s="30">
        <v>3.3095</v>
      </c>
      <c r="BX223" s="29">
        <v>45.6</v>
      </c>
      <c r="BY223" s="29">
        <v>52.0</v>
      </c>
      <c r="BZ223" s="29">
        <v>42.67</v>
      </c>
      <c r="CA223" s="29">
        <v>46.8</v>
      </c>
      <c r="CI223" s="29">
        <v>3245.0</v>
      </c>
      <c r="CJ223" s="27" t="inlineStr">
        <is>
          <t xml:space="preserve">mai/26</t>
        </is>
      </c>
    </row>
    <row r="224">
      <c r="A224" s="28">
        <v>46115</v>
      </c>
      <c r="BU224" s="29">
        <v>525.31</v>
      </c>
      <c r="BV224" s="29">
        <v>494.17</v>
      </c>
      <c r="BW224" s="29">
        <v>547.8</v>
      </c>
    </row>
    <row r="225">
      <c r="A225" s="28">
        <v>46118</v>
      </c>
      <c r="B225" s="29">
        <v>1285.02</v>
      </c>
      <c r="C225" s="29">
        <v>3300.76</v>
      </c>
      <c r="D225" s="29">
        <v>7.27</v>
      </c>
      <c r="E225" s="29">
        <v>6.48</v>
      </c>
      <c r="F225" s="29">
        <v>1885.21</v>
      </c>
      <c r="G225" s="29">
        <v>921.86</v>
      </c>
      <c r="H225" s="29">
        <v>391.05</v>
      </c>
      <c r="I225" s="27" t="inlineStr">
        <is>
          <t xml:space="preserve">mai/26</t>
        </is>
      </c>
      <c r="J225" s="29">
        <v>188161.97</v>
      </c>
      <c r="K225" s="30">
        <v>5167.0</v>
      </c>
      <c r="L225" s="27" t="inlineStr">
        <is>
          <t xml:space="preserve">mai/26</t>
        </is>
      </c>
      <c r="M225" s="29">
        <v>367.75</v>
      </c>
      <c r="N225" s="27" t="inlineStr">
        <is>
          <t xml:space="preserve">mai/26</t>
        </is>
      </c>
      <c r="O225" s="29">
        <v>71.01</v>
      </c>
      <c r="P225" s="27" t="inlineStr">
        <is>
          <t xml:space="preserve">mai/26</t>
        </is>
      </c>
      <c r="S225" s="30">
        <v>11.6675</v>
      </c>
      <c r="T225" s="27" t="inlineStr">
        <is>
          <t xml:space="preserve">mai/26</t>
        </is>
      </c>
      <c r="U225" s="30">
        <v>4.54</v>
      </c>
      <c r="V225" s="27" t="inlineStr">
        <is>
          <t xml:space="preserve">mai/26</t>
        </is>
      </c>
      <c r="W225" s="29">
        <v>316.6</v>
      </c>
      <c r="X225" s="27" t="inlineStr">
        <is>
          <t xml:space="preserve">mai/26</t>
        </is>
      </c>
      <c r="Y225" s="30">
        <v>0.6995</v>
      </c>
      <c r="Z225" s="27" t="inlineStr">
        <is>
          <t xml:space="preserve">mai/26</t>
        </is>
      </c>
      <c r="AA225" s="29">
        <v>391.54</v>
      </c>
      <c r="AB225" s="29">
        <v>104.16</v>
      </c>
      <c r="AC225" s="29">
        <v>360.91</v>
      </c>
      <c r="AD225" s="29">
        <v>353.4</v>
      </c>
      <c r="AE225" s="29">
        <v>343.89</v>
      </c>
      <c r="AF225" s="29">
        <v>343.24</v>
      </c>
      <c r="AG225" s="29">
        <v>345.17</v>
      </c>
      <c r="AH225" s="29">
        <v>338.95</v>
      </c>
      <c r="AI225" s="29">
        <v>356.09</v>
      </c>
      <c r="AJ225" s="29">
        <v>330.99</v>
      </c>
      <c r="AK225" s="29">
        <v>324.38</v>
      </c>
      <c r="AL225" s="29">
        <v>6.55</v>
      </c>
      <c r="AM225" s="29">
        <v>5.99</v>
      </c>
      <c r="AN225" s="29">
        <v>6.06</v>
      </c>
      <c r="AO225" s="29">
        <v>5.96</v>
      </c>
      <c r="AP225" s="29">
        <v>7.3</v>
      </c>
      <c r="AQ225" s="29">
        <v>164.2</v>
      </c>
      <c r="AR225" s="29">
        <v>186.84</v>
      </c>
      <c r="BH225" s="29">
        <v>1156.51</v>
      </c>
      <c r="BI225" s="29">
        <v>62.32</v>
      </c>
      <c r="BK225" s="29">
        <v>334.75</v>
      </c>
      <c r="BL225" s="29">
        <v>317.86</v>
      </c>
      <c r="BM225" s="29">
        <v>346.67</v>
      </c>
      <c r="BO225" s="29">
        <v>185.46</v>
      </c>
      <c r="BP225" s="29">
        <v>192.67</v>
      </c>
      <c r="BQ225" s="29">
        <v>171.84</v>
      </c>
      <c r="BR225" s="29">
        <v>158.75</v>
      </c>
      <c r="BX225" s="29">
        <v>45.6</v>
      </c>
      <c r="BY225" s="29">
        <v>52.0</v>
      </c>
      <c r="BZ225" s="29">
        <v>42.67</v>
      </c>
      <c r="CA225" s="29">
        <v>46.8</v>
      </c>
      <c r="CD225" s="29">
        <v>27.4</v>
      </c>
      <c r="CE225" s="29">
        <v>43.69</v>
      </c>
      <c r="CI225" s="29">
        <v>3235.0</v>
      </c>
      <c r="CJ225" s="27" t="inlineStr">
        <is>
          <t xml:space="preserve">mai/26</t>
        </is>
      </c>
    </row>
    <row r="226">
      <c r="A226" s="28">
        <v>46119</v>
      </c>
      <c r="B226" s="29">
        <v>1286.52</v>
      </c>
      <c r="C226" s="29">
        <v>3305.87</v>
      </c>
      <c r="D226" s="29">
        <v>7.27</v>
      </c>
      <c r="E226" s="29">
        <v>6.43</v>
      </c>
      <c r="F226" s="29">
        <v>1821.69</v>
      </c>
      <c r="G226" s="29">
        <v>901.31</v>
      </c>
      <c r="H226" s="29">
        <v>384.1</v>
      </c>
      <c r="I226" s="27" t="inlineStr">
        <is>
          <t xml:space="preserve">mai/26</t>
        </is>
      </c>
      <c r="J226" s="29">
        <v>188258.91</v>
      </c>
      <c r="K226" s="30">
        <v>5178.5</v>
      </c>
      <c r="L226" s="27" t="inlineStr">
        <is>
          <t xml:space="preserve">mai/26</t>
        </is>
      </c>
      <c r="M226" s="29">
        <v>364.55</v>
      </c>
      <c r="N226" s="27" t="inlineStr">
        <is>
          <t xml:space="preserve">mai/26</t>
        </is>
      </c>
      <c r="O226" s="29">
        <v>70.05</v>
      </c>
      <c r="P226" s="27" t="inlineStr">
        <is>
          <t xml:space="preserve">mai/26</t>
        </is>
      </c>
      <c r="S226" s="30">
        <v>11.5825</v>
      </c>
      <c r="T226" s="27" t="inlineStr">
        <is>
          <t xml:space="preserve">mai/26</t>
        </is>
      </c>
      <c r="U226" s="30">
        <v>4.49</v>
      </c>
      <c r="V226" s="27" t="inlineStr">
        <is>
          <t xml:space="preserve">mai/26</t>
        </is>
      </c>
      <c r="W226" s="29">
        <v>311.8</v>
      </c>
      <c r="X226" s="27" t="inlineStr">
        <is>
          <t xml:space="preserve">mai/26</t>
        </is>
      </c>
      <c r="Y226" s="30">
        <v>0.6972</v>
      </c>
      <c r="Z226" s="27" t="inlineStr">
        <is>
          <t xml:space="preserve">mai/26</t>
        </is>
      </c>
      <c r="AA226" s="29">
        <v>393.72</v>
      </c>
      <c r="AB226" s="29">
        <v>103.38</v>
      </c>
      <c r="AC226" s="29">
        <v>363.43</v>
      </c>
      <c r="AD226" s="29">
        <v>354.99</v>
      </c>
      <c r="AE226" s="29">
        <v>346.48</v>
      </c>
      <c r="AF226" s="29">
        <v>344.2</v>
      </c>
      <c r="AG226" s="29">
        <v>346.29</v>
      </c>
      <c r="AH226" s="29">
        <v>343.75</v>
      </c>
      <c r="AI226" s="29">
        <v>361.13</v>
      </c>
      <c r="AJ226" s="29">
        <v>332.28</v>
      </c>
      <c r="AK226" s="29">
        <v>323.49</v>
      </c>
      <c r="AL226" s="29">
        <v>6.53</v>
      </c>
      <c r="AM226" s="29">
        <v>5.86</v>
      </c>
      <c r="AN226" s="29">
        <v>6.01</v>
      </c>
      <c r="AO226" s="29">
        <v>5.82</v>
      </c>
      <c r="AP226" s="29">
        <v>7.3</v>
      </c>
      <c r="AQ226" s="29">
        <v>164.2</v>
      </c>
      <c r="AR226" s="29">
        <v>188.97</v>
      </c>
      <c r="BH226" s="29">
        <v>1156.9</v>
      </c>
      <c r="BI226" s="29">
        <v>62.35</v>
      </c>
      <c r="BK226" s="29">
        <v>335.04</v>
      </c>
      <c r="BL226" s="29">
        <v>314.29</v>
      </c>
      <c r="BM226" s="29">
        <v>341.43</v>
      </c>
      <c r="BO226" s="29">
        <v>184.29</v>
      </c>
      <c r="BP226" s="29">
        <v>189.93</v>
      </c>
      <c r="BQ226" s="29">
        <v>168.05</v>
      </c>
      <c r="BR226" s="29">
        <v>159.38</v>
      </c>
      <c r="BX226" s="29">
        <v>45.6</v>
      </c>
      <c r="BY226" s="29">
        <v>52.0</v>
      </c>
      <c r="BZ226" s="29">
        <v>42.33</v>
      </c>
      <c r="CA226" s="29">
        <v>46.8</v>
      </c>
      <c r="CD226" s="29">
        <v>27.4</v>
      </c>
      <c r="CE226" s="29">
        <v>43.5</v>
      </c>
      <c r="CI226" s="29">
        <v>3028.0</v>
      </c>
      <c r="CJ226" s="27" t="inlineStr">
        <is>
          <t xml:space="preserve">mai/26</t>
        </is>
      </c>
    </row>
    <row r="227">
      <c r="A227" s="28">
        <v>46120</v>
      </c>
      <c r="B227" s="29">
        <v>1291.22</v>
      </c>
      <c r="C227" s="29">
        <v>3305.75</v>
      </c>
      <c r="D227" s="29">
        <v>7.29</v>
      </c>
      <c r="E227" s="29">
        <v>6.42</v>
      </c>
      <c r="F227" s="29">
        <v>1829.2</v>
      </c>
      <c r="G227" s="29">
        <v>891.15</v>
      </c>
      <c r="H227" s="29">
        <v>392.9</v>
      </c>
      <c r="I227" s="27" t="inlineStr">
        <is>
          <t xml:space="preserve">mai/26</t>
        </is>
      </c>
      <c r="J227" s="29">
        <v>192201.16</v>
      </c>
      <c r="K227" s="30">
        <v>5122.5</v>
      </c>
      <c r="L227" s="27" t="inlineStr">
        <is>
          <t xml:space="preserve">mai/26</t>
        </is>
      </c>
      <c r="M227" s="29">
        <v>356.0</v>
      </c>
      <c r="N227" s="27" t="inlineStr">
        <is>
          <t xml:space="preserve">mai/26</t>
        </is>
      </c>
      <c r="O227" s="29">
        <v>69.13</v>
      </c>
      <c r="P227" s="27" t="inlineStr">
        <is>
          <t xml:space="preserve">mai/26</t>
        </is>
      </c>
      <c r="S227" s="30">
        <v>11.62</v>
      </c>
      <c r="T227" s="27" t="inlineStr">
        <is>
          <t xml:space="preserve">mai/26</t>
        </is>
      </c>
      <c r="U227" s="30">
        <v>4.4725</v>
      </c>
      <c r="V227" s="27" t="inlineStr">
        <is>
          <t xml:space="preserve">mai/26</t>
        </is>
      </c>
      <c r="W227" s="29">
        <v>314.1</v>
      </c>
      <c r="X227" s="27" t="inlineStr">
        <is>
          <t xml:space="preserve">mai/26</t>
        </is>
      </c>
      <c r="Y227" s="30">
        <v>0.6742</v>
      </c>
      <c r="Z227" s="27" t="inlineStr">
        <is>
          <t xml:space="preserve">mai/26</t>
        </is>
      </c>
      <c r="AA227" s="29">
        <v>393.36</v>
      </c>
      <c r="AB227" s="29">
        <v>103.82</v>
      </c>
      <c r="AC227" s="29">
        <v>364.72</v>
      </c>
      <c r="AD227" s="29">
        <v>355.84</v>
      </c>
      <c r="AE227" s="29">
        <v>347.19</v>
      </c>
      <c r="AF227" s="29">
        <v>345.3</v>
      </c>
      <c r="AG227" s="29">
        <v>348.55</v>
      </c>
      <c r="AH227" s="29">
        <v>346.8</v>
      </c>
      <c r="AI227" s="29">
        <v>364.74</v>
      </c>
      <c r="AJ227" s="29">
        <v>331.59</v>
      </c>
      <c r="AK227" s="29">
        <v>324.16</v>
      </c>
      <c r="AL227" s="29">
        <v>6.55</v>
      </c>
      <c r="AM227" s="29">
        <v>5.83</v>
      </c>
      <c r="AN227" s="29">
        <v>5.97</v>
      </c>
      <c r="AO227" s="29">
        <v>5.79</v>
      </c>
      <c r="AP227" s="29">
        <v>7.3</v>
      </c>
      <c r="AQ227" s="29">
        <v>164.2</v>
      </c>
      <c r="AR227" s="29">
        <v>188.97</v>
      </c>
      <c r="BH227" s="29">
        <v>1156.9</v>
      </c>
      <c r="BI227" s="29">
        <v>62.49</v>
      </c>
      <c r="BK227" s="29">
        <v>337.43</v>
      </c>
      <c r="BL227" s="29">
        <v>305.36</v>
      </c>
      <c r="BM227" s="29">
        <v>335.0</v>
      </c>
      <c r="BO227" s="29">
        <v>181.48</v>
      </c>
      <c r="BP227" s="29">
        <v>186.61</v>
      </c>
      <c r="BQ227" s="29">
        <v>167.6</v>
      </c>
      <c r="BR227" s="29">
        <v>160.33</v>
      </c>
      <c r="BX227" s="29">
        <v>45.6</v>
      </c>
      <c r="BY227" s="29">
        <v>52.0</v>
      </c>
      <c r="BZ227" s="29">
        <v>42.17</v>
      </c>
      <c r="CA227" s="29">
        <v>46.8</v>
      </c>
      <c r="CD227" s="29">
        <v>27.4</v>
      </c>
      <c r="CE227" s="29">
        <v>44.08</v>
      </c>
      <c r="CI227" s="29">
        <v>3196.0</v>
      </c>
      <c r="CJ227" s="27" t="inlineStr">
        <is>
          <t xml:space="preserve">mai/26</t>
        </is>
      </c>
    </row>
    <row r="228">
      <c r="A228" s="28">
        <v>46121</v>
      </c>
      <c r="B228" s="29">
        <v>1292.2</v>
      </c>
      <c r="C228" s="29">
        <v>3310.49</v>
      </c>
      <c r="D228" s="29">
        <v>7.32</v>
      </c>
      <c r="E228" s="29">
        <v>6.32</v>
      </c>
      <c r="F228" s="29">
        <v>1821.38</v>
      </c>
      <c r="G228" s="29">
        <v>899.64</v>
      </c>
      <c r="H228" s="29">
        <v>383.15</v>
      </c>
      <c r="I228" s="27" t="inlineStr">
        <is>
          <t xml:space="preserve">mai/26</t>
        </is>
      </c>
      <c r="J228" s="29">
        <v>195129.25</v>
      </c>
      <c r="K228" s="30">
        <v>5082.5</v>
      </c>
      <c r="L228" s="27" t="inlineStr">
        <is>
          <t xml:space="preserve">mai/26</t>
        </is>
      </c>
      <c r="M228" s="29">
        <v>360.5</v>
      </c>
      <c r="N228" s="27" t="inlineStr">
        <is>
          <t xml:space="preserve">mai/26</t>
        </is>
      </c>
      <c r="O228" s="29">
        <v>68.63</v>
      </c>
      <c r="P228" s="27" t="inlineStr">
        <is>
          <t xml:space="preserve">mai/26</t>
        </is>
      </c>
      <c r="S228" s="30">
        <v>11.6525</v>
      </c>
      <c r="T228" s="27" t="inlineStr">
        <is>
          <t xml:space="preserve">mai/26</t>
        </is>
      </c>
      <c r="U228" s="30">
        <v>4.44</v>
      </c>
      <c r="V228" s="27" t="inlineStr">
        <is>
          <t xml:space="preserve">mai/26</t>
        </is>
      </c>
      <c r="W228" s="29">
        <v>317.6</v>
      </c>
      <c r="X228" s="27" t="inlineStr">
        <is>
          <t xml:space="preserve">mai/26</t>
        </is>
      </c>
      <c r="Y228" s="30">
        <v>0.677</v>
      </c>
      <c r="Z228" s="27" t="inlineStr">
        <is>
          <t xml:space="preserve">mai/26</t>
        </is>
      </c>
      <c r="AA228" s="29">
        <v>390.81</v>
      </c>
      <c r="AB228" s="29">
        <v>104.16</v>
      </c>
      <c r="AC228" s="29">
        <v>364.43</v>
      </c>
      <c r="AD228" s="29">
        <v>357.27</v>
      </c>
      <c r="AE228" s="29">
        <v>351.08</v>
      </c>
      <c r="AF228" s="29">
        <v>346.27</v>
      </c>
      <c r="AG228" s="29">
        <v>349.97</v>
      </c>
      <c r="AH228" s="29">
        <v>346.24</v>
      </c>
      <c r="AI228" s="29">
        <v>365.66</v>
      </c>
      <c r="AJ228" s="29">
        <v>332.77</v>
      </c>
      <c r="AK228" s="29">
        <v>327.25</v>
      </c>
      <c r="AL228" s="29">
        <v>6.32</v>
      </c>
      <c r="AM228" s="29">
        <v>5.69</v>
      </c>
      <c r="AN228" s="29">
        <v>5.87</v>
      </c>
      <c r="AO228" s="29">
        <v>5.77</v>
      </c>
      <c r="AP228" s="29">
        <v>7.33</v>
      </c>
      <c r="AQ228" s="29">
        <v>163.91</v>
      </c>
      <c r="AR228" s="29">
        <v>187.71</v>
      </c>
      <c r="BH228" s="29">
        <v>1167.76</v>
      </c>
      <c r="BI228" s="29">
        <v>62.65</v>
      </c>
      <c r="BK228" s="29">
        <v>337.76</v>
      </c>
      <c r="BL228" s="29">
        <v>310.09</v>
      </c>
      <c r="BM228" s="29">
        <v>330.0</v>
      </c>
      <c r="BO228" s="29">
        <v>176.67</v>
      </c>
      <c r="BP228" s="29">
        <v>188.12</v>
      </c>
      <c r="BQ228" s="29">
        <v>167.2</v>
      </c>
      <c r="BR228" s="29">
        <v>159.4</v>
      </c>
      <c r="BX228" s="29">
        <v>45.6</v>
      </c>
      <c r="BY228" s="29">
        <v>52.0</v>
      </c>
      <c r="BZ228" s="29">
        <v>42.17</v>
      </c>
      <c r="CD228" s="29">
        <v>27.4</v>
      </c>
      <c r="CE228" s="29">
        <v>44.17</v>
      </c>
      <c r="CI228" s="29">
        <v>3162.0</v>
      </c>
      <c r="CJ228" s="27" t="inlineStr">
        <is>
          <t xml:space="preserve">mai/26</t>
        </is>
      </c>
    </row>
    <row r="229">
      <c r="A229" s="28">
        <v>46122</v>
      </c>
      <c r="B229" s="29">
        <v>1296.92</v>
      </c>
      <c r="C229" s="29">
        <v>3328.66</v>
      </c>
      <c r="D229" s="29">
        <v>7.27</v>
      </c>
      <c r="E229" s="29">
        <v>6.17</v>
      </c>
      <c r="F229" s="29">
        <v>1814.56</v>
      </c>
      <c r="G229" s="29">
        <v>879.03</v>
      </c>
      <c r="H229" s="29">
        <v>393.45</v>
      </c>
      <c r="I229" s="27" t="inlineStr">
        <is>
          <t xml:space="preserve">mai/26</t>
        </is>
      </c>
      <c r="J229" s="29">
        <v>197323.87</v>
      </c>
      <c r="K229" s="30">
        <v>5024.5</v>
      </c>
      <c r="L229" s="27" t="inlineStr">
        <is>
          <t xml:space="preserve">mai/26</t>
        </is>
      </c>
      <c r="M229" s="29">
        <v>358.1</v>
      </c>
      <c r="N229" s="27" t="inlineStr">
        <is>
          <t xml:space="preserve">mai/26</t>
        </is>
      </c>
      <c r="O229" s="29">
        <v>68.27</v>
      </c>
      <c r="P229" s="27" t="inlineStr">
        <is>
          <t xml:space="preserve">mai/26</t>
        </is>
      </c>
      <c r="S229" s="30">
        <v>11.7575</v>
      </c>
      <c r="T229" s="27" t="inlineStr">
        <is>
          <t xml:space="preserve">mai/26</t>
        </is>
      </c>
      <c r="U229" s="30">
        <v>4.41</v>
      </c>
      <c r="V229" s="27" t="inlineStr">
        <is>
          <t xml:space="preserve">mai/26</t>
        </is>
      </c>
      <c r="W229" s="29">
        <v>331.8</v>
      </c>
      <c r="X229" s="27" t="inlineStr">
        <is>
          <t xml:space="preserve">mai/26</t>
        </is>
      </c>
      <c r="Y229" s="30">
        <v>0.6709</v>
      </c>
      <c r="Z229" s="27" t="inlineStr">
        <is>
          <t xml:space="preserve">mai/26</t>
        </is>
      </c>
      <c r="AA229" s="29">
        <v>388.09</v>
      </c>
      <c r="AB229" s="29">
        <v>105.78</v>
      </c>
      <c r="AC229" s="29">
        <v>364.6</v>
      </c>
      <c r="AD229" s="29">
        <v>357.63</v>
      </c>
      <c r="AE229" s="29">
        <v>351.97</v>
      </c>
      <c r="AF229" s="29">
        <v>348.03</v>
      </c>
      <c r="AG229" s="29">
        <v>350.23</v>
      </c>
      <c r="AH229" s="29">
        <v>347.46</v>
      </c>
      <c r="AI229" s="29">
        <v>365.33</v>
      </c>
      <c r="AJ229" s="29">
        <v>335.82</v>
      </c>
      <c r="AK229" s="29">
        <v>328.15</v>
      </c>
      <c r="AL229" s="29">
        <v>6.05</v>
      </c>
      <c r="AM229" s="29">
        <v>5.67</v>
      </c>
      <c r="AN229" s="29">
        <v>5.84</v>
      </c>
      <c r="AO229" s="29">
        <v>5.77</v>
      </c>
      <c r="AP229" s="29">
        <v>7.29</v>
      </c>
      <c r="AQ229" s="29">
        <v>164.01</v>
      </c>
      <c r="AR229" s="29">
        <v>187.44</v>
      </c>
      <c r="BC229" s="29">
        <v>10.04</v>
      </c>
      <c r="BD229" s="29">
        <v>9.82</v>
      </c>
      <c r="BE229" s="29">
        <v>10.45</v>
      </c>
      <c r="BF229" s="29">
        <v>8.94</v>
      </c>
      <c r="BG229" s="29">
        <v>10.22</v>
      </c>
      <c r="BH229" s="29">
        <v>1167.8</v>
      </c>
      <c r="BI229" s="29">
        <v>62.88</v>
      </c>
      <c r="BK229" s="29">
        <v>337.49</v>
      </c>
      <c r="BL229" s="29">
        <v>306.74</v>
      </c>
      <c r="BM229" s="29">
        <v>328.0</v>
      </c>
      <c r="BO229" s="29">
        <v>176.67</v>
      </c>
      <c r="BP229" s="29">
        <v>188.12</v>
      </c>
      <c r="BQ229" s="29">
        <v>166.06</v>
      </c>
      <c r="BR229" s="29">
        <v>157.83</v>
      </c>
      <c r="BS229" s="30">
        <v>2.7873</v>
      </c>
      <c r="BT229" s="30">
        <v>3.1948</v>
      </c>
      <c r="BU229" s="29">
        <v>528.75</v>
      </c>
      <c r="BV229" s="29">
        <v>489.78</v>
      </c>
      <c r="BW229" s="29">
        <v>546.19</v>
      </c>
      <c r="BX229" s="29">
        <v>45.6</v>
      </c>
      <c r="BY229" s="29">
        <v>52.0</v>
      </c>
      <c r="BZ229" s="29">
        <v>42.17</v>
      </c>
      <c r="CD229" s="29">
        <v>27.4</v>
      </c>
      <c r="CE229" s="29">
        <v>44.17</v>
      </c>
      <c r="CI229" s="29">
        <v>3246.0</v>
      </c>
      <c r="CJ229" s="27" t="inlineStr">
        <is>
          <t xml:space="preserve">mai/26</t>
        </is>
      </c>
    </row>
    <row r="230">
      <c r="A230" s="28">
        <v>46125</v>
      </c>
      <c r="B230" s="29">
        <v>1315.01</v>
      </c>
      <c r="C230" s="29">
        <v>3346.72</v>
      </c>
      <c r="D230" s="29">
        <v>7.34</v>
      </c>
      <c r="E230" s="29">
        <v>5.83</v>
      </c>
      <c r="F230" s="29">
        <v>1821.25</v>
      </c>
      <c r="G230" s="29">
        <v>878.82</v>
      </c>
      <c r="H230" s="29">
        <v>388.95</v>
      </c>
      <c r="I230" s="27" t="inlineStr">
        <is>
          <t xml:space="preserve">mai/26</t>
        </is>
      </c>
      <c r="J230" s="29">
        <v>198000.71</v>
      </c>
      <c r="K230" s="30">
        <v>5017.0</v>
      </c>
      <c r="L230" s="27" t="inlineStr">
        <is>
          <t xml:space="preserve">mai/26</t>
        </is>
      </c>
      <c r="M230" s="29">
        <v>350.9</v>
      </c>
      <c r="N230" s="27" t="inlineStr">
        <is>
          <t xml:space="preserve">mai/26</t>
        </is>
      </c>
      <c r="O230" s="29">
        <v>67.63</v>
      </c>
      <c r="P230" s="27" t="inlineStr">
        <is>
          <t xml:space="preserve">mai/26</t>
        </is>
      </c>
      <c r="S230" s="30">
        <v>11.6225</v>
      </c>
      <c r="T230" s="27" t="inlineStr">
        <is>
          <t xml:space="preserve">mai/26</t>
        </is>
      </c>
      <c r="U230" s="30">
        <v>4.4025</v>
      </c>
      <c r="V230" s="27" t="inlineStr">
        <is>
          <t xml:space="preserve">mai/26</t>
        </is>
      </c>
      <c r="W230" s="29">
        <v>331.9</v>
      </c>
      <c r="X230" s="27" t="inlineStr">
        <is>
          <t xml:space="preserve">mai/26</t>
        </is>
      </c>
      <c r="Y230" s="30">
        <v>0.665</v>
      </c>
      <c r="Z230" s="27" t="inlineStr">
        <is>
          <t xml:space="preserve">mai/26</t>
        </is>
      </c>
      <c r="AA230" s="29">
        <v>392.31</v>
      </c>
      <c r="AB230" s="29">
        <v>103.47</v>
      </c>
      <c r="AL230" s="29">
        <v>5.83</v>
      </c>
      <c r="AM230" s="29">
        <v>5.6</v>
      </c>
      <c r="AN230" s="29">
        <v>5.71</v>
      </c>
      <c r="AO230" s="29">
        <v>5.65</v>
      </c>
      <c r="AP230" s="29">
        <v>7.36</v>
      </c>
      <c r="AQ230" s="29">
        <v>164.03</v>
      </c>
      <c r="AR230" s="29">
        <v>187.48</v>
      </c>
      <c r="BH230" s="29">
        <v>1174.53</v>
      </c>
      <c r="BI230" s="29">
        <v>62.79</v>
      </c>
      <c r="BK230" s="29">
        <v>338.8</v>
      </c>
      <c r="BL230" s="29">
        <v>312.61</v>
      </c>
      <c r="BM230" s="29">
        <v>332.5</v>
      </c>
      <c r="BO230" s="29">
        <v>171.78</v>
      </c>
      <c r="BP230" s="29">
        <v>188.85</v>
      </c>
      <c r="BQ230" s="29">
        <v>165.24</v>
      </c>
      <c r="BR230" s="29">
        <v>161.75</v>
      </c>
      <c r="BX230" s="29">
        <v>45.0</v>
      </c>
      <c r="BY230" s="29">
        <v>52.0</v>
      </c>
      <c r="BZ230" s="29">
        <v>42.17</v>
      </c>
      <c r="CA230" s="29">
        <v>45.2</v>
      </c>
      <c r="CD230" s="29">
        <v>28.0</v>
      </c>
      <c r="CE230" s="29">
        <v>43.5</v>
      </c>
      <c r="CI230" s="29">
        <v>3278.0</v>
      </c>
      <c r="CJ230" s="27" t="inlineStr">
        <is>
          <t xml:space="preserve">mai/26</t>
        </is>
      </c>
    </row>
    <row r="231">
      <c r="A231" s="28">
        <v>46126</v>
      </c>
      <c r="B231" s="29">
        <v>1313.87</v>
      </c>
      <c r="C231" s="29">
        <v>3356.62</v>
      </c>
      <c r="D231" s="29">
        <v>7.34</v>
      </c>
      <c r="E231" s="29">
        <v>5.81</v>
      </c>
      <c r="F231" s="29">
        <v>1814.65</v>
      </c>
      <c r="G231" s="29">
        <v>899.64</v>
      </c>
      <c r="H231" s="29">
        <v>388.75</v>
      </c>
      <c r="I231" s="27" t="inlineStr">
        <is>
          <t xml:space="preserve">mai/26</t>
        </is>
      </c>
      <c r="J231" s="29">
        <v>198657.33</v>
      </c>
      <c r="K231" s="30">
        <v>5005.5</v>
      </c>
      <c r="L231" s="27" t="inlineStr">
        <is>
          <t xml:space="preserve">mai/26</t>
        </is>
      </c>
      <c r="M231" s="29">
        <v>351.6</v>
      </c>
      <c r="N231" s="27" t="inlineStr">
        <is>
          <t xml:space="preserve">mai/26</t>
        </is>
      </c>
      <c r="O231" s="29">
        <v>67.3</v>
      </c>
      <c r="P231" s="27" t="inlineStr">
        <is>
          <t xml:space="preserve">mai/26</t>
        </is>
      </c>
      <c r="S231" s="30">
        <v>11.58</v>
      </c>
      <c r="T231" s="27" t="inlineStr">
        <is>
          <t xml:space="preserve">mai/26</t>
        </is>
      </c>
      <c r="U231" s="30">
        <v>4.43</v>
      </c>
      <c r="V231" s="27" t="inlineStr">
        <is>
          <t xml:space="preserve">mai/26</t>
        </is>
      </c>
      <c r="W231" s="29">
        <v>329.7</v>
      </c>
      <c r="X231" s="27" t="inlineStr">
        <is>
          <t xml:space="preserve">mai/26</t>
        </is>
      </c>
      <c r="Y231" s="30">
        <v>0.6644</v>
      </c>
      <c r="Z231" s="27" t="inlineStr">
        <is>
          <t xml:space="preserve">mai/26</t>
        </is>
      </c>
      <c r="AA231" s="29">
        <v>395.93</v>
      </c>
      <c r="AB231" s="29">
        <v>101.5</v>
      </c>
      <c r="AC231" s="29">
        <v>367.09</v>
      </c>
      <c r="AD231" s="29">
        <v>357.88</v>
      </c>
      <c r="AE231" s="29">
        <v>353.72</v>
      </c>
      <c r="AF231" s="29">
        <v>352.53</v>
      </c>
      <c r="AG231" s="29">
        <v>356.95</v>
      </c>
      <c r="AH231" s="29">
        <v>347.59</v>
      </c>
      <c r="AI231" s="29">
        <v>366.91</v>
      </c>
      <c r="AJ231" s="29">
        <v>340.25</v>
      </c>
      <c r="AK231" s="29">
        <v>329.09</v>
      </c>
      <c r="AL231" s="29">
        <v>5.65</v>
      </c>
      <c r="AM231" s="29">
        <v>5.47</v>
      </c>
      <c r="AN231" s="29">
        <v>5.66</v>
      </c>
      <c r="AO231" s="29">
        <v>5.48</v>
      </c>
      <c r="AP231" s="29">
        <v>7.36</v>
      </c>
      <c r="AQ231" s="29">
        <v>162.57</v>
      </c>
      <c r="AR231" s="29">
        <v>186.79</v>
      </c>
      <c r="BH231" s="29">
        <v>1174.53</v>
      </c>
      <c r="BI231" s="29">
        <v>62.77</v>
      </c>
      <c r="BK231" s="29">
        <v>345.87</v>
      </c>
      <c r="BL231" s="29">
        <v>312.57</v>
      </c>
      <c r="BO231" s="29">
        <v>170.56</v>
      </c>
      <c r="BP231" s="29">
        <v>187.62</v>
      </c>
      <c r="BQ231" s="29">
        <v>165.36</v>
      </c>
      <c r="BX231" s="29">
        <v>45.0</v>
      </c>
      <c r="BY231" s="29">
        <v>52.0</v>
      </c>
      <c r="BZ231" s="29">
        <v>42.0</v>
      </c>
      <c r="CA231" s="29">
        <v>45.2</v>
      </c>
      <c r="CD231" s="29">
        <v>28.33</v>
      </c>
      <c r="CE231" s="29">
        <v>43.67</v>
      </c>
      <c r="CI231" s="29">
        <v>3557.0</v>
      </c>
      <c r="CJ231" s="27" t="inlineStr">
        <is>
          <t xml:space="preserve">mai/26</t>
        </is>
      </c>
    </row>
    <row r="232">
      <c r="A232" s="28">
        <v>46127</v>
      </c>
      <c r="B232" s="29">
        <v>1321.27</v>
      </c>
      <c r="C232" s="29">
        <v>3366.17</v>
      </c>
      <c r="D232" s="29">
        <v>7.34</v>
      </c>
      <c r="E232" s="29">
        <v>5.81</v>
      </c>
      <c r="F232" s="29">
        <v>1822.96</v>
      </c>
      <c r="G232" s="29">
        <v>901.64</v>
      </c>
      <c r="H232" s="29">
        <v>388.5</v>
      </c>
      <c r="I232" s="27" t="inlineStr">
        <is>
          <t xml:space="preserve">mai/26</t>
        </is>
      </c>
      <c r="J232" s="29">
        <v>197737.61</v>
      </c>
      <c r="K232" s="30">
        <v>5007.0</v>
      </c>
      <c r="L232" s="27" t="inlineStr">
        <is>
          <t xml:space="preserve">mai/26</t>
        </is>
      </c>
      <c r="M232" s="29">
        <v>350.15</v>
      </c>
      <c r="N232" s="27" t="inlineStr">
        <is>
          <t xml:space="preserve">mai/26</t>
        </is>
      </c>
      <c r="O232" s="29">
        <v>66.24</v>
      </c>
      <c r="P232" s="27" t="inlineStr">
        <is>
          <t xml:space="preserve">mai/26</t>
        </is>
      </c>
      <c r="S232" s="30">
        <v>11.67</v>
      </c>
      <c r="T232" s="27" t="inlineStr">
        <is>
          <t xml:space="preserve">mai/26</t>
        </is>
      </c>
      <c r="U232" s="30">
        <v>4.5125</v>
      </c>
      <c r="V232" s="27" t="inlineStr">
        <is>
          <t xml:space="preserve">mai/26</t>
        </is>
      </c>
      <c r="W232" s="29">
        <v>334.4</v>
      </c>
      <c r="X232" s="27" t="inlineStr">
        <is>
          <t xml:space="preserve">mai/26</t>
        </is>
      </c>
      <c r="Y232" s="30">
        <v>0.676</v>
      </c>
      <c r="Z232" s="27" t="inlineStr">
        <is>
          <t xml:space="preserve">mai/26</t>
        </is>
      </c>
      <c r="AA232" s="29">
        <v>397.69</v>
      </c>
      <c r="AB232" s="29">
        <v>99.37</v>
      </c>
      <c r="AC232" s="29">
        <v>366.27</v>
      </c>
      <c r="AD232" s="29">
        <v>357.67</v>
      </c>
      <c r="AE232" s="29">
        <v>353.16</v>
      </c>
      <c r="AF232" s="29">
        <v>351.99</v>
      </c>
      <c r="AG232" s="29">
        <v>354.48</v>
      </c>
      <c r="AH232" s="29">
        <v>346.95</v>
      </c>
      <c r="AI232" s="29">
        <v>365.82</v>
      </c>
      <c r="AJ232" s="29">
        <v>339.87</v>
      </c>
      <c r="AK232" s="29">
        <v>328.93</v>
      </c>
      <c r="AL232" s="29">
        <v>5.66</v>
      </c>
      <c r="AM232" s="29">
        <v>5.44</v>
      </c>
      <c r="AN232" s="29">
        <v>5.57</v>
      </c>
      <c r="AO232" s="29">
        <v>5.37</v>
      </c>
      <c r="AP232" s="29">
        <v>7.36</v>
      </c>
      <c r="AQ232" s="29">
        <v>149.2</v>
      </c>
      <c r="AR232" s="29">
        <v>168.43</v>
      </c>
      <c r="BH232" s="29">
        <v>1196.51</v>
      </c>
      <c r="BI232" s="29">
        <v>63.18</v>
      </c>
      <c r="BK232" s="29">
        <v>351.18</v>
      </c>
      <c r="BL232" s="29">
        <v>312.57</v>
      </c>
      <c r="BM232" s="29">
        <v>343.0</v>
      </c>
      <c r="BO232" s="29">
        <v>168.97</v>
      </c>
      <c r="BP232" s="29">
        <v>184.37</v>
      </c>
      <c r="BQ232" s="29">
        <v>165.81</v>
      </c>
      <c r="BR232" s="29">
        <v>162.83</v>
      </c>
      <c r="BX232" s="29">
        <v>45.0</v>
      </c>
      <c r="BY232" s="29">
        <v>52.0</v>
      </c>
      <c r="BZ232" s="29">
        <v>42.0</v>
      </c>
      <c r="CA232" s="29">
        <v>44.0</v>
      </c>
      <c r="CD232" s="29">
        <v>28.33</v>
      </c>
      <c r="CE232" s="29">
        <v>43.92</v>
      </c>
      <c r="CI232" s="29">
        <v>3477.0</v>
      </c>
      <c r="CJ232" s="27" t="inlineStr">
        <is>
          <t xml:space="preserve">mai/26</t>
        </is>
      </c>
    </row>
    <row r="233">
      <c r="A233" s="28">
        <v>46128</v>
      </c>
      <c r="B233" s="29">
        <v>1329.31</v>
      </c>
      <c r="C233" s="29">
        <v>3372.59</v>
      </c>
      <c r="D233" s="29">
        <v>7.34</v>
      </c>
      <c r="E233" s="29">
        <v>5.81</v>
      </c>
      <c r="F233" s="29">
        <v>1800.72</v>
      </c>
      <c r="G233" s="29">
        <v>896.31</v>
      </c>
      <c r="H233" s="29">
        <v>387.0</v>
      </c>
      <c r="I233" s="27" t="inlineStr">
        <is>
          <t xml:space="preserve">mai/26</t>
        </is>
      </c>
      <c r="J233" s="29">
        <v>196818.59</v>
      </c>
      <c r="K233" s="30">
        <v>5007.0</v>
      </c>
      <c r="L233" s="27" t="inlineStr">
        <is>
          <t xml:space="preserve">mai/26</t>
        </is>
      </c>
      <c r="M233" s="29">
        <v>351.0</v>
      </c>
      <c r="N233" s="27" t="inlineStr">
        <is>
          <t xml:space="preserve">mai/26</t>
        </is>
      </c>
      <c r="O233" s="29">
        <v>65.9</v>
      </c>
      <c r="P233" s="27" t="inlineStr">
        <is>
          <t xml:space="preserve">mai/26</t>
        </is>
      </c>
      <c r="S233" s="30">
        <v>11.6375</v>
      </c>
      <c r="T233" s="27" t="inlineStr">
        <is>
          <t xml:space="preserve">mai/26</t>
        </is>
      </c>
      <c r="U233" s="30">
        <v>4.485</v>
      </c>
      <c r="V233" s="27" t="inlineStr">
        <is>
          <t xml:space="preserve">mai/26</t>
        </is>
      </c>
      <c r="W233" s="29">
        <v>332.7</v>
      </c>
      <c r="X233" s="27" t="inlineStr">
        <is>
          <t xml:space="preserve">mai/26</t>
        </is>
      </c>
      <c r="Y233" s="30">
        <v>0.6933</v>
      </c>
      <c r="Z233" s="27" t="inlineStr">
        <is>
          <t xml:space="preserve">mai/26</t>
        </is>
      </c>
      <c r="AA233" s="29">
        <v>398.26</v>
      </c>
      <c r="AB233" s="29">
        <v>99.14</v>
      </c>
      <c r="AL233" s="29">
        <v>5.66</v>
      </c>
      <c r="AM233" s="29">
        <v>5.36</v>
      </c>
      <c r="AN233" s="29">
        <v>5.57</v>
      </c>
      <c r="AO233" s="29">
        <v>5.19</v>
      </c>
      <c r="AP233" s="29">
        <v>7.36</v>
      </c>
      <c r="AQ233" s="29">
        <v>148.58</v>
      </c>
      <c r="AR233" s="29">
        <v>167.8</v>
      </c>
      <c r="BH233" s="29">
        <v>1221.85</v>
      </c>
      <c r="BI233" s="29">
        <v>63.2</v>
      </c>
      <c r="BK233" s="29">
        <v>354.87</v>
      </c>
      <c r="BL233" s="29">
        <v>308.46</v>
      </c>
      <c r="BM233" s="29">
        <v>345.0</v>
      </c>
      <c r="BO233" s="29">
        <v>169.15</v>
      </c>
      <c r="BP233" s="29">
        <v>183.03</v>
      </c>
      <c r="BQ233" s="29">
        <v>165.28</v>
      </c>
      <c r="BR233" s="29">
        <v>160.0</v>
      </c>
      <c r="BX233" s="29">
        <v>45.0</v>
      </c>
      <c r="BY233" s="29">
        <v>52.0</v>
      </c>
      <c r="BZ233" s="29">
        <v>42.33</v>
      </c>
      <c r="CA233" s="29">
        <v>44.0</v>
      </c>
      <c r="CD233" s="29">
        <v>28.33</v>
      </c>
      <c r="CE233" s="29">
        <v>43.95</v>
      </c>
      <c r="CI233" s="29">
        <v>3367.0</v>
      </c>
      <c r="CJ233" s="27" t="inlineStr">
        <is>
          <t xml:space="preserve">mai/26</t>
        </is>
      </c>
    </row>
    <row r="234">
      <c r="A234" s="28">
        <v>46129</v>
      </c>
      <c r="B234" s="29">
        <v>1329.31</v>
      </c>
      <c r="C234" s="29">
        <v>3375.94</v>
      </c>
      <c r="D234" s="29">
        <v>7.34</v>
      </c>
      <c r="E234" s="29">
        <v>5.75</v>
      </c>
      <c r="F234" s="29">
        <v>1765.66</v>
      </c>
      <c r="G234" s="29">
        <v>885.48</v>
      </c>
      <c r="H234" s="29">
        <v>380.0</v>
      </c>
      <c r="I234" s="27" t="inlineStr">
        <is>
          <t xml:space="preserve">mai/26</t>
        </is>
      </c>
      <c r="J234" s="29">
        <v>195733.51</v>
      </c>
      <c r="K234" s="30">
        <v>4994.0</v>
      </c>
      <c r="L234" s="27" t="inlineStr">
        <is>
          <t xml:space="preserve">mai/26</t>
        </is>
      </c>
      <c r="M234" s="29">
        <v>346.55</v>
      </c>
      <c r="N234" s="27" t="inlineStr">
        <is>
          <t xml:space="preserve">mai/26</t>
        </is>
      </c>
      <c r="O234" s="29">
        <v>65.7</v>
      </c>
      <c r="P234" s="27" t="inlineStr">
        <is>
          <t xml:space="preserve">mai/26</t>
        </is>
      </c>
      <c r="S234" s="30">
        <v>11.6725</v>
      </c>
      <c r="T234" s="27" t="inlineStr">
        <is>
          <t xml:space="preserve">mai/26</t>
        </is>
      </c>
      <c r="U234" s="30">
        <v>4.4875</v>
      </c>
      <c r="V234" s="27" t="inlineStr">
        <is>
          <t xml:space="preserve">mai/26</t>
        </is>
      </c>
      <c r="W234" s="29">
        <v>331.8</v>
      </c>
      <c r="X234" s="27" t="inlineStr">
        <is>
          <t xml:space="preserve">mai/26</t>
        </is>
      </c>
      <c r="Y234" s="30">
        <v>0.6816</v>
      </c>
      <c r="Z234" s="27" t="inlineStr">
        <is>
          <t xml:space="preserve">mai/26</t>
        </is>
      </c>
      <c r="AA234" s="29">
        <v>398.53</v>
      </c>
      <c r="AB234" s="29">
        <v>99.9</v>
      </c>
      <c r="AC234" s="29">
        <v>364.33</v>
      </c>
      <c r="AD234" s="29">
        <v>356.32</v>
      </c>
      <c r="AE234" s="29">
        <v>348.23</v>
      </c>
      <c r="AF234" s="29">
        <v>353.78</v>
      </c>
      <c r="AG234" s="29">
        <v>350.41</v>
      </c>
      <c r="AH234" s="29">
        <v>346.73</v>
      </c>
      <c r="AI234" s="29">
        <v>365.13</v>
      </c>
      <c r="AJ234" s="29">
        <v>337.22</v>
      </c>
      <c r="AK234" s="29">
        <v>330.09</v>
      </c>
      <c r="AL234" s="29">
        <v>5.67</v>
      </c>
      <c r="AM234" s="29">
        <v>5.27</v>
      </c>
      <c r="AN234" s="29">
        <v>5.47</v>
      </c>
      <c r="AO234" s="29">
        <v>5.18</v>
      </c>
      <c r="AP234" s="29">
        <v>7.36</v>
      </c>
      <c r="AQ234" s="29">
        <v>148.58</v>
      </c>
      <c r="AR234" s="29">
        <v>167.8</v>
      </c>
      <c r="BC234" s="29">
        <v>10.05</v>
      </c>
      <c r="BD234" s="29">
        <v>9.82</v>
      </c>
      <c r="BE234" s="29">
        <v>10.46</v>
      </c>
      <c r="BF234" s="29">
        <v>8.98</v>
      </c>
      <c r="BG234" s="29">
        <v>10.23</v>
      </c>
      <c r="BH234" s="29">
        <v>1227.27</v>
      </c>
      <c r="BI234" s="29">
        <v>63.13</v>
      </c>
      <c r="BK234" s="29">
        <v>358.27</v>
      </c>
      <c r="BL234" s="29">
        <v>308.46</v>
      </c>
      <c r="BM234" s="29">
        <v>345.0</v>
      </c>
      <c r="BO234" s="29">
        <v>168.71</v>
      </c>
      <c r="BP234" s="29">
        <v>183.79</v>
      </c>
      <c r="BQ234" s="29">
        <v>164.19</v>
      </c>
      <c r="BR234" s="29">
        <v>162.86</v>
      </c>
      <c r="BS234" s="30">
        <v>2.592</v>
      </c>
      <c r="BT234" s="30">
        <v>2.9575</v>
      </c>
      <c r="BU234" s="29">
        <v>527.3</v>
      </c>
      <c r="BV234" s="29">
        <v>471.37</v>
      </c>
      <c r="BW234" s="29">
        <v>535.59</v>
      </c>
      <c r="BX234" s="29">
        <v>45.0</v>
      </c>
      <c r="BY234" s="29">
        <v>52.0</v>
      </c>
      <c r="BZ234" s="29">
        <v>42.33</v>
      </c>
      <c r="CA234" s="29">
        <v>44.0</v>
      </c>
      <c r="CD234" s="29">
        <v>28.57</v>
      </c>
      <c r="CE234" s="29">
        <v>43.46</v>
      </c>
      <c r="CI234" s="29">
        <v>3186.0</v>
      </c>
      <c r="CJ234" s="27" t="inlineStr">
        <is>
          <t xml:space="preserve">mai/26</t>
        </is>
      </c>
    </row>
    <row r="235">
      <c r="A235" s="28">
        <v>46132</v>
      </c>
      <c r="B235" s="29">
        <v>1339.61</v>
      </c>
      <c r="C235" s="29">
        <v>3380.72</v>
      </c>
      <c r="D235" s="29">
        <v>7.34</v>
      </c>
      <c r="E235" s="29">
        <v>5.56</v>
      </c>
      <c r="F235" s="29">
        <v>1775.85</v>
      </c>
      <c r="G235" s="29">
        <v>909.64</v>
      </c>
      <c r="H235" s="29">
        <v>389.3</v>
      </c>
      <c r="I235" s="27" t="inlineStr">
        <is>
          <t xml:space="preserve">mai/26</t>
        </is>
      </c>
      <c r="J235" s="29">
        <v>196132.06</v>
      </c>
      <c r="K235" s="30">
        <v>4967.0</v>
      </c>
      <c r="L235" s="27" t="inlineStr">
        <is>
          <t xml:space="preserve">mai/26</t>
        </is>
      </c>
      <c r="M235" s="29">
        <v>344.75</v>
      </c>
      <c r="N235" s="27" t="inlineStr">
        <is>
          <t xml:space="preserve">mai/26</t>
        </is>
      </c>
      <c r="O235" s="29">
        <v>67.55</v>
      </c>
      <c r="P235" s="27" t="inlineStr">
        <is>
          <t xml:space="preserve">mai/26</t>
        </is>
      </c>
      <c r="S235" s="30">
        <v>11.6575</v>
      </c>
      <c r="T235" s="27" t="inlineStr">
        <is>
          <t xml:space="preserve">mai/26</t>
        </is>
      </c>
      <c r="U235" s="30">
        <v>4.52</v>
      </c>
      <c r="V235" s="27" t="inlineStr">
        <is>
          <t xml:space="preserve">mai/26</t>
        </is>
      </c>
      <c r="W235" s="29">
        <v>325.1</v>
      </c>
      <c r="X235" s="27" t="inlineStr">
        <is>
          <t xml:space="preserve">mai/26</t>
        </is>
      </c>
      <c r="Y235" s="30">
        <v>0.6963</v>
      </c>
      <c r="Z235" s="27" t="inlineStr">
        <is>
          <t xml:space="preserve">mai/26</t>
        </is>
      </c>
      <c r="AA235" s="29">
        <v>399.01</v>
      </c>
      <c r="AB235" s="29">
        <v>99.39</v>
      </c>
      <c r="AC235" s="29">
        <v>366.31</v>
      </c>
      <c r="AD235" s="29">
        <v>355.51</v>
      </c>
      <c r="AE235" s="29">
        <v>345.19</v>
      </c>
      <c r="AF235" s="29">
        <v>352.02</v>
      </c>
      <c r="AG235" s="29">
        <v>349.34</v>
      </c>
      <c r="AH235" s="29">
        <v>345.85</v>
      </c>
      <c r="AI235" s="29">
        <v>363.3</v>
      </c>
      <c r="AJ235" s="29">
        <v>334.54</v>
      </c>
      <c r="AK235" s="29">
        <v>331.21</v>
      </c>
      <c r="AL235" s="29">
        <v>5.67</v>
      </c>
      <c r="AM235" s="29">
        <v>5.27</v>
      </c>
      <c r="AN235" s="29">
        <v>5.42</v>
      </c>
      <c r="AO235" s="29">
        <v>5.18</v>
      </c>
      <c r="AP235" s="29">
        <v>7.36</v>
      </c>
      <c r="AQ235" s="29">
        <v>148.58</v>
      </c>
      <c r="AR235" s="29">
        <v>167.8</v>
      </c>
      <c r="BH235" s="29">
        <v>1227.34</v>
      </c>
      <c r="BI235" s="29">
        <v>63.06</v>
      </c>
      <c r="BK235" s="29">
        <v>359.1</v>
      </c>
      <c r="BL235" s="29">
        <v>308.46</v>
      </c>
      <c r="BM235" s="29">
        <v>350.0</v>
      </c>
      <c r="BO235" s="29">
        <v>168.56</v>
      </c>
      <c r="BP235" s="29">
        <v>183.79</v>
      </c>
      <c r="BQ235" s="29">
        <v>164.14</v>
      </c>
      <c r="BR235" s="29">
        <v>162.86</v>
      </c>
      <c r="BX235" s="29">
        <v>44.0</v>
      </c>
      <c r="BY235" s="29">
        <v>52.0</v>
      </c>
      <c r="BZ235" s="29">
        <v>42.33</v>
      </c>
      <c r="CA235" s="29">
        <v>44.0</v>
      </c>
      <c r="CD235" s="29">
        <v>27.5</v>
      </c>
      <c r="CE235" s="29">
        <v>42.74</v>
      </c>
      <c r="CI235" s="29">
        <v>3298.0</v>
      </c>
      <c r="CJ235" s="27" t="inlineStr">
        <is>
          <t xml:space="preserve">mai/26</t>
        </is>
      </c>
    </row>
    <row r="236">
      <c r="A236" s="28">
        <v>46133</v>
      </c>
      <c r="M236" s="29">
        <v>345.9</v>
      </c>
      <c r="N236" s="27" t="inlineStr">
        <is>
          <t xml:space="preserve">mai/26</t>
        </is>
      </c>
      <c r="S236" s="30">
        <v>11.745</v>
      </c>
      <c r="T236" s="27" t="inlineStr">
        <is>
          <t xml:space="preserve">mai/26</t>
        </is>
      </c>
      <c r="U236" s="30">
        <v>4.5375</v>
      </c>
      <c r="V236" s="27" t="inlineStr">
        <is>
          <t xml:space="preserve">mai/26</t>
        </is>
      </c>
      <c r="W236" s="29">
        <v>325.3</v>
      </c>
      <c r="X236" s="27" t="inlineStr">
        <is>
          <t xml:space="preserve">mai/26</t>
        </is>
      </c>
      <c r="Y236" s="30">
        <v>0.7214</v>
      </c>
      <c r="Z236" s="27" t="inlineStr">
        <is>
          <t xml:space="preserve">mai/26</t>
        </is>
      </c>
      <c r="CI236" s="29">
        <v>3220.0</v>
      </c>
      <c r="CJ236" s="27" t="inlineStr">
        <is>
          <t xml:space="preserve">mai/26</t>
        </is>
      </c>
    </row>
    <row r="237">
      <c r="A237" s="28">
        <v>46134</v>
      </c>
      <c r="B237" s="29">
        <v>1342.19</v>
      </c>
      <c r="C237" s="29">
        <v>3381.64</v>
      </c>
      <c r="D237" s="29">
        <v>7.23</v>
      </c>
      <c r="E237" s="29">
        <v>5.56</v>
      </c>
      <c r="F237" s="29">
        <v>1770.08</v>
      </c>
      <c r="G237" s="29">
        <v>933.13</v>
      </c>
      <c r="H237" s="29">
        <v>389.95</v>
      </c>
      <c r="I237" s="27" t="inlineStr">
        <is>
          <t xml:space="preserve">mai/26</t>
        </is>
      </c>
      <c r="J237" s="29">
        <v>192888.96</v>
      </c>
      <c r="K237" s="30">
        <v>4972.5</v>
      </c>
      <c r="L237" s="27" t="inlineStr">
        <is>
          <t xml:space="preserve">mai/26</t>
        </is>
      </c>
      <c r="M237" s="29">
        <v>349.45</v>
      </c>
      <c r="N237" s="27" t="inlineStr">
        <is>
          <t xml:space="preserve">mai/26</t>
        </is>
      </c>
      <c r="O237" s="29">
        <v>68.95</v>
      </c>
      <c r="P237" s="27" t="inlineStr">
        <is>
          <t xml:space="preserve">mai/26</t>
        </is>
      </c>
      <c r="Q237" s="29">
        <v>25.64</v>
      </c>
      <c r="R237" s="27" t="inlineStr">
        <is>
          <t xml:space="preserve">mai/26</t>
        </is>
      </c>
      <c r="S237" s="30">
        <v>11.645</v>
      </c>
      <c r="T237" s="27" t="inlineStr">
        <is>
          <t xml:space="preserve">mai/26</t>
        </is>
      </c>
      <c r="U237" s="30">
        <v>4.5425</v>
      </c>
      <c r="V237" s="27" t="inlineStr">
        <is>
          <t xml:space="preserve">mai/26</t>
        </is>
      </c>
      <c r="W237" s="29">
        <v>320.6</v>
      </c>
      <c r="X237" s="27" t="inlineStr">
        <is>
          <t xml:space="preserve">mai/26</t>
        </is>
      </c>
      <c r="Y237" s="30">
        <v>0.7168</v>
      </c>
      <c r="Z237" s="27" t="inlineStr">
        <is>
          <t xml:space="preserve">mai/26</t>
        </is>
      </c>
      <c r="AA237" s="29">
        <v>404.5</v>
      </c>
      <c r="AB237" s="29">
        <v>99.04</v>
      </c>
      <c r="AC237" s="29">
        <v>362.01</v>
      </c>
      <c r="AD237" s="29">
        <v>353.37</v>
      </c>
      <c r="AE237" s="29">
        <v>342.45</v>
      </c>
      <c r="AF237" s="29">
        <v>350.45</v>
      </c>
      <c r="AG237" s="29">
        <v>346.76</v>
      </c>
      <c r="AH237" s="29">
        <v>346.17</v>
      </c>
      <c r="AI237" s="29">
        <v>360.74</v>
      </c>
      <c r="AJ237" s="29">
        <v>332.46</v>
      </c>
      <c r="AK237" s="29">
        <v>329.18</v>
      </c>
      <c r="AL237" s="29">
        <v>5.66</v>
      </c>
      <c r="AM237" s="29">
        <v>5.24</v>
      </c>
      <c r="AN237" s="29">
        <v>5.34</v>
      </c>
      <c r="AO237" s="29">
        <v>5.11</v>
      </c>
      <c r="AP237" s="29">
        <v>7.24</v>
      </c>
      <c r="AQ237" s="29">
        <v>148.69</v>
      </c>
      <c r="AR237" s="29">
        <v>167.8</v>
      </c>
      <c r="BH237" s="29">
        <v>1235.52</v>
      </c>
      <c r="BI237" s="29">
        <v>62.89</v>
      </c>
      <c r="BK237" s="29">
        <v>361.09</v>
      </c>
      <c r="BM237" s="29">
        <v>360.0</v>
      </c>
      <c r="BO237" s="29">
        <v>170.74</v>
      </c>
      <c r="BP237" s="29">
        <v>183.19</v>
      </c>
      <c r="BQ237" s="29">
        <v>163.18</v>
      </c>
      <c r="BR237" s="29">
        <v>163.75</v>
      </c>
      <c r="BX237" s="29">
        <v>43.2</v>
      </c>
      <c r="BY237" s="29">
        <v>52.0</v>
      </c>
      <c r="BZ237" s="29">
        <v>42.33</v>
      </c>
      <c r="CA237" s="29">
        <v>44.0</v>
      </c>
      <c r="CD237" s="29">
        <v>27.5</v>
      </c>
      <c r="CE237" s="29">
        <v>41.87</v>
      </c>
      <c r="CI237" s="29">
        <v>3339.0</v>
      </c>
      <c r="CJ237" s="27" t="inlineStr">
        <is>
          <t xml:space="preserve">mai/26</t>
        </is>
      </c>
    </row>
    <row r="238">
      <c r="A238" s="28">
        <v>46135</v>
      </c>
      <c r="B238" s="29">
        <v>1338.21</v>
      </c>
      <c r="C238" s="29">
        <v>3384.07</v>
      </c>
      <c r="D238" s="29">
        <v>7.23</v>
      </c>
      <c r="E238" s="29">
        <v>5.56</v>
      </c>
      <c r="F238" s="29">
        <v>1817.26</v>
      </c>
      <c r="G238" s="29">
        <v>941.63</v>
      </c>
      <c r="H238" s="29">
        <v>396.9</v>
      </c>
      <c r="I238" s="27" t="inlineStr">
        <is>
          <t xml:space="preserve">mai/26</t>
        </is>
      </c>
      <c r="J238" s="29">
        <v>191378.43</v>
      </c>
      <c r="K238" s="30">
        <v>5038.0</v>
      </c>
      <c r="L238" s="27" t="inlineStr">
        <is>
          <t xml:space="preserve">mai/26</t>
        </is>
      </c>
      <c r="M238" s="29">
        <v>343.8</v>
      </c>
      <c r="N238" s="27" t="inlineStr">
        <is>
          <t xml:space="preserve">mai/26</t>
        </is>
      </c>
      <c r="O238" s="29">
        <v>67.83</v>
      </c>
      <c r="P238" s="27" t="inlineStr">
        <is>
          <t xml:space="preserve">mai/26</t>
        </is>
      </c>
      <c r="Q238" s="29">
        <v>25.56</v>
      </c>
      <c r="R238" s="27" t="inlineStr">
        <is>
          <t xml:space="preserve">mai/26</t>
        </is>
      </c>
      <c r="S238" s="30">
        <v>11.5975</v>
      </c>
      <c r="T238" s="27" t="inlineStr">
        <is>
          <t xml:space="preserve">mai/26</t>
        </is>
      </c>
      <c r="U238" s="30">
        <v>4.555</v>
      </c>
      <c r="V238" s="27" t="inlineStr">
        <is>
          <t xml:space="preserve">mai/26</t>
        </is>
      </c>
      <c r="W238" s="29">
        <v>320.6</v>
      </c>
      <c r="X238" s="27" t="inlineStr">
        <is>
          <t xml:space="preserve">mai/26</t>
        </is>
      </c>
      <c r="Y238" s="30">
        <v>0.7166</v>
      </c>
      <c r="Z238" s="27" t="inlineStr">
        <is>
          <t xml:space="preserve">mai/26</t>
        </is>
      </c>
      <c r="AA238" s="29">
        <v>408.71</v>
      </c>
      <c r="AB238" s="29">
        <v>96.06</v>
      </c>
      <c r="AC238" s="29">
        <v>362.12</v>
      </c>
      <c r="AD238" s="29">
        <v>350.52</v>
      </c>
      <c r="AE238" s="29">
        <v>341.02</v>
      </c>
      <c r="AF238" s="29">
        <v>351.33</v>
      </c>
      <c r="AG238" s="29">
        <v>344.29</v>
      </c>
      <c r="AH238" s="29">
        <v>348.23</v>
      </c>
      <c r="AI238" s="29">
        <v>358.46</v>
      </c>
      <c r="AJ238" s="29">
        <v>330.89</v>
      </c>
      <c r="AK238" s="29">
        <v>328.76</v>
      </c>
      <c r="AL238" s="29">
        <v>5.67</v>
      </c>
      <c r="AM238" s="29">
        <v>5.21</v>
      </c>
      <c r="AN238" s="29">
        <v>5.34</v>
      </c>
      <c r="AO238" s="29">
        <v>5.11</v>
      </c>
      <c r="AP238" s="29">
        <v>7.24</v>
      </c>
      <c r="AQ238" s="29">
        <v>148.53</v>
      </c>
      <c r="AR238" s="29">
        <v>167.43</v>
      </c>
      <c r="BH238" s="29">
        <v>1244.12</v>
      </c>
      <c r="BI238" s="29">
        <v>62.75</v>
      </c>
      <c r="BK238" s="29">
        <v>363.2</v>
      </c>
      <c r="BL238" s="29">
        <v>337.68</v>
      </c>
      <c r="BM238" s="29">
        <v>360.0</v>
      </c>
      <c r="BO238" s="29">
        <v>173.1</v>
      </c>
      <c r="BP238" s="29">
        <v>182.83</v>
      </c>
      <c r="BQ238" s="29">
        <v>161.44</v>
      </c>
      <c r="BR238" s="29">
        <v>162.88</v>
      </c>
      <c r="BX238" s="29">
        <v>43.2</v>
      </c>
      <c r="BY238" s="29">
        <v>52.0</v>
      </c>
      <c r="BZ238" s="29">
        <v>42.33</v>
      </c>
      <c r="CA238" s="29">
        <v>44.0</v>
      </c>
      <c r="CD238" s="29">
        <v>27.5</v>
      </c>
      <c r="CE238" s="29">
        <v>41.81</v>
      </c>
      <c r="CI238" s="29">
        <v>3369.0</v>
      </c>
      <c r="CJ238" s="27" t="inlineStr">
        <is>
          <t xml:space="preserve">mai/26</t>
        </is>
      </c>
    </row>
    <row r="239">
      <c r="A239" s="28">
        <v>46136</v>
      </c>
      <c r="B239" s="29">
        <v>1335.79</v>
      </c>
      <c r="C239" s="29">
        <v>3389.87</v>
      </c>
      <c r="D239" s="29">
        <v>7.19</v>
      </c>
      <c r="E239" s="29">
        <v>5.5</v>
      </c>
      <c r="F239" s="29">
        <v>1831.26</v>
      </c>
      <c r="G239" s="29">
        <v>955.12</v>
      </c>
      <c r="H239" s="29">
        <v>390.0</v>
      </c>
      <c r="I239" s="27" t="inlineStr">
        <is>
          <t xml:space="preserve">mai/26</t>
        </is>
      </c>
      <c r="J239" s="29">
        <v>190745.02</v>
      </c>
      <c r="K239" s="30">
        <v>4987.0</v>
      </c>
      <c r="L239" s="27" t="inlineStr">
        <is>
          <t xml:space="preserve">mai/26</t>
        </is>
      </c>
      <c r="M239" s="29">
        <v>347.4</v>
      </c>
      <c r="N239" s="27" t="inlineStr">
        <is>
          <t xml:space="preserve">mai/26</t>
        </is>
      </c>
      <c r="O239" s="29">
        <v>68.6</v>
      </c>
      <c r="P239" s="27" t="inlineStr">
        <is>
          <t xml:space="preserve">mai/26</t>
        </is>
      </c>
      <c r="Q239" s="29">
        <v>25.65</v>
      </c>
      <c r="R239" s="27" t="inlineStr">
        <is>
          <t xml:space="preserve">mai/26</t>
        </is>
      </c>
      <c r="S239" s="30">
        <v>11.6375</v>
      </c>
      <c r="T239" s="27" t="inlineStr">
        <is>
          <t xml:space="preserve">mai/26</t>
        </is>
      </c>
      <c r="U239" s="30">
        <v>4.55</v>
      </c>
      <c r="V239" s="27" t="inlineStr">
        <is>
          <t xml:space="preserve">mai/26</t>
        </is>
      </c>
      <c r="W239" s="29">
        <v>324.3</v>
      </c>
      <c r="X239" s="27" t="inlineStr">
        <is>
          <t xml:space="preserve">mai/26</t>
        </is>
      </c>
      <c r="Y239" s="30">
        <v>0.7191</v>
      </c>
      <c r="Z239" s="27" t="inlineStr">
        <is>
          <t xml:space="preserve">mai/26</t>
        </is>
      </c>
      <c r="AA239" s="29">
        <v>409.45</v>
      </c>
      <c r="AB239" s="29">
        <v>99.66</v>
      </c>
      <c r="AC239" s="29">
        <v>360.32</v>
      </c>
      <c r="AD239" s="29">
        <v>350.58</v>
      </c>
      <c r="AE239" s="29">
        <v>340.1</v>
      </c>
      <c r="AF239" s="29">
        <v>352.01</v>
      </c>
      <c r="AG239" s="29">
        <v>343.45</v>
      </c>
      <c r="AH239" s="29">
        <v>346.57</v>
      </c>
      <c r="AI239" s="29">
        <v>359.12</v>
      </c>
      <c r="AJ239" s="29">
        <v>330.21</v>
      </c>
      <c r="AK239" s="29">
        <v>326.62</v>
      </c>
      <c r="AL239" s="29">
        <v>5.68</v>
      </c>
      <c r="AM239" s="29">
        <v>5.06</v>
      </c>
      <c r="AN239" s="29">
        <v>5.3</v>
      </c>
      <c r="AO239" s="29">
        <v>4.98</v>
      </c>
      <c r="AP239" s="29">
        <v>7.2</v>
      </c>
      <c r="AQ239" s="29">
        <v>138.86</v>
      </c>
      <c r="AR239" s="29">
        <v>157.62</v>
      </c>
      <c r="BC239" s="29">
        <v>10.05</v>
      </c>
      <c r="BD239" s="29">
        <v>9.8</v>
      </c>
      <c r="BE239" s="29">
        <v>10.46</v>
      </c>
      <c r="BF239" s="29">
        <v>8.97</v>
      </c>
      <c r="BG239" s="29">
        <v>10.23</v>
      </c>
      <c r="BH239" s="29">
        <v>1260.04</v>
      </c>
      <c r="BI239" s="29">
        <v>62.62</v>
      </c>
      <c r="BK239" s="29">
        <v>368.54</v>
      </c>
      <c r="BL239" s="29">
        <v>337.68</v>
      </c>
      <c r="BM239" s="29">
        <v>360.0</v>
      </c>
      <c r="BO239" s="29">
        <v>171.56</v>
      </c>
      <c r="BP239" s="29">
        <v>183.14</v>
      </c>
      <c r="BQ239" s="29">
        <v>161.0</v>
      </c>
      <c r="BR239" s="29">
        <v>164.38</v>
      </c>
      <c r="BS239" s="30">
        <v>2.4512</v>
      </c>
      <c r="BT239" s="30">
        <v>2.8546</v>
      </c>
      <c r="BU239" s="29">
        <v>525.26</v>
      </c>
      <c r="BV239" s="29">
        <v>462.31</v>
      </c>
      <c r="BW239" s="29">
        <v>531.78</v>
      </c>
      <c r="BX239" s="29">
        <v>43.2</v>
      </c>
      <c r="BY239" s="29">
        <v>52.0</v>
      </c>
      <c r="BZ239" s="29">
        <v>42.33</v>
      </c>
      <c r="CA239" s="29">
        <v>44.0</v>
      </c>
      <c r="CD239" s="29">
        <v>26.88</v>
      </c>
      <c r="CE239" s="29">
        <v>41.78</v>
      </c>
      <c r="CI239" s="29">
        <v>3349.0</v>
      </c>
      <c r="CJ239" s="27" t="inlineStr">
        <is>
          <t xml:space="preserve">mai/26</t>
        </is>
      </c>
    </row>
    <row r="240">
      <c r="A240" s="28">
        <v>46139</v>
      </c>
      <c r="B240" s="29">
        <v>1338.2</v>
      </c>
      <c r="C240" s="29">
        <v>3401.32</v>
      </c>
      <c r="D240" s="29">
        <v>7.16</v>
      </c>
      <c r="E240" s="29">
        <v>5.41</v>
      </c>
      <c r="F240" s="29">
        <v>1784.03</v>
      </c>
      <c r="G240" s="29">
        <v>941.05</v>
      </c>
      <c r="H240" s="29">
        <v>390.65</v>
      </c>
      <c r="I240" s="27" t="inlineStr">
        <is>
          <t xml:space="preserve">mai/26</t>
        </is>
      </c>
      <c r="J240" s="29">
        <v>189578.79</v>
      </c>
      <c r="K240" s="30">
        <v>4987.0</v>
      </c>
      <c r="L240" s="27" t="inlineStr">
        <is>
          <t xml:space="preserve">mai/26</t>
        </is>
      </c>
      <c r="M240" s="29">
        <v>347.0</v>
      </c>
      <c r="N240" s="27" t="inlineStr">
        <is>
          <t xml:space="preserve">mai/26</t>
        </is>
      </c>
      <c r="O240" s="29">
        <v>68.92</v>
      </c>
      <c r="P240" s="27" t="inlineStr">
        <is>
          <t xml:space="preserve">mai/26</t>
        </is>
      </c>
      <c r="Q240" s="29">
        <v>25.95</v>
      </c>
      <c r="R240" s="27" t="inlineStr">
        <is>
          <t xml:space="preserve">mai/26</t>
        </is>
      </c>
      <c r="S240" s="30">
        <v>11.7725</v>
      </c>
      <c r="T240" s="27" t="inlineStr">
        <is>
          <t xml:space="preserve">mai/26</t>
        </is>
      </c>
      <c r="U240" s="30">
        <v>4.6075</v>
      </c>
      <c r="V240" s="27" t="inlineStr">
        <is>
          <t xml:space="preserve">mai/26</t>
        </is>
      </c>
      <c r="W240" s="29">
        <v>333.8</v>
      </c>
      <c r="X240" s="27" t="inlineStr">
        <is>
          <t xml:space="preserve">mai/26</t>
        </is>
      </c>
      <c r="Y240" s="30">
        <v>0.7226</v>
      </c>
      <c r="Z240" s="27" t="inlineStr">
        <is>
          <t xml:space="preserve">mai/26</t>
        </is>
      </c>
      <c r="AA240" s="29">
        <v>410.94</v>
      </c>
      <c r="AB240" s="29">
        <v>98.71</v>
      </c>
      <c r="AC240" s="29">
        <v>357.24</v>
      </c>
      <c r="AD240" s="29">
        <v>349.76</v>
      </c>
      <c r="AE240" s="29">
        <v>338.49</v>
      </c>
      <c r="AF240" s="29">
        <v>352.2</v>
      </c>
      <c r="AG240" s="29">
        <v>342.09</v>
      </c>
      <c r="AH240" s="29">
        <v>345.99</v>
      </c>
      <c r="AI240" s="29">
        <v>359.1</v>
      </c>
      <c r="AJ240" s="29">
        <v>331.03</v>
      </c>
      <c r="AK240" s="29">
        <v>325.02</v>
      </c>
      <c r="AL240" s="29">
        <v>5.66</v>
      </c>
      <c r="AM240" s="29">
        <v>4.93</v>
      </c>
      <c r="AN240" s="29">
        <v>5.14</v>
      </c>
      <c r="AO240" s="29">
        <v>4.94</v>
      </c>
      <c r="AP240" s="29">
        <v>7.17</v>
      </c>
      <c r="AQ240" s="29">
        <v>138.86</v>
      </c>
      <c r="AR240" s="29">
        <v>157.62</v>
      </c>
      <c r="BH240" s="29">
        <v>1269.96</v>
      </c>
      <c r="BI240" s="29">
        <v>62.63</v>
      </c>
      <c r="BK240" s="29">
        <v>374.92</v>
      </c>
      <c r="BL240" s="29">
        <v>337.68</v>
      </c>
      <c r="BM240" s="29">
        <v>381.5</v>
      </c>
      <c r="BO240" s="29">
        <v>175.4</v>
      </c>
      <c r="BP240" s="29">
        <v>184.4</v>
      </c>
      <c r="BQ240" s="29">
        <v>161.76</v>
      </c>
      <c r="BR240" s="29">
        <v>164.38</v>
      </c>
      <c r="BX240" s="29">
        <v>43.2</v>
      </c>
      <c r="BY240" s="29">
        <v>52.0</v>
      </c>
      <c r="BZ240" s="29">
        <v>42.33</v>
      </c>
      <c r="CA240" s="29">
        <v>44.0</v>
      </c>
      <c r="CD240" s="29">
        <v>26.67</v>
      </c>
      <c r="CE240" s="29">
        <v>41.41</v>
      </c>
      <c r="CI240" s="29">
        <v>3218.0</v>
      </c>
      <c r="CJ240" s="27" t="inlineStr">
        <is>
          <t xml:space="preserve">mai/26</t>
        </is>
      </c>
    </row>
    <row r="241">
      <c r="A241" s="28">
        <v>46140</v>
      </c>
      <c r="B241" s="29">
        <v>1340.34</v>
      </c>
      <c r="C241" s="29">
        <v>3403.82</v>
      </c>
      <c r="D241" s="29">
        <v>7.16</v>
      </c>
      <c r="E241" s="29">
        <v>5.36</v>
      </c>
      <c r="F241" s="29">
        <v>1774.88</v>
      </c>
      <c r="G241" s="29">
        <v>953.19</v>
      </c>
      <c r="H241" s="29">
        <v>386.25</v>
      </c>
      <c r="I241" s="27" t="inlineStr">
        <is>
          <t xml:space="preserve">mai/26</t>
        </is>
      </c>
      <c r="J241" s="29">
        <v>188618.69</v>
      </c>
      <c r="K241" s="30">
        <v>4976.5</v>
      </c>
      <c r="L241" s="27" t="inlineStr">
        <is>
          <t xml:space="preserve">mai/26</t>
        </is>
      </c>
      <c r="M241" s="29">
        <v>345.5</v>
      </c>
      <c r="N241" s="27" t="inlineStr">
        <is>
          <t xml:space="preserve">mai/26</t>
        </is>
      </c>
      <c r="O241" s="29">
        <v>68.21</v>
      </c>
      <c r="P241" s="27" t="inlineStr">
        <is>
          <t xml:space="preserve">mai/26</t>
        </is>
      </c>
      <c r="Q241" s="29">
        <v>25.87</v>
      </c>
      <c r="R241" s="27" t="inlineStr">
        <is>
          <t xml:space="preserve">mai/26</t>
        </is>
      </c>
      <c r="S241" s="30">
        <v>11.73</v>
      </c>
      <c r="T241" s="27" t="inlineStr">
        <is>
          <t xml:space="preserve">mai/26</t>
        </is>
      </c>
      <c r="U241" s="30">
        <v>4.6525</v>
      </c>
      <c r="V241" s="27" t="inlineStr">
        <is>
          <t xml:space="preserve">mai/26</t>
        </is>
      </c>
      <c r="W241" s="29">
        <v>333.4</v>
      </c>
      <c r="X241" s="27" t="inlineStr">
        <is>
          <t xml:space="preserve">mai/26</t>
        </is>
      </c>
      <c r="Y241" s="30">
        <v>0.7338</v>
      </c>
      <c r="Z241" s="27" t="inlineStr">
        <is>
          <t xml:space="preserve">mai/26</t>
        </is>
      </c>
      <c r="AA241" s="29">
        <v>410.94</v>
      </c>
      <c r="AB241" s="29">
        <v>97.66</v>
      </c>
      <c r="AC241" s="29">
        <v>356.28</v>
      </c>
      <c r="AD241" s="29">
        <v>348.72</v>
      </c>
      <c r="AE241" s="29">
        <v>337.61</v>
      </c>
      <c r="AF241" s="29">
        <v>350.48</v>
      </c>
      <c r="AG241" s="29">
        <v>339.81</v>
      </c>
      <c r="AH241" s="29">
        <v>345.67</v>
      </c>
      <c r="AI241" s="29">
        <v>357.73</v>
      </c>
      <c r="AJ241" s="29">
        <v>330.22</v>
      </c>
      <c r="AK241" s="29">
        <v>323.69</v>
      </c>
      <c r="AL241" s="29">
        <v>5.64</v>
      </c>
      <c r="AM241" s="29">
        <v>4.85</v>
      </c>
      <c r="AN241" s="29">
        <v>5.04</v>
      </c>
      <c r="AO241" s="29">
        <v>4.88</v>
      </c>
      <c r="AP241" s="29">
        <v>7.17</v>
      </c>
      <c r="AQ241" s="29">
        <v>138.85</v>
      </c>
      <c r="AR241" s="29">
        <v>157.91</v>
      </c>
      <c r="BH241" s="29">
        <v>1275.64</v>
      </c>
      <c r="BI241" s="29">
        <v>62.23</v>
      </c>
      <c r="BK241" s="29">
        <v>384.5</v>
      </c>
      <c r="BL241" s="29">
        <v>340.16</v>
      </c>
      <c r="BM241" s="29">
        <v>381.5</v>
      </c>
      <c r="BO241" s="29">
        <v>171.13</v>
      </c>
      <c r="BP241" s="29">
        <v>187.0</v>
      </c>
      <c r="BQ241" s="29">
        <v>162.13</v>
      </c>
      <c r="BR241" s="29">
        <v>164.5</v>
      </c>
      <c r="BX241" s="29">
        <v>43.2</v>
      </c>
      <c r="BY241" s="29">
        <v>52.0</v>
      </c>
      <c r="BZ241" s="29">
        <v>42.0</v>
      </c>
      <c r="CA241" s="29">
        <v>44.0</v>
      </c>
      <c r="CD241" s="29">
        <v>26.67</v>
      </c>
      <c r="CE241" s="29">
        <v>40.14</v>
      </c>
      <c r="CI241" s="29">
        <v>3305.0</v>
      </c>
      <c r="CJ241" s="27" t="inlineStr">
        <is>
          <t xml:space="preserve">mai/26</t>
        </is>
      </c>
    </row>
    <row r="242">
      <c r="A242" s="28">
        <v>46141</v>
      </c>
      <c r="B242" s="29">
        <v>1343.57</v>
      </c>
      <c r="C242" s="29">
        <v>3405.14</v>
      </c>
      <c r="D242" s="29">
        <v>7.16</v>
      </c>
      <c r="E242" s="29">
        <v>5.4</v>
      </c>
      <c r="F242" s="29">
        <v>1774.5</v>
      </c>
      <c r="G242" s="29">
        <v>940.88</v>
      </c>
      <c r="H242" s="29">
        <v>383.0</v>
      </c>
      <c r="I242" s="27" t="inlineStr">
        <is>
          <t xml:space="preserve">mai/26</t>
        </is>
      </c>
      <c r="J242" s="29">
        <v>184750.42</v>
      </c>
      <c r="K242" s="30">
        <v>4994.0</v>
      </c>
      <c r="L242" s="27" t="inlineStr">
        <is>
          <t xml:space="preserve">mai/26</t>
        </is>
      </c>
      <c r="M242" s="29">
        <v>339.7</v>
      </c>
      <c r="N242" s="27" t="inlineStr">
        <is>
          <t xml:space="preserve">mai/26</t>
        </is>
      </c>
      <c r="O242" s="29">
        <v>68.77</v>
      </c>
      <c r="P242" s="27" t="inlineStr">
        <is>
          <t xml:space="preserve">mai/26</t>
        </is>
      </c>
      <c r="Q242" s="29">
        <v>26.06</v>
      </c>
      <c r="R242" s="27" t="inlineStr">
        <is>
          <t xml:space="preserve">mai/26</t>
        </is>
      </c>
      <c r="S242" s="30">
        <v>11.8225</v>
      </c>
      <c r="T242" s="27" t="inlineStr">
        <is>
          <t xml:space="preserve">mai/26</t>
        </is>
      </c>
      <c r="U242" s="30">
        <v>4.665</v>
      </c>
      <c r="V242" s="27" t="inlineStr">
        <is>
          <t xml:space="preserve">mai/26</t>
        </is>
      </c>
      <c r="W242" s="29">
        <v>328.0</v>
      </c>
      <c r="X242" s="27" t="inlineStr">
        <is>
          <t xml:space="preserve">mai/26</t>
        </is>
      </c>
      <c r="Y242" s="30">
        <v>0.7531</v>
      </c>
      <c r="Z242" s="27" t="inlineStr">
        <is>
          <t xml:space="preserve">mai/26</t>
        </is>
      </c>
      <c r="AA242" s="29">
        <v>408.41</v>
      </c>
      <c r="AB242" s="29">
        <v>99.82</v>
      </c>
      <c r="AL242" s="29">
        <v>5.6</v>
      </c>
      <c r="AM242" s="29">
        <v>4.78</v>
      </c>
      <c r="AN242" s="29">
        <v>4.8</v>
      </c>
      <c r="AO242" s="29">
        <v>4.89</v>
      </c>
      <c r="AP242" s="29">
        <v>7.17</v>
      </c>
      <c r="AQ242" s="29">
        <v>138.85</v>
      </c>
      <c r="AR242" s="29">
        <v>157.91</v>
      </c>
      <c r="BH242" s="29">
        <v>1275.64</v>
      </c>
      <c r="BI242" s="29">
        <v>62.32</v>
      </c>
      <c r="BK242" s="29">
        <v>395.43</v>
      </c>
      <c r="BL242" s="29">
        <v>340.16</v>
      </c>
      <c r="BM242" s="29">
        <v>385.2</v>
      </c>
      <c r="BO242" s="29">
        <v>171.35</v>
      </c>
      <c r="BP242" s="29">
        <v>187.0</v>
      </c>
      <c r="BQ242" s="29">
        <v>164.53</v>
      </c>
      <c r="BR242" s="29">
        <v>164.5</v>
      </c>
      <c r="BX242" s="29">
        <v>44.0</v>
      </c>
      <c r="BY242" s="29">
        <v>52.0</v>
      </c>
      <c r="BZ242" s="29">
        <v>42.0</v>
      </c>
      <c r="CA242" s="29">
        <v>44.0</v>
      </c>
      <c r="CD242" s="29">
        <v>26.43</v>
      </c>
      <c r="CE242" s="29">
        <v>39.41</v>
      </c>
      <c r="CI242" s="29">
        <v>3335.0</v>
      </c>
      <c r="CJ242" s="27" t="inlineStr">
        <is>
          <t xml:space="preserve">mai/26</t>
        </is>
      </c>
    </row>
    <row r="243">
      <c r="A243" s="28">
        <v>46142</v>
      </c>
      <c r="B243" s="29">
        <v>1342.67</v>
      </c>
      <c r="C243" s="29">
        <v>3408.7</v>
      </c>
      <c r="D243" s="29">
        <v>7.16</v>
      </c>
      <c r="E243" s="29">
        <v>5.4</v>
      </c>
      <c r="F243" s="29">
        <v>1761.57</v>
      </c>
      <c r="G243" s="29">
        <v>925.26</v>
      </c>
      <c r="H243" s="29">
        <v>380.0</v>
      </c>
      <c r="I243" s="27" t="inlineStr">
        <is>
          <t xml:space="preserve">mai/26</t>
        </is>
      </c>
      <c r="J243" s="29">
        <v>187317.64</v>
      </c>
      <c r="K243" s="30">
        <v>4989.0</v>
      </c>
      <c r="L243" s="27" t="inlineStr">
        <is>
          <t xml:space="preserve">mai/26</t>
        </is>
      </c>
      <c r="M243" s="29">
        <v>341.3</v>
      </c>
      <c r="N243" s="27" t="inlineStr">
        <is>
          <t xml:space="preserve">mai/26</t>
        </is>
      </c>
      <c r="O243" s="29">
        <v>67.88</v>
      </c>
      <c r="P243" s="27" t="inlineStr">
        <is>
          <t xml:space="preserve">mai/26</t>
        </is>
      </c>
      <c r="S243" s="30">
        <v>11.82</v>
      </c>
      <c r="T243" s="27" t="inlineStr">
        <is>
          <t xml:space="preserve">mai/26</t>
        </is>
      </c>
      <c r="U243" s="30">
        <v>4.6475</v>
      </c>
      <c r="V243" s="27" t="inlineStr">
        <is>
          <t xml:space="preserve">mai/26</t>
        </is>
      </c>
      <c r="W243" s="29">
        <v>322.3</v>
      </c>
      <c r="X243" s="27" t="inlineStr">
        <is>
          <t xml:space="preserve">mai/26</t>
        </is>
      </c>
      <c r="Y243" s="30">
        <v>0.7636</v>
      </c>
      <c r="Z243" s="27" t="inlineStr">
        <is>
          <t xml:space="preserve">mai/26</t>
        </is>
      </c>
      <c r="AA243" s="29">
        <v>414.21</v>
      </c>
      <c r="AB243" s="29">
        <v>97.91</v>
      </c>
      <c r="AC243" s="29">
        <v>352.96</v>
      </c>
      <c r="AD243" s="29">
        <v>347.92</v>
      </c>
      <c r="AE243" s="29">
        <v>334.0</v>
      </c>
      <c r="AF243" s="29">
        <v>346.27</v>
      </c>
      <c r="AG243" s="29">
        <v>338.75</v>
      </c>
      <c r="AH243" s="29">
        <v>341.62</v>
      </c>
      <c r="AI243" s="29">
        <v>356.05</v>
      </c>
      <c r="AJ243" s="29">
        <v>328.77</v>
      </c>
      <c r="AK243" s="29">
        <v>322.89</v>
      </c>
      <c r="AL243" s="29">
        <v>5.6</v>
      </c>
      <c r="AM243" s="29">
        <v>4.69</v>
      </c>
      <c r="AN243" s="29">
        <v>4.8</v>
      </c>
      <c r="AO243" s="29">
        <v>4.91</v>
      </c>
      <c r="AP243" s="29">
        <v>7.17</v>
      </c>
      <c r="AQ243" s="29">
        <v>138.33</v>
      </c>
      <c r="AR243" s="29">
        <v>157.91</v>
      </c>
      <c r="BC243" s="29">
        <v>10.06</v>
      </c>
      <c r="BD243" s="29">
        <v>9.78</v>
      </c>
      <c r="BE243" s="29">
        <v>10.47</v>
      </c>
      <c r="BF243" s="29">
        <v>8.97</v>
      </c>
      <c r="BG243" s="29">
        <v>10.23</v>
      </c>
      <c r="BH243" s="29">
        <v>1260.96</v>
      </c>
      <c r="BI243" s="29">
        <v>62.3</v>
      </c>
      <c r="BK243" s="29">
        <v>395.85</v>
      </c>
      <c r="BL243" s="29">
        <v>345.1</v>
      </c>
      <c r="BM243" s="29">
        <v>390.0</v>
      </c>
      <c r="BO243" s="29">
        <v>171.35</v>
      </c>
      <c r="BP243" s="29">
        <v>188.43</v>
      </c>
      <c r="BQ243" s="29">
        <v>165.03</v>
      </c>
      <c r="BR243" s="29">
        <v>164.5</v>
      </c>
      <c r="BS243" s="30">
        <v>2.3158</v>
      </c>
      <c r="BT243" s="30">
        <v>2.6956</v>
      </c>
      <c r="BX243" s="29">
        <v>44.0</v>
      </c>
      <c r="BY243" s="29">
        <v>52.0</v>
      </c>
      <c r="BZ243" s="29">
        <v>42.0</v>
      </c>
      <c r="CA243" s="29">
        <v>44.0</v>
      </c>
      <c r="CD243" s="29">
        <v>25.82</v>
      </c>
      <c r="CE243" s="29">
        <v>40.03</v>
      </c>
      <c r="CI243" s="29">
        <v>3494.0</v>
      </c>
      <c r="CJ243" s="27" t="inlineStr">
        <is>
          <t xml:space="preserve">mai/26</t>
        </is>
      </c>
    </row>
    <row r="244">
      <c r="A244" s="28">
        <v>46143</v>
      </c>
      <c r="S244" s="30">
        <v>12.0325</v>
      </c>
      <c r="T244" s="27" t="inlineStr">
        <is>
          <t xml:space="preserve">jul/26</t>
        </is>
      </c>
      <c r="U244" s="30">
        <v>4.8025</v>
      </c>
      <c r="V244" s="27" t="inlineStr">
        <is>
          <t xml:space="preserve">jul/26</t>
        </is>
      </c>
      <c r="W244" s="29">
        <v>319.3</v>
      </c>
      <c r="X244" s="27" t="inlineStr">
        <is>
          <t xml:space="preserve">jul/26</t>
        </is>
      </c>
      <c r="Y244" s="30">
        <v>0.7516</v>
      </c>
      <c r="Z244" s="27" t="inlineStr">
        <is>
          <t xml:space="preserve">jul/26</t>
        </is>
      </c>
      <c r="AS244" s="30">
        <v>2.66</v>
      </c>
      <c r="AT244" s="30">
        <v>2.77</v>
      </c>
      <c r="AU244" s="30">
        <v>2.63</v>
      </c>
      <c r="AV244" s="30">
        <v>2.7</v>
      </c>
      <c r="AW244" s="30">
        <v>2.68</v>
      </c>
      <c r="AX244" s="30">
        <v>2.63</v>
      </c>
      <c r="AY244" s="30">
        <v>2.49</v>
      </c>
      <c r="AZ244" s="30">
        <v>2.46</v>
      </c>
      <c r="BA244" s="30">
        <v>2.76</v>
      </c>
      <c r="BB244" s="30">
        <v>2.55</v>
      </c>
      <c r="BU244" s="29">
        <v>524.44</v>
      </c>
      <c r="BV244" s="29">
        <v>450.29</v>
      </c>
      <c r="BW244" s="29">
        <v>531.46</v>
      </c>
    </row>
    <row r="245">
      <c r="A245" s="28">
        <v>46146</v>
      </c>
      <c r="B245" s="29">
        <v>1343.41</v>
      </c>
      <c r="C245" s="29">
        <v>3416.74</v>
      </c>
      <c r="D245" s="29">
        <v>7.16</v>
      </c>
      <c r="E245" s="29">
        <v>5.33</v>
      </c>
      <c r="F245" s="29">
        <v>1759.77</v>
      </c>
      <c r="G245" s="29">
        <v>910.36</v>
      </c>
      <c r="H245" s="29">
        <v>332.55</v>
      </c>
      <c r="I245" s="27" t="inlineStr">
        <is>
          <t xml:space="preserve">dez/26</t>
        </is>
      </c>
      <c r="J245" s="29">
        <v>185600.12</v>
      </c>
      <c r="K245" s="30">
        <v>4996.0</v>
      </c>
      <c r="L245" s="27" t="inlineStr">
        <is>
          <t xml:space="preserve">jun/26</t>
        </is>
      </c>
      <c r="M245" s="29">
        <v>340.5</v>
      </c>
      <c r="N245" s="27" t="inlineStr">
        <is>
          <t xml:space="preserve">jun/26</t>
        </is>
      </c>
      <c r="O245" s="29">
        <v>69.7</v>
      </c>
      <c r="P245" s="27" t="inlineStr">
        <is>
          <t xml:space="preserve">jul/26</t>
        </is>
      </c>
      <c r="Q245" s="29">
        <v>26.95</v>
      </c>
      <c r="R245" s="27" t="inlineStr">
        <is>
          <t xml:space="preserve">jul/26</t>
        </is>
      </c>
      <c r="S245" s="30">
        <v>12.2275</v>
      </c>
      <c r="T245" s="27" t="inlineStr">
        <is>
          <t xml:space="preserve">jul/26</t>
        </is>
      </c>
      <c r="U245" s="30">
        <v>4.8575</v>
      </c>
      <c r="V245" s="27" t="inlineStr">
        <is>
          <t xml:space="preserve">jul/26</t>
        </is>
      </c>
      <c r="W245" s="29">
        <v>320.9</v>
      </c>
      <c r="X245" s="27" t="inlineStr">
        <is>
          <t xml:space="preserve">jul/26</t>
        </is>
      </c>
      <c r="Y245" s="30">
        <v>0.7653</v>
      </c>
      <c r="Z245" s="27" t="inlineStr">
        <is>
          <t xml:space="preserve">jul/26</t>
        </is>
      </c>
      <c r="AA245" s="29">
        <v>412.5</v>
      </c>
      <c r="AB245" s="29">
        <v>97.83</v>
      </c>
      <c r="AC245" s="29">
        <v>351.98</v>
      </c>
      <c r="AD245" s="29">
        <v>347.7</v>
      </c>
      <c r="AE245" s="29">
        <v>332.3</v>
      </c>
      <c r="AF245" s="29">
        <v>346.81</v>
      </c>
      <c r="AG245" s="29">
        <v>339.1</v>
      </c>
      <c r="AH245" s="29">
        <v>339.77</v>
      </c>
      <c r="AI245" s="29">
        <v>356.11</v>
      </c>
      <c r="AJ245" s="29">
        <v>329.12</v>
      </c>
      <c r="AK245" s="29">
        <v>323.21</v>
      </c>
      <c r="AL245" s="29">
        <v>5.57</v>
      </c>
      <c r="AM245" s="29">
        <v>4.71</v>
      </c>
      <c r="AN245" s="29">
        <v>4.86</v>
      </c>
      <c r="AO245" s="29">
        <v>4.89</v>
      </c>
      <c r="AP245" s="29">
        <v>7.17</v>
      </c>
      <c r="AQ245" s="29">
        <v>139.15</v>
      </c>
      <c r="AR245" s="29">
        <v>156.4</v>
      </c>
      <c r="BH245" s="29">
        <v>1259.79</v>
      </c>
      <c r="BI245" s="29">
        <v>62.37</v>
      </c>
      <c r="BK245" s="29">
        <v>412.28</v>
      </c>
      <c r="BL245" s="29">
        <v>359.19</v>
      </c>
      <c r="BM245" s="29">
        <v>400.0</v>
      </c>
      <c r="BO245" s="29">
        <v>176.34</v>
      </c>
      <c r="BP245" s="29">
        <v>198.33</v>
      </c>
      <c r="BQ245" s="29">
        <v>167.78</v>
      </c>
      <c r="BX245" s="29">
        <v>45.0</v>
      </c>
      <c r="BY245" s="29">
        <v>52.0</v>
      </c>
      <c r="BZ245" s="29">
        <v>42.0</v>
      </c>
      <c r="CA245" s="29">
        <v>44.0</v>
      </c>
      <c r="CD245" s="29">
        <v>26.22</v>
      </c>
      <c r="CE245" s="29">
        <v>40.37</v>
      </c>
      <c r="CI245" s="29">
        <v>3883.0</v>
      </c>
      <c r="CJ245" s="27" t="inlineStr">
        <is>
          <t xml:space="preserve">jul/26</t>
        </is>
      </c>
    </row>
    <row r="246">
      <c r="A246" s="28">
        <v>46147</v>
      </c>
      <c r="B246" s="29">
        <v>1338.2</v>
      </c>
      <c r="C246" s="29">
        <v>3419.59</v>
      </c>
      <c r="D246" s="29">
        <v>7.21</v>
      </c>
      <c r="E246" s="29">
        <v>5.4</v>
      </c>
      <c r="F246" s="29">
        <v>1758.67</v>
      </c>
      <c r="G246" s="29">
        <v>924.65</v>
      </c>
      <c r="H246" s="29">
        <v>334.0</v>
      </c>
      <c r="I246" s="27" t="inlineStr">
        <is>
          <t xml:space="preserve">dez/26</t>
        </is>
      </c>
      <c r="J246" s="29">
        <v>186753.82</v>
      </c>
      <c r="K246" s="30">
        <v>4942.5</v>
      </c>
      <c r="L246" s="27" t="inlineStr">
        <is>
          <t xml:space="preserve">jun/26</t>
        </is>
      </c>
      <c r="M246" s="29">
        <v>336.2</v>
      </c>
      <c r="N246" s="27" t="inlineStr">
        <is>
          <t xml:space="preserve">jun/26</t>
        </is>
      </c>
      <c r="O246" s="29">
        <v>68.6</v>
      </c>
      <c r="P246" s="27" t="inlineStr">
        <is>
          <t xml:space="preserve">jul/26</t>
        </is>
      </c>
      <c r="Q246" s="29">
        <v>26.68</v>
      </c>
      <c r="R246" s="27" t="inlineStr">
        <is>
          <t xml:space="preserve">jul/26</t>
        </is>
      </c>
      <c r="S246" s="30">
        <v>12.115</v>
      </c>
      <c r="T246" s="27" t="inlineStr">
        <is>
          <t xml:space="preserve">jul/26</t>
        </is>
      </c>
      <c r="U246" s="30">
        <v>4.8</v>
      </c>
      <c r="V246" s="27" t="inlineStr">
        <is>
          <t xml:space="preserve">jul/26</t>
        </is>
      </c>
      <c r="W246" s="29">
        <v>320.4</v>
      </c>
      <c r="X246" s="27" t="inlineStr">
        <is>
          <t xml:space="preserve">jul/26</t>
        </is>
      </c>
      <c r="Y246" s="30">
        <v>0.7691</v>
      </c>
      <c r="Z246" s="27" t="inlineStr">
        <is>
          <t xml:space="preserve">jul/26</t>
        </is>
      </c>
      <c r="AA246" s="29">
        <v>414.34</v>
      </c>
      <c r="AB246" s="29">
        <v>97.43</v>
      </c>
      <c r="AC246" s="29">
        <v>352.97</v>
      </c>
      <c r="AD246" s="29">
        <v>346.88</v>
      </c>
      <c r="AE246" s="29">
        <v>332.99</v>
      </c>
      <c r="AF246" s="29">
        <v>346.47</v>
      </c>
      <c r="AG246" s="29">
        <v>335.3</v>
      </c>
      <c r="AH246" s="29">
        <v>339.21</v>
      </c>
      <c r="AI246" s="29">
        <v>356.69</v>
      </c>
      <c r="AJ246" s="29">
        <v>329.36</v>
      </c>
      <c r="AK246" s="29">
        <v>320.61</v>
      </c>
      <c r="AL246" s="29">
        <v>5.61</v>
      </c>
      <c r="AM246" s="29">
        <v>4.74</v>
      </c>
      <c r="AN246" s="29">
        <v>4.98</v>
      </c>
      <c r="AO246" s="29">
        <v>4.99</v>
      </c>
      <c r="AP246" s="29">
        <v>7.22</v>
      </c>
      <c r="AQ246" s="29">
        <v>139.16</v>
      </c>
      <c r="AR246" s="29">
        <v>156.41</v>
      </c>
      <c r="BH246" s="29">
        <v>1264.0</v>
      </c>
      <c r="BI246" s="29">
        <v>62.41</v>
      </c>
      <c r="BK246" s="29">
        <v>416.15</v>
      </c>
      <c r="BL246" s="29">
        <v>371.1</v>
      </c>
      <c r="BM246" s="29">
        <v>400.0</v>
      </c>
      <c r="BO246" s="29">
        <v>181.11</v>
      </c>
      <c r="BP246" s="29">
        <v>203.29</v>
      </c>
      <c r="BQ246" s="29">
        <v>173.35</v>
      </c>
      <c r="BX246" s="29">
        <v>45.0</v>
      </c>
      <c r="BY246" s="29">
        <v>52.0</v>
      </c>
      <c r="BZ246" s="29">
        <v>42.0</v>
      </c>
      <c r="CA246" s="29">
        <v>44.0</v>
      </c>
      <c r="CD246" s="29">
        <v>26.22</v>
      </c>
      <c r="CE246" s="29">
        <v>41.2</v>
      </c>
      <c r="CI246" s="29">
        <v>4074.0</v>
      </c>
      <c r="CJ246" s="27" t="inlineStr">
        <is>
          <t xml:space="preserve">jul/26</t>
        </is>
      </c>
    </row>
    <row r="247">
      <c r="A247" s="28">
        <v>46148</v>
      </c>
      <c r="B247" s="29">
        <v>1339.95</v>
      </c>
      <c r="C247" s="29">
        <v>3420.24</v>
      </c>
      <c r="D247" s="29">
        <v>7.45</v>
      </c>
      <c r="E247" s="29">
        <v>5.44</v>
      </c>
      <c r="F247" s="29">
        <v>1744.04</v>
      </c>
      <c r="G247" s="29">
        <v>916.32</v>
      </c>
      <c r="H247" s="29">
        <v>332.9</v>
      </c>
      <c r="I247" s="27" t="inlineStr">
        <is>
          <t xml:space="preserve">dez/26</t>
        </is>
      </c>
      <c r="J247" s="29">
        <v>187690.86</v>
      </c>
      <c r="K247" s="30">
        <v>4950.5</v>
      </c>
      <c r="L247" s="27" t="inlineStr">
        <is>
          <t xml:space="preserve">jun/26</t>
        </is>
      </c>
      <c r="M247" s="29">
        <v>335.65</v>
      </c>
      <c r="N247" s="27" t="inlineStr">
        <is>
          <t xml:space="preserve">jun/26</t>
        </is>
      </c>
      <c r="O247" s="29">
        <v>67.45</v>
      </c>
      <c r="P247" s="27" t="inlineStr">
        <is>
          <t xml:space="preserve">jul/26</t>
        </is>
      </c>
      <c r="Q247" s="29">
        <v>26.33</v>
      </c>
      <c r="R247" s="27" t="inlineStr">
        <is>
          <t xml:space="preserve">jul/26</t>
        </is>
      </c>
      <c r="S247" s="30">
        <v>11.9475</v>
      </c>
      <c r="T247" s="27" t="inlineStr">
        <is>
          <t xml:space="preserve">jul/26</t>
        </is>
      </c>
      <c r="U247" s="30">
        <v>4.685</v>
      </c>
      <c r="V247" s="27" t="inlineStr">
        <is>
          <t xml:space="preserve">jul/26</t>
        </is>
      </c>
      <c r="W247" s="29">
        <v>317.3</v>
      </c>
      <c r="X247" s="27" t="inlineStr">
        <is>
          <t xml:space="preserve">jul/26</t>
        </is>
      </c>
      <c r="Y247" s="30">
        <v>0.7502</v>
      </c>
      <c r="Z247" s="27" t="inlineStr">
        <is>
          <t xml:space="preserve">jul/26</t>
        </is>
      </c>
      <c r="AA247" s="29">
        <v>419.97</v>
      </c>
      <c r="AB247" s="29">
        <v>97.72</v>
      </c>
      <c r="AC247" s="29">
        <v>352.1</v>
      </c>
      <c r="AD247" s="29">
        <v>346.25</v>
      </c>
      <c r="AE247" s="29">
        <v>332.05</v>
      </c>
      <c r="AF247" s="29">
        <v>343.69</v>
      </c>
      <c r="AG247" s="29">
        <v>336.04</v>
      </c>
      <c r="AH247" s="29">
        <v>338.62</v>
      </c>
      <c r="AI247" s="29">
        <v>357.04</v>
      </c>
      <c r="AJ247" s="29">
        <v>330.82</v>
      </c>
      <c r="AK247" s="29">
        <v>319.13</v>
      </c>
      <c r="AL247" s="29">
        <v>5.61</v>
      </c>
      <c r="AM247" s="29">
        <v>4.85</v>
      </c>
      <c r="AN247" s="29">
        <v>5.06</v>
      </c>
      <c r="AO247" s="29">
        <v>4.99</v>
      </c>
      <c r="AP247" s="29">
        <v>7.47</v>
      </c>
      <c r="AQ247" s="29">
        <v>146.32</v>
      </c>
      <c r="AR247" s="29">
        <v>169.24</v>
      </c>
      <c r="BH247" s="29">
        <v>1268.71</v>
      </c>
      <c r="BI247" s="29">
        <v>62.32</v>
      </c>
      <c r="BK247" s="29">
        <v>414.78</v>
      </c>
      <c r="BL247" s="29">
        <v>374.54</v>
      </c>
      <c r="BM247" s="29">
        <v>410.0</v>
      </c>
      <c r="BO247" s="29">
        <v>183.38</v>
      </c>
      <c r="BP247" s="29">
        <v>203.63</v>
      </c>
      <c r="BQ247" s="29">
        <v>175.95</v>
      </c>
      <c r="BX247" s="29">
        <v>45.0</v>
      </c>
      <c r="BY247" s="29">
        <v>52.0</v>
      </c>
      <c r="BZ247" s="29">
        <v>42.0</v>
      </c>
      <c r="CA247" s="29">
        <v>44.0</v>
      </c>
      <c r="CD247" s="29">
        <v>26.38</v>
      </c>
      <c r="CE247" s="29">
        <v>39.77</v>
      </c>
      <c r="CI247" s="29">
        <v>4135.0</v>
      </c>
      <c r="CJ247" s="27" t="inlineStr">
        <is>
          <t xml:space="preserve">jul/26</t>
        </is>
      </c>
    </row>
    <row r="248">
      <c r="A248" s="28">
        <v>46149</v>
      </c>
      <c r="B248" s="29">
        <v>1345.27</v>
      </c>
      <c r="C248" s="29">
        <v>3417.44</v>
      </c>
      <c r="D248" s="29">
        <v>7.61</v>
      </c>
      <c r="E248" s="29">
        <v>5.5</v>
      </c>
      <c r="F248" s="29">
        <v>1704.29</v>
      </c>
      <c r="G248" s="29">
        <v>916.93</v>
      </c>
      <c r="H248" s="29">
        <v>319.6</v>
      </c>
      <c r="I248" s="27" t="inlineStr">
        <is>
          <t xml:space="preserve">dez/26</t>
        </is>
      </c>
      <c r="J248" s="29">
        <v>183218.26</v>
      </c>
      <c r="K248" s="30">
        <v>4959.0</v>
      </c>
      <c r="L248" s="27" t="inlineStr">
        <is>
          <t xml:space="preserve">jun/26</t>
        </is>
      </c>
      <c r="M248" s="29">
        <v>335.75</v>
      </c>
      <c r="N248" s="27" t="inlineStr">
        <is>
          <t xml:space="preserve">jun/26</t>
        </is>
      </c>
      <c r="O248" s="29">
        <v>67.5</v>
      </c>
      <c r="P248" s="27" t="inlineStr">
        <is>
          <t xml:space="preserve">jul/26</t>
        </is>
      </c>
      <c r="Q248" s="29">
        <v>26.28</v>
      </c>
      <c r="R248" s="27" t="inlineStr">
        <is>
          <t xml:space="preserve">jul/26</t>
        </is>
      </c>
      <c r="S248" s="30">
        <v>11.9225</v>
      </c>
      <c r="T248" s="27" t="inlineStr">
        <is>
          <t xml:space="preserve">jul/26</t>
        </is>
      </c>
      <c r="U248" s="30">
        <v>4.675</v>
      </c>
      <c r="V248" s="27" t="inlineStr">
        <is>
          <t xml:space="preserve">jul/26</t>
        </is>
      </c>
      <c r="W248" s="29">
        <v>318.9</v>
      </c>
      <c r="X248" s="27" t="inlineStr">
        <is>
          <t xml:space="preserve">jul/26</t>
        </is>
      </c>
      <c r="Y248" s="30">
        <v>0.7415</v>
      </c>
      <c r="Z248" s="27" t="inlineStr">
        <is>
          <t xml:space="preserve">jul/26</t>
        </is>
      </c>
      <c r="AA248" s="29">
        <v>421.13</v>
      </c>
      <c r="AB248" s="29">
        <v>97.83</v>
      </c>
      <c r="AC248" s="29">
        <v>352.78</v>
      </c>
      <c r="AD248" s="29">
        <v>346.88</v>
      </c>
      <c r="AE248" s="29">
        <v>331.98</v>
      </c>
      <c r="AG248" s="29">
        <v>334.7</v>
      </c>
      <c r="AH248" s="29">
        <v>338.9</v>
      </c>
      <c r="AI248" s="29">
        <v>357.37</v>
      </c>
      <c r="AJ248" s="29">
        <v>332.46</v>
      </c>
      <c r="AK248" s="29">
        <v>319.38</v>
      </c>
      <c r="AL248" s="29">
        <v>5.63</v>
      </c>
      <c r="AM248" s="29">
        <v>4.85</v>
      </c>
      <c r="AN248" s="29">
        <v>5.12</v>
      </c>
      <c r="AO248" s="29">
        <v>4.99</v>
      </c>
      <c r="AP248" s="29">
        <v>7.62</v>
      </c>
      <c r="AQ248" s="29">
        <v>146.33</v>
      </c>
      <c r="AR248" s="29">
        <v>168.87</v>
      </c>
      <c r="BH248" s="29">
        <v>1274.17</v>
      </c>
      <c r="BI248" s="29">
        <v>62.26</v>
      </c>
      <c r="BK248" s="29">
        <v>415.66</v>
      </c>
      <c r="BL248" s="29">
        <v>374.54</v>
      </c>
      <c r="BM248" s="29">
        <v>410.0</v>
      </c>
      <c r="BO248" s="29">
        <v>184.57</v>
      </c>
      <c r="BP248" s="29">
        <v>206.17</v>
      </c>
      <c r="BQ248" s="29">
        <v>178.88</v>
      </c>
      <c r="BX248" s="29">
        <v>43.0</v>
      </c>
      <c r="BY248" s="29">
        <v>52.0</v>
      </c>
      <c r="BZ248" s="29">
        <v>42.0</v>
      </c>
      <c r="CA248" s="29">
        <v>44.0</v>
      </c>
      <c r="CD248" s="29">
        <v>25.43</v>
      </c>
      <c r="CE248" s="29">
        <v>39.58</v>
      </c>
      <c r="CI248" s="29">
        <v>4427.0</v>
      </c>
      <c r="CJ248" s="27" t="inlineStr">
        <is>
          <t xml:space="preserve">jul/26</t>
        </is>
      </c>
    </row>
    <row r="249">
      <c r="A249" s="28">
        <v>46150</v>
      </c>
      <c r="B249" s="29">
        <v>1343.2</v>
      </c>
      <c r="C249" s="29">
        <v>3424.97</v>
      </c>
      <c r="D249" s="29">
        <v>7.61</v>
      </c>
      <c r="E249" s="29">
        <v>5.5</v>
      </c>
      <c r="F249" s="29">
        <v>1669.93</v>
      </c>
      <c r="G249" s="29">
        <v>912.99</v>
      </c>
      <c r="H249" s="29">
        <v>317.25</v>
      </c>
      <c r="I249" s="27" t="inlineStr">
        <is>
          <t xml:space="preserve">dez/26</t>
        </is>
      </c>
      <c r="J249" s="29">
        <v>184108.29</v>
      </c>
      <c r="K249" s="30">
        <v>4915.0</v>
      </c>
      <c r="L249" s="27" t="inlineStr">
        <is>
          <t xml:space="preserve">jun/26</t>
        </is>
      </c>
      <c r="M249" s="29">
        <v>337.65</v>
      </c>
      <c r="N249" s="27" t="inlineStr">
        <is>
          <t xml:space="preserve">jun/26</t>
        </is>
      </c>
      <c r="O249" s="29">
        <v>67.59</v>
      </c>
      <c r="P249" s="27" t="inlineStr">
        <is>
          <t xml:space="preserve">jul/26</t>
        </is>
      </c>
      <c r="Q249" s="29">
        <v>26.58</v>
      </c>
      <c r="R249" s="27" t="inlineStr">
        <is>
          <t xml:space="preserve">jul/26</t>
        </is>
      </c>
      <c r="S249" s="30">
        <v>12.08</v>
      </c>
      <c r="T249" s="27" t="inlineStr">
        <is>
          <t xml:space="preserve">jul/26</t>
        </is>
      </c>
      <c r="U249" s="30">
        <v>4.7125</v>
      </c>
      <c r="V249" s="27" t="inlineStr">
        <is>
          <t xml:space="preserve">jul/26</t>
        </is>
      </c>
      <c r="W249" s="29">
        <v>319.7</v>
      </c>
      <c r="X249" s="27" t="inlineStr">
        <is>
          <t xml:space="preserve">jul/26</t>
        </is>
      </c>
      <c r="Y249" s="30">
        <v>0.7432</v>
      </c>
      <c r="Z249" s="27" t="inlineStr">
        <is>
          <t xml:space="preserve">jul/26</t>
        </is>
      </c>
      <c r="AA249" s="29">
        <v>423.08</v>
      </c>
      <c r="AB249" s="29">
        <v>96.59</v>
      </c>
      <c r="AC249" s="29">
        <v>352.16</v>
      </c>
      <c r="AD249" s="29">
        <v>346.55</v>
      </c>
      <c r="AE249" s="29">
        <v>328.66</v>
      </c>
      <c r="AG249" s="29">
        <v>332.52</v>
      </c>
      <c r="AH249" s="29">
        <v>338.72</v>
      </c>
      <c r="AI249" s="29">
        <v>356.91</v>
      </c>
      <c r="AJ249" s="29">
        <v>333.44</v>
      </c>
      <c r="AK249" s="29">
        <v>317.89</v>
      </c>
      <c r="AL249" s="29">
        <v>5.71</v>
      </c>
      <c r="AM249" s="29">
        <v>4.91</v>
      </c>
      <c r="AN249" s="29">
        <v>5.2</v>
      </c>
      <c r="AO249" s="29">
        <v>5.09</v>
      </c>
      <c r="AP249" s="29">
        <v>7.62</v>
      </c>
      <c r="AQ249" s="29">
        <v>146.63</v>
      </c>
      <c r="AR249" s="29">
        <v>169.56</v>
      </c>
      <c r="BC249" s="29">
        <v>10.09</v>
      </c>
      <c r="BD249" s="29">
        <v>9.75</v>
      </c>
      <c r="BE249" s="29">
        <v>10.47</v>
      </c>
      <c r="BF249" s="29">
        <v>8.96</v>
      </c>
      <c r="BG249" s="29">
        <v>10.24</v>
      </c>
      <c r="BH249" s="29">
        <v>1286.38</v>
      </c>
      <c r="BI249" s="29">
        <v>62.07</v>
      </c>
      <c r="BK249" s="29">
        <v>417.19</v>
      </c>
      <c r="BM249" s="29">
        <v>410.0</v>
      </c>
      <c r="BO249" s="29">
        <v>187.65</v>
      </c>
      <c r="BP249" s="29">
        <v>203.23</v>
      </c>
      <c r="BQ249" s="29">
        <v>182.58</v>
      </c>
      <c r="BS249" s="30">
        <v>2.2704</v>
      </c>
      <c r="BT249" s="30">
        <v>2.6015</v>
      </c>
      <c r="BU249" s="29">
        <v>521.77</v>
      </c>
      <c r="BV249" s="29">
        <v>439.44</v>
      </c>
      <c r="BW249" s="29">
        <v>524.04</v>
      </c>
      <c r="BX249" s="29">
        <v>43.0</v>
      </c>
      <c r="BY249" s="29">
        <v>52.0</v>
      </c>
      <c r="BZ249" s="29">
        <v>42.0</v>
      </c>
      <c r="CA249" s="29">
        <v>44.0</v>
      </c>
      <c r="CD249" s="29">
        <v>25.43</v>
      </c>
      <c r="CE249" s="29">
        <v>40.1</v>
      </c>
      <c r="CI249" s="29">
        <v>4182.0</v>
      </c>
      <c r="CJ249" s="27" t="inlineStr">
        <is>
          <t xml:space="preserve">jul/26</t>
        </is>
      </c>
    </row>
    <row r="250">
      <c r="A250" s="28">
        <v>46153</v>
      </c>
      <c r="B250" s="29">
        <v>1345.97</v>
      </c>
      <c r="C250" s="29">
        <v>3422.29</v>
      </c>
      <c r="D250" s="29">
        <v>7.66</v>
      </c>
      <c r="E250" s="29">
        <v>5.48</v>
      </c>
      <c r="F250" s="29">
        <v>1716.3</v>
      </c>
      <c r="G250" s="29">
        <v>943.54</v>
      </c>
      <c r="H250" s="29">
        <v>329.0</v>
      </c>
      <c r="I250" s="27" t="inlineStr">
        <is>
          <t xml:space="preserve">dez/26</t>
        </is>
      </c>
      <c r="J250" s="29">
        <v>181908.87</v>
      </c>
      <c r="K250" s="30">
        <v>4912.0</v>
      </c>
      <c r="L250" s="27" t="inlineStr">
        <is>
          <t xml:space="preserve">jun/26</t>
        </is>
      </c>
      <c r="M250" s="29">
        <v>343.95</v>
      </c>
      <c r="N250" s="27" t="inlineStr">
        <is>
          <t xml:space="preserve">jun/26</t>
        </is>
      </c>
      <c r="O250" s="29">
        <v>67.93</v>
      </c>
      <c r="P250" s="27" t="inlineStr">
        <is>
          <t xml:space="preserve">jul/26</t>
        </is>
      </c>
      <c r="Q250" s="29">
        <v>26.74</v>
      </c>
      <c r="R250" s="27" t="inlineStr">
        <is>
          <t xml:space="preserve">jul/26</t>
        </is>
      </c>
      <c r="S250" s="30">
        <v>12.13</v>
      </c>
      <c r="T250" s="27" t="inlineStr">
        <is>
          <t xml:space="preserve">jul/26</t>
        </is>
      </c>
      <c r="U250" s="30">
        <v>4.7525</v>
      </c>
      <c r="V250" s="27" t="inlineStr">
        <is>
          <t xml:space="preserve">jul/26</t>
        </is>
      </c>
      <c r="W250" s="29">
        <v>324.8</v>
      </c>
      <c r="X250" s="27" t="inlineStr">
        <is>
          <t xml:space="preserve">jul/26</t>
        </is>
      </c>
      <c r="Y250" s="30">
        <v>0.7374</v>
      </c>
      <c r="Z250" s="27" t="inlineStr">
        <is>
          <t xml:space="preserve">jul/26</t>
        </is>
      </c>
      <c r="AA250" s="29">
        <v>424.92</v>
      </c>
      <c r="AB250" s="29">
        <v>96.6</v>
      </c>
      <c r="AC250" s="29">
        <v>345.83</v>
      </c>
      <c r="AD250" s="29">
        <v>345.86</v>
      </c>
      <c r="AE250" s="29">
        <v>329.83</v>
      </c>
      <c r="AG250" s="29">
        <v>329.47</v>
      </c>
      <c r="AH250" s="29">
        <v>342.6</v>
      </c>
      <c r="AI250" s="29">
        <v>358.43</v>
      </c>
      <c r="AJ250" s="29">
        <v>334.01</v>
      </c>
      <c r="AK250" s="29">
        <v>319.97</v>
      </c>
      <c r="AL250" s="29">
        <v>5.77</v>
      </c>
      <c r="AM250" s="29">
        <v>4.91</v>
      </c>
      <c r="AN250" s="29">
        <v>5.23</v>
      </c>
      <c r="AO250" s="29">
        <v>5.1</v>
      </c>
      <c r="AP250" s="29">
        <v>7.68</v>
      </c>
      <c r="AQ250" s="29">
        <v>146.77</v>
      </c>
      <c r="AR250" s="29">
        <v>169.38</v>
      </c>
      <c r="BH250" s="29">
        <v>1287.21</v>
      </c>
      <c r="BI250" s="29">
        <v>62.06</v>
      </c>
      <c r="BK250" s="29">
        <v>417.19</v>
      </c>
      <c r="BL250" s="29">
        <v>382.37</v>
      </c>
      <c r="BM250" s="29">
        <v>422.0</v>
      </c>
      <c r="BO250" s="29">
        <v>190.61</v>
      </c>
      <c r="BP250" s="29">
        <v>203.23</v>
      </c>
      <c r="BQ250" s="29">
        <v>184.89</v>
      </c>
      <c r="BX250" s="29">
        <v>43.0</v>
      </c>
      <c r="BY250" s="29">
        <v>52.0</v>
      </c>
      <c r="BZ250" s="29">
        <v>42.0</v>
      </c>
      <c r="CA250" s="29">
        <v>44.0</v>
      </c>
      <c r="CD250" s="29">
        <v>24.86</v>
      </c>
      <c r="CE250" s="29">
        <v>40.09</v>
      </c>
      <c r="CI250" s="29">
        <v>4709.0</v>
      </c>
      <c r="CJ250" s="27" t="inlineStr">
        <is>
          <t xml:space="preserve">jul/26</t>
        </is>
      </c>
    </row>
    <row r="251">
      <c r="A251" s="28">
        <v>46154</v>
      </c>
      <c r="B251" s="29">
        <v>1349.1</v>
      </c>
      <c r="C251" s="29">
        <v>3431.33</v>
      </c>
      <c r="D251" s="29">
        <v>7.66</v>
      </c>
      <c r="E251" s="29">
        <v>5.44</v>
      </c>
      <c r="F251" s="29">
        <v>1673.43</v>
      </c>
      <c r="G251" s="29">
        <v>933.65</v>
      </c>
      <c r="H251" s="29">
        <v>328.9</v>
      </c>
      <c r="I251" s="27" t="inlineStr">
        <is>
          <t xml:space="preserve">dez/26</t>
        </is>
      </c>
      <c r="J251" s="29">
        <v>180342.33</v>
      </c>
      <c r="K251" s="30">
        <v>4913.5</v>
      </c>
      <c r="L251" s="27" t="inlineStr">
        <is>
          <t xml:space="preserve">jun/26</t>
        </is>
      </c>
      <c r="M251" s="29">
        <v>341.85</v>
      </c>
      <c r="N251" s="27" t="inlineStr">
        <is>
          <t xml:space="preserve">jun/26</t>
        </is>
      </c>
      <c r="O251" s="29">
        <v>68.13</v>
      </c>
      <c r="P251" s="27" t="inlineStr">
        <is>
          <t xml:space="preserve">jul/26</t>
        </is>
      </c>
      <c r="Q251" s="29">
        <v>27.02</v>
      </c>
      <c r="R251" s="27" t="inlineStr">
        <is>
          <t xml:space="preserve">jul/26</t>
        </is>
      </c>
      <c r="S251" s="30">
        <v>12.2675</v>
      </c>
      <c r="T251" s="27" t="inlineStr">
        <is>
          <t xml:space="preserve">jul/26</t>
        </is>
      </c>
      <c r="U251" s="30">
        <v>4.8</v>
      </c>
      <c r="V251" s="27" t="inlineStr">
        <is>
          <t xml:space="preserve">jul/26</t>
        </is>
      </c>
      <c r="W251" s="29">
        <v>328.4</v>
      </c>
      <c r="X251" s="27" t="inlineStr">
        <is>
          <t xml:space="preserve">jul/26</t>
        </is>
      </c>
      <c r="Y251" s="30">
        <v>0.7536</v>
      </c>
      <c r="Z251" s="27" t="inlineStr">
        <is>
          <t xml:space="preserve">jul/26</t>
        </is>
      </c>
      <c r="AA251" s="29">
        <v>427.38</v>
      </c>
      <c r="AB251" s="29">
        <v>96.3</v>
      </c>
      <c r="AC251" s="29">
        <v>346.3</v>
      </c>
      <c r="AD251" s="29">
        <v>345.34</v>
      </c>
      <c r="AE251" s="29">
        <v>327.75</v>
      </c>
      <c r="AG251" s="29">
        <v>328.17</v>
      </c>
      <c r="AH251" s="29">
        <v>341.26</v>
      </c>
      <c r="AI251" s="29">
        <v>355.94</v>
      </c>
      <c r="AJ251" s="29">
        <v>335.62</v>
      </c>
      <c r="AK251" s="29">
        <v>317.05</v>
      </c>
      <c r="AL251" s="29">
        <v>5.78</v>
      </c>
      <c r="AM251" s="29">
        <v>4.9</v>
      </c>
      <c r="AN251" s="29">
        <v>5.24</v>
      </c>
      <c r="AO251" s="29">
        <v>5.07</v>
      </c>
      <c r="AP251" s="29">
        <v>7.68</v>
      </c>
      <c r="AQ251" s="29">
        <v>146.77</v>
      </c>
      <c r="AR251" s="29">
        <v>169.38</v>
      </c>
      <c r="BH251" s="29">
        <v>1294.62</v>
      </c>
      <c r="BI251" s="29">
        <v>61.84</v>
      </c>
      <c r="BK251" s="29">
        <v>424.39</v>
      </c>
      <c r="BL251" s="29">
        <v>384.04</v>
      </c>
      <c r="BM251" s="29">
        <v>423.0</v>
      </c>
      <c r="BO251" s="29">
        <v>192.8</v>
      </c>
      <c r="BP251" s="29">
        <v>219.58</v>
      </c>
      <c r="BQ251" s="29">
        <v>189.06</v>
      </c>
      <c r="BR251" s="29">
        <v>173.75</v>
      </c>
      <c r="BX251" s="29">
        <v>44.0</v>
      </c>
      <c r="BY251" s="29">
        <v>52.0</v>
      </c>
      <c r="BZ251" s="29">
        <v>42.0</v>
      </c>
      <c r="CA251" s="29">
        <v>44.0</v>
      </c>
      <c r="CD251" s="29">
        <v>24.86</v>
      </c>
      <c r="CE251" s="29">
        <v>40.38</v>
      </c>
      <c r="CI251" s="29">
        <v>4587.0</v>
      </c>
      <c r="CJ251" s="27" t="inlineStr">
        <is>
          <t xml:space="preserve">jul/26</t>
        </is>
      </c>
    </row>
    <row r="252">
      <c r="A252" s="28">
        <v>46155</v>
      </c>
      <c r="B252" s="29">
        <v>1352.41</v>
      </c>
      <c r="C252" s="29">
        <v>3427.14</v>
      </c>
      <c r="D252" s="29">
        <v>7.66</v>
      </c>
      <c r="E252" s="29">
        <v>5.46</v>
      </c>
      <c r="F252" s="29">
        <v>1687.47</v>
      </c>
      <c r="G252" s="29">
        <v>969.64</v>
      </c>
      <c r="H252" s="29">
        <v>326.9</v>
      </c>
      <c r="I252" s="27" t="inlineStr">
        <is>
          <t xml:space="preserve">dez/26</t>
        </is>
      </c>
      <c r="J252" s="29">
        <v>177098.29</v>
      </c>
      <c r="K252" s="30">
        <v>5025.5</v>
      </c>
      <c r="L252" s="27" t="inlineStr">
        <is>
          <t xml:space="preserve">jun/26</t>
        </is>
      </c>
      <c r="M252" s="29">
        <v>339.4</v>
      </c>
      <c r="N252" s="27" t="inlineStr">
        <is>
          <t xml:space="preserve">jun/26</t>
        </is>
      </c>
      <c r="O252" s="29">
        <v>67.14</v>
      </c>
      <c r="P252" s="27" t="inlineStr">
        <is>
          <t xml:space="preserve">jul/26</t>
        </is>
      </c>
      <c r="Q252" s="29">
        <v>27.06</v>
      </c>
      <c r="R252" s="27" t="inlineStr">
        <is>
          <t xml:space="preserve">jul/26</t>
        </is>
      </c>
      <c r="S252" s="30">
        <v>12.29</v>
      </c>
      <c r="T252" s="27" t="inlineStr">
        <is>
          <t xml:space="preserve">jul/26</t>
        </is>
      </c>
      <c r="U252" s="30">
        <v>4.8075</v>
      </c>
      <c r="V252" s="27" t="inlineStr">
        <is>
          <t xml:space="preserve">jul/26</t>
        </is>
      </c>
      <c r="W252" s="29">
        <v>338.5</v>
      </c>
      <c r="X252" s="27" t="inlineStr">
        <is>
          <t xml:space="preserve">jul/26</t>
        </is>
      </c>
      <c r="Y252" s="30">
        <v>0.7432</v>
      </c>
      <c r="Z252" s="27" t="inlineStr">
        <is>
          <t xml:space="preserve">jul/26</t>
        </is>
      </c>
      <c r="AA252" s="29">
        <v>425.74</v>
      </c>
      <c r="AB252" s="29">
        <v>96.52</v>
      </c>
      <c r="AC252" s="29">
        <v>345.34</v>
      </c>
      <c r="AD252" s="29">
        <v>345.8</v>
      </c>
      <c r="AE252" s="29">
        <v>330.86</v>
      </c>
      <c r="AG252" s="29">
        <v>328.83</v>
      </c>
      <c r="AH252" s="29">
        <v>338.92</v>
      </c>
      <c r="AI252" s="29">
        <v>353.24</v>
      </c>
      <c r="AJ252" s="29">
        <v>338.28</v>
      </c>
      <c r="AK252" s="29">
        <v>318.82</v>
      </c>
      <c r="AL252" s="29">
        <v>5.8</v>
      </c>
      <c r="AM252" s="29">
        <v>4.97</v>
      </c>
      <c r="AN252" s="29">
        <v>5.26</v>
      </c>
      <c r="AO252" s="29">
        <v>5.08</v>
      </c>
      <c r="AP252" s="29">
        <v>7.68</v>
      </c>
      <c r="AQ252" s="29">
        <v>146.77</v>
      </c>
      <c r="AR252" s="29">
        <v>169.38</v>
      </c>
      <c r="BH252" s="29">
        <v>1295.1</v>
      </c>
      <c r="BI252" s="29">
        <v>61.66</v>
      </c>
      <c r="BK252" s="29">
        <v>431.45</v>
      </c>
      <c r="BL252" s="29">
        <v>384.04</v>
      </c>
      <c r="BM252" s="29">
        <v>435.0</v>
      </c>
      <c r="BO252" s="29">
        <v>207.93</v>
      </c>
      <c r="BP252" s="29">
        <v>221.99</v>
      </c>
      <c r="BQ252" s="29">
        <v>196.08</v>
      </c>
      <c r="BR252" s="29">
        <v>188.33</v>
      </c>
      <c r="BX252" s="29">
        <v>44.0</v>
      </c>
      <c r="BY252" s="29">
        <v>52.0</v>
      </c>
      <c r="BZ252" s="29">
        <v>42.0</v>
      </c>
      <c r="CA252" s="29">
        <v>44.0</v>
      </c>
      <c r="CD252" s="29">
        <v>24.86</v>
      </c>
      <c r="CE252" s="29">
        <v>40.3</v>
      </c>
      <c r="CI252" s="29">
        <v>4393.0</v>
      </c>
      <c r="CJ252" s="27" t="inlineStr">
        <is>
          <t xml:space="preserve">jul/26</t>
        </is>
      </c>
    </row>
    <row r="253">
      <c r="A253" s="28">
        <v>46156</v>
      </c>
      <c r="B253" s="29">
        <v>1353.53</v>
      </c>
      <c r="C253" s="29">
        <v>3430.49</v>
      </c>
      <c r="D253" s="29">
        <v>7.66</v>
      </c>
      <c r="E253" s="29">
        <v>5.52</v>
      </c>
      <c r="F253" s="29">
        <v>1646.98</v>
      </c>
      <c r="G253" s="29">
        <v>952.98</v>
      </c>
      <c r="H253" s="29">
        <v>321.9</v>
      </c>
      <c r="I253" s="27" t="inlineStr">
        <is>
          <t xml:space="preserve">dez/26</t>
        </is>
      </c>
      <c r="J253" s="29">
        <v>178365.86</v>
      </c>
      <c r="K253" s="30">
        <v>5003.0</v>
      </c>
      <c r="L253" s="27" t="inlineStr">
        <is>
          <t xml:space="preserve">jun/26</t>
        </is>
      </c>
      <c r="M253" s="29">
        <v>340.0</v>
      </c>
      <c r="N253" s="27" t="inlineStr">
        <is>
          <t xml:space="preserve">jun/26</t>
        </is>
      </c>
      <c r="O253" s="29">
        <v>66.92</v>
      </c>
      <c r="P253" s="27" t="inlineStr">
        <is>
          <t xml:space="preserve">jul/26</t>
        </is>
      </c>
      <c r="Q253" s="29">
        <v>26.32</v>
      </c>
      <c r="R253" s="27" t="inlineStr">
        <is>
          <t xml:space="preserve">jul/26</t>
        </is>
      </c>
      <c r="S253" s="30">
        <v>11.925</v>
      </c>
      <c r="T253" s="27" t="inlineStr">
        <is>
          <t xml:space="preserve">jul/26</t>
        </is>
      </c>
      <c r="U253" s="30">
        <v>4.675</v>
      </c>
      <c r="V253" s="27" t="inlineStr">
        <is>
          <t xml:space="preserve">jul/26</t>
        </is>
      </c>
      <c r="W253" s="29">
        <v>332.5</v>
      </c>
      <c r="X253" s="27" t="inlineStr">
        <is>
          <t xml:space="preserve">jul/26</t>
        </is>
      </c>
      <c r="Y253" s="30">
        <v>0.7366</v>
      </c>
      <c r="Z253" s="27" t="inlineStr">
        <is>
          <t xml:space="preserve">jul/26</t>
        </is>
      </c>
      <c r="AA253" s="29">
        <v>425.53</v>
      </c>
      <c r="AB253" s="29">
        <v>95.23</v>
      </c>
      <c r="AC253" s="29">
        <v>344.57</v>
      </c>
      <c r="AD253" s="29">
        <v>345.42</v>
      </c>
      <c r="AE253" s="29">
        <v>330.69</v>
      </c>
      <c r="AG253" s="29">
        <v>329.85</v>
      </c>
      <c r="AH253" s="29">
        <v>336.47</v>
      </c>
      <c r="AI253" s="29">
        <v>353.23</v>
      </c>
      <c r="AJ253" s="29">
        <v>339.74</v>
      </c>
      <c r="AK253" s="29">
        <v>315.36</v>
      </c>
      <c r="AL253" s="29">
        <v>5.8</v>
      </c>
      <c r="AM253" s="29">
        <v>4.97</v>
      </c>
      <c r="AN253" s="29">
        <v>5.26</v>
      </c>
      <c r="AO253" s="29">
        <v>5.08</v>
      </c>
      <c r="AP253" s="29">
        <v>7.68</v>
      </c>
      <c r="AQ253" s="29">
        <v>146.82</v>
      </c>
      <c r="AR253" s="29">
        <v>169.38</v>
      </c>
      <c r="BH253" s="29">
        <v>1295.1</v>
      </c>
      <c r="BI253" s="29">
        <v>61.39</v>
      </c>
      <c r="BK253" s="29">
        <v>436.16</v>
      </c>
      <c r="BL253" s="29">
        <v>394.85</v>
      </c>
      <c r="BM253" s="29">
        <v>444.0</v>
      </c>
      <c r="BN253" s="29">
        <v>400.0</v>
      </c>
      <c r="BO253" s="29">
        <v>210.56</v>
      </c>
      <c r="BP253" s="29">
        <v>222.67</v>
      </c>
      <c r="BQ253" s="29">
        <v>204.44</v>
      </c>
      <c r="BR253" s="29">
        <v>188.57</v>
      </c>
      <c r="BX253" s="29">
        <v>44.0</v>
      </c>
      <c r="BY253" s="29">
        <v>52.0</v>
      </c>
      <c r="BZ253" s="29">
        <v>42.0</v>
      </c>
      <c r="CA253" s="29">
        <v>44.0</v>
      </c>
      <c r="CD253" s="29">
        <v>25.33</v>
      </c>
      <c r="CE253" s="29">
        <v>40.23</v>
      </c>
      <c r="CI253" s="29">
        <v>4189.0</v>
      </c>
      <c r="CJ253" s="27" t="inlineStr">
        <is>
          <t xml:space="preserve">jul/26</t>
        </is>
      </c>
    </row>
    <row r="254">
      <c r="A254" s="28">
        <v>46157</v>
      </c>
      <c r="B254" s="29">
        <v>1356.88</v>
      </c>
      <c r="C254" s="29">
        <v>3433.13</v>
      </c>
      <c r="D254" s="29">
        <v>7.61</v>
      </c>
      <c r="E254" s="29">
        <v>5.52</v>
      </c>
      <c r="F254" s="29">
        <v>1637.88</v>
      </c>
      <c r="G254" s="29">
        <v>930.15</v>
      </c>
      <c r="H254" s="29">
        <v>312.85</v>
      </c>
      <c r="I254" s="27" t="inlineStr">
        <is>
          <t xml:space="preserve">dez/26</t>
        </is>
      </c>
      <c r="J254" s="29">
        <v>177283.83</v>
      </c>
      <c r="K254" s="30">
        <v>5074.5</v>
      </c>
      <c r="L254" s="27" t="inlineStr">
        <is>
          <t xml:space="preserve">jun/26</t>
        </is>
      </c>
      <c r="M254" s="29">
        <v>335.75</v>
      </c>
      <c r="N254" s="27" t="inlineStr">
        <is>
          <t xml:space="preserve">jun/26</t>
        </is>
      </c>
      <c r="O254" s="29">
        <v>66.8</v>
      </c>
      <c r="P254" s="27" t="inlineStr">
        <is>
          <t xml:space="preserve">jul/26</t>
        </is>
      </c>
      <c r="Q254" s="29">
        <v>25.95</v>
      </c>
      <c r="R254" s="27" t="inlineStr">
        <is>
          <t xml:space="preserve">jul/26</t>
        </is>
      </c>
      <c r="S254" s="30">
        <v>11.77</v>
      </c>
      <c r="T254" s="27" t="inlineStr">
        <is>
          <t xml:space="preserve">jul/26</t>
        </is>
      </c>
      <c r="U254" s="30">
        <v>4.5575</v>
      </c>
      <c r="V254" s="27" t="inlineStr">
        <is>
          <t xml:space="preserve">jul/26</t>
        </is>
      </c>
      <c r="W254" s="29">
        <v>334.3</v>
      </c>
      <c r="X254" s="27" t="inlineStr">
        <is>
          <t xml:space="preserve">jul/26</t>
        </is>
      </c>
      <c r="Y254" s="30">
        <v>0.7388</v>
      </c>
      <c r="Z254" s="27" t="inlineStr">
        <is>
          <t xml:space="preserve">jul/26</t>
        </is>
      </c>
      <c r="AA254" s="29">
        <v>424.35</v>
      </c>
      <c r="AB254" s="29">
        <v>95.04</v>
      </c>
      <c r="AC254" s="29">
        <v>344.29</v>
      </c>
      <c r="AD254" s="29">
        <v>345.91</v>
      </c>
      <c r="AE254" s="29">
        <v>330.99</v>
      </c>
      <c r="AG254" s="29">
        <v>329.48</v>
      </c>
      <c r="AH254" s="29">
        <v>334.02</v>
      </c>
      <c r="AI254" s="29">
        <v>353.17</v>
      </c>
      <c r="AJ254" s="29">
        <v>341.01</v>
      </c>
      <c r="AK254" s="29">
        <v>315.17</v>
      </c>
      <c r="AL254" s="29">
        <v>5.8</v>
      </c>
      <c r="AM254" s="29">
        <v>4.97</v>
      </c>
      <c r="AN254" s="29">
        <v>5.36</v>
      </c>
      <c r="AO254" s="29">
        <v>5.08</v>
      </c>
      <c r="AP254" s="29">
        <v>7.62</v>
      </c>
      <c r="AQ254" s="29">
        <v>146.63</v>
      </c>
      <c r="AR254" s="29">
        <v>168.62</v>
      </c>
      <c r="BC254" s="29">
        <v>10.09</v>
      </c>
      <c r="BD254" s="29">
        <v>9.66</v>
      </c>
      <c r="BE254" s="29">
        <v>10.44</v>
      </c>
      <c r="BF254" s="29">
        <v>8.92</v>
      </c>
      <c r="BG254" s="29">
        <v>10.24</v>
      </c>
      <c r="BH254" s="29">
        <v>1299.34</v>
      </c>
      <c r="BI254" s="29">
        <v>61.16</v>
      </c>
      <c r="BK254" s="29">
        <v>454.72</v>
      </c>
      <c r="BL254" s="29">
        <v>394.85</v>
      </c>
      <c r="BM254" s="29">
        <v>445.83</v>
      </c>
      <c r="BN254" s="29">
        <v>400.0</v>
      </c>
      <c r="BO254" s="29">
        <v>210.09</v>
      </c>
      <c r="BP254" s="29">
        <v>231.06</v>
      </c>
      <c r="BQ254" s="29">
        <v>204.36</v>
      </c>
      <c r="BR254" s="29">
        <v>189.63</v>
      </c>
      <c r="BS254" s="30">
        <v>2.2209</v>
      </c>
      <c r="BT254" s="30">
        <v>2.5681</v>
      </c>
      <c r="BU254" s="29">
        <v>503.52</v>
      </c>
      <c r="BV254" s="29">
        <v>415.5</v>
      </c>
      <c r="BW254" s="29">
        <v>506.55</v>
      </c>
      <c r="BX254" s="29">
        <v>45.0</v>
      </c>
      <c r="BY254" s="29">
        <v>52.0</v>
      </c>
      <c r="BZ254" s="29">
        <v>42.0</v>
      </c>
      <c r="CA254" s="29">
        <v>44.0</v>
      </c>
      <c r="CD254" s="29">
        <v>24.57</v>
      </c>
      <c r="CE254" s="29">
        <v>39.79</v>
      </c>
      <c r="CI254" s="29">
        <v>4002.0</v>
      </c>
      <c r="CJ254" s="27" t="inlineStr">
        <is>
          <t xml:space="preserve">jul/26</t>
        </is>
      </c>
    </row>
    <row r="255">
      <c r="A255" s="28">
        <v>46160</v>
      </c>
      <c r="B255" s="29">
        <v>1361.48</v>
      </c>
      <c r="C255" s="29">
        <v>3433.52</v>
      </c>
      <c r="D255" s="29">
        <v>7.6</v>
      </c>
      <c r="E255" s="29">
        <v>5.46</v>
      </c>
      <c r="F255" s="29">
        <v>1605.75</v>
      </c>
      <c r="G255" s="29">
        <v>914.16</v>
      </c>
      <c r="H255" s="29">
        <v>309.0</v>
      </c>
      <c r="I255" s="27" t="inlineStr">
        <is>
          <t xml:space="preserve">dez/26</t>
        </is>
      </c>
      <c r="J255" s="29">
        <v>176975.82</v>
      </c>
      <c r="K255" s="30">
        <v>5007.5</v>
      </c>
      <c r="L255" s="27" t="inlineStr">
        <is>
          <t xml:space="preserve">jun/26</t>
        </is>
      </c>
      <c r="M255" s="29">
        <v>337.0</v>
      </c>
      <c r="N255" s="27" t="inlineStr">
        <is>
          <t xml:space="preserve">jun/26</t>
        </is>
      </c>
      <c r="O255" s="29">
        <v>67.07</v>
      </c>
      <c r="P255" s="27" t="inlineStr">
        <is>
          <t xml:space="preserve">jul/26</t>
        </is>
      </c>
      <c r="Q255" s="29">
        <v>26.72</v>
      </c>
      <c r="R255" s="27" t="inlineStr">
        <is>
          <t xml:space="preserve">jul/26</t>
        </is>
      </c>
      <c r="S255" s="30">
        <v>12.13</v>
      </c>
      <c r="T255" s="27" t="inlineStr">
        <is>
          <t xml:space="preserve">jul/26</t>
        </is>
      </c>
      <c r="U255" s="30">
        <v>4.77</v>
      </c>
      <c r="V255" s="27" t="inlineStr">
        <is>
          <t xml:space="preserve">jul/26</t>
        </is>
      </c>
      <c r="W255" s="29">
        <v>334.5</v>
      </c>
      <c r="X255" s="27" t="inlineStr">
        <is>
          <t xml:space="preserve">jul/26</t>
        </is>
      </c>
      <c r="Y255" s="30">
        <v>0.7563</v>
      </c>
      <c r="Z255" s="27" t="inlineStr">
        <is>
          <t xml:space="preserve">jul/26</t>
        </is>
      </c>
      <c r="AA255" s="29">
        <v>420.31</v>
      </c>
      <c r="AB255" s="29">
        <v>94.7</v>
      </c>
      <c r="AL255" s="29">
        <v>5.77</v>
      </c>
      <c r="AM255" s="29">
        <v>4.89</v>
      </c>
      <c r="AN255" s="29">
        <v>5.35</v>
      </c>
      <c r="AO255" s="29">
        <v>5.08</v>
      </c>
      <c r="AP255" s="29">
        <v>7.61</v>
      </c>
      <c r="AQ255" s="29">
        <v>146.63</v>
      </c>
      <c r="AR255" s="29">
        <v>168.62</v>
      </c>
      <c r="BH255" s="29">
        <v>1300.76</v>
      </c>
      <c r="BI255" s="29">
        <v>61.09</v>
      </c>
      <c r="BK255" s="29">
        <v>478.14</v>
      </c>
      <c r="BL255" s="29">
        <v>437.63</v>
      </c>
      <c r="BM255" s="29">
        <v>459.44</v>
      </c>
      <c r="BN255" s="29">
        <v>426.13</v>
      </c>
      <c r="BO255" s="29">
        <v>217.74</v>
      </c>
      <c r="BP255" s="29">
        <v>229.04</v>
      </c>
      <c r="BQ255" s="29">
        <v>210.11</v>
      </c>
      <c r="BR255" s="29">
        <v>189.63</v>
      </c>
      <c r="BX255" s="29">
        <v>45.0</v>
      </c>
      <c r="BY255" s="29">
        <v>52.0</v>
      </c>
      <c r="BZ255" s="29">
        <v>42.0</v>
      </c>
      <c r="CA255" s="29">
        <v>44.0</v>
      </c>
      <c r="CD255" s="29">
        <v>25.29</v>
      </c>
      <c r="CE255" s="29">
        <v>40.14</v>
      </c>
      <c r="CI255" s="29">
        <v>3791.0</v>
      </c>
      <c r="CJ255" s="27" t="inlineStr">
        <is>
          <t xml:space="preserve">jul/26</t>
        </is>
      </c>
    </row>
    <row r="256">
      <c r="A256" s="28">
        <v>46161</v>
      </c>
      <c r="B256" s="29">
        <v>1360.52</v>
      </c>
      <c r="C256" s="29">
        <v>3416.03</v>
      </c>
      <c r="D256" s="29">
        <v>7.58</v>
      </c>
      <c r="E256" s="29">
        <v>5.36</v>
      </c>
      <c r="F256" s="29">
        <v>1589.67</v>
      </c>
      <c r="G256" s="29">
        <v>921.88</v>
      </c>
      <c r="J256" s="29">
        <v>174278.86</v>
      </c>
      <c r="K256" s="30">
        <v>5061.0</v>
      </c>
      <c r="L256" s="27" t="inlineStr">
        <is>
          <t xml:space="preserve">jun/26</t>
        </is>
      </c>
      <c r="M256" s="29">
        <v>345.85</v>
      </c>
      <c r="N256" s="27" t="inlineStr">
        <is>
          <t xml:space="preserve">jun/26</t>
        </is>
      </c>
      <c r="O256" s="29">
        <v>67.26</v>
      </c>
      <c r="P256" s="27" t="inlineStr">
        <is>
          <t xml:space="preserve">jul/26</t>
        </is>
      </c>
      <c r="Q256" s="29">
        <v>26.68</v>
      </c>
      <c r="R256" s="27" t="inlineStr">
        <is>
          <t xml:space="preserve">jul/26</t>
        </is>
      </c>
      <c r="S256" s="30">
        <v>12.095</v>
      </c>
      <c r="T256" s="27" t="inlineStr">
        <is>
          <t xml:space="preserve">jul/26</t>
        </is>
      </c>
      <c r="U256" s="30">
        <v>4.7525</v>
      </c>
      <c r="V256" s="27" t="inlineStr">
        <is>
          <t xml:space="preserve">jul/26</t>
        </is>
      </c>
      <c r="W256" s="29">
        <v>332.3</v>
      </c>
      <c r="X256" s="27" t="inlineStr">
        <is>
          <t xml:space="preserve">jul/26</t>
        </is>
      </c>
      <c r="Y256" s="30">
        <v>0.7544</v>
      </c>
      <c r="Z256" s="27" t="inlineStr">
        <is>
          <t xml:space="preserve">jul/26</t>
        </is>
      </c>
      <c r="AA256" s="29">
        <v>422.14</v>
      </c>
      <c r="AB256" s="29">
        <v>93.96</v>
      </c>
      <c r="AC256" s="29">
        <v>343.48</v>
      </c>
      <c r="AD256" s="29">
        <v>345.81</v>
      </c>
      <c r="AE256" s="29">
        <v>328.52</v>
      </c>
      <c r="AG256" s="29">
        <v>326.34</v>
      </c>
      <c r="AH256" s="29">
        <v>332.23</v>
      </c>
      <c r="AI256" s="29">
        <v>351.18</v>
      </c>
      <c r="AJ256" s="29">
        <v>342.3</v>
      </c>
      <c r="AK256" s="29">
        <v>312.82</v>
      </c>
      <c r="AL256" s="29">
        <v>5.76</v>
      </c>
      <c r="AM256" s="29">
        <v>4.83</v>
      </c>
      <c r="AN256" s="29">
        <v>5.25</v>
      </c>
      <c r="AO256" s="29">
        <v>4.95</v>
      </c>
      <c r="AP256" s="29">
        <v>7.59</v>
      </c>
      <c r="AQ256" s="29">
        <v>146.48</v>
      </c>
      <c r="AR256" s="29">
        <v>168.67</v>
      </c>
      <c r="BH256" s="29">
        <v>1311.12</v>
      </c>
      <c r="BI256" s="29">
        <v>60.66</v>
      </c>
      <c r="BK256" s="29">
        <v>499.42</v>
      </c>
      <c r="BL256" s="29">
        <v>437.63</v>
      </c>
      <c r="BM256" s="29">
        <v>459.44</v>
      </c>
      <c r="BN256" s="29">
        <v>426.13</v>
      </c>
      <c r="BO256" s="29">
        <v>227.93</v>
      </c>
      <c r="BP256" s="29">
        <v>241.9</v>
      </c>
      <c r="BQ256" s="29">
        <v>228.28</v>
      </c>
      <c r="BR256" s="29">
        <v>217.0</v>
      </c>
      <c r="BX256" s="29">
        <v>46.0</v>
      </c>
      <c r="BY256" s="29">
        <v>52.0</v>
      </c>
      <c r="BZ256" s="29">
        <v>42.33</v>
      </c>
      <c r="CA256" s="29">
        <v>44.4</v>
      </c>
      <c r="CD256" s="29">
        <v>25.29</v>
      </c>
      <c r="CE256" s="29">
        <v>39.81</v>
      </c>
      <c r="CI256" s="29">
        <v>3907.0</v>
      </c>
      <c r="CJ256" s="27" t="inlineStr">
        <is>
          <t xml:space="preserve">jul/26</t>
        </is>
      </c>
    </row>
    <row r="257">
      <c r="A257" s="28">
        <v>46162</v>
      </c>
      <c r="B257" s="29">
        <v>1359.61</v>
      </c>
      <c r="C257" s="29">
        <v>3410.92</v>
      </c>
      <c r="D257" s="29">
        <v>7.48</v>
      </c>
      <c r="E257" s="29">
        <v>5.36</v>
      </c>
      <c r="F257" s="29">
        <v>1606.03</v>
      </c>
      <c r="G257" s="29">
        <v>919.16</v>
      </c>
      <c r="H257" s="29">
        <v>310.0</v>
      </c>
      <c r="I257" s="27" t="inlineStr">
        <is>
          <t xml:space="preserve">dez/26</t>
        </is>
      </c>
      <c r="J257" s="29">
        <v>177355.73</v>
      </c>
      <c r="K257" s="30">
        <v>5009.0</v>
      </c>
      <c r="L257" s="27" t="inlineStr">
        <is>
          <t xml:space="preserve">jun/26</t>
        </is>
      </c>
      <c r="M257" s="29">
        <v>345.15</v>
      </c>
      <c r="N257" s="27" t="inlineStr">
        <is>
          <t xml:space="preserve">jun/26</t>
        </is>
      </c>
      <c r="O257" s="29">
        <v>66.96</v>
      </c>
      <c r="P257" s="27" t="inlineStr">
        <is>
          <t xml:space="preserve">jul/26</t>
        </is>
      </c>
      <c r="Q257" s="29">
        <v>26.46</v>
      </c>
      <c r="R257" s="27" t="inlineStr">
        <is>
          <t xml:space="preserve">jul/26</t>
        </is>
      </c>
      <c r="S257" s="30">
        <v>11.9975</v>
      </c>
      <c r="T257" s="27" t="inlineStr">
        <is>
          <t xml:space="preserve">jul/26</t>
        </is>
      </c>
      <c r="U257" s="30">
        <v>4.6575</v>
      </c>
      <c r="V257" s="27" t="inlineStr">
        <is>
          <t xml:space="preserve">jul/26</t>
        </is>
      </c>
      <c r="W257" s="29">
        <v>330.9</v>
      </c>
      <c r="X257" s="27" t="inlineStr">
        <is>
          <t xml:space="preserve">jul/26</t>
        </is>
      </c>
      <c r="Y257" s="30">
        <v>0.7466</v>
      </c>
      <c r="Z257" s="27" t="inlineStr">
        <is>
          <t xml:space="preserve">jul/26</t>
        </is>
      </c>
      <c r="AA257" s="29">
        <v>419.72</v>
      </c>
      <c r="AB257" s="29">
        <v>93.25</v>
      </c>
      <c r="AC257" s="29">
        <v>344.36</v>
      </c>
      <c r="AD257" s="29">
        <v>346.49</v>
      </c>
      <c r="AE257" s="29">
        <v>329.37</v>
      </c>
      <c r="AG257" s="29">
        <v>325.4</v>
      </c>
      <c r="AH257" s="29">
        <v>332.38</v>
      </c>
      <c r="AI257" s="29">
        <v>349.89</v>
      </c>
      <c r="AJ257" s="29">
        <v>342.48</v>
      </c>
      <c r="AK257" s="29">
        <v>311.44</v>
      </c>
      <c r="AL257" s="29">
        <v>5.76</v>
      </c>
      <c r="AM257" s="29">
        <v>4.81</v>
      </c>
      <c r="AN257" s="29">
        <v>5.15</v>
      </c>
      <c r="AO257" s="29">
        <v>4.88</v>
      </c>
      <c r="AP257" s="29">
        <v>7.49</v>
      </c>
      <c r="AQ257" s="29">
        <v>146.63</v>
      </c>
      <c r="AR257" s="29">
        <v>168.62</v>
      </c>
      <c r="BH257" s="29">
        <v>1307.8</v>
      </c>
      <c r="BI257" s="29">
        <v>60.57</v>
      </c>
      <c r="BK257" s="29">
        <v>499.46</v>
      </c>
      <c r="BL257" s="29">
        <v>438.29</v>
      </c>
      <c r="BM257" s="29">
        <v>463.29</v>
      </c>
      <c r="BN257" s="29">
        <v>426.13</v>
      </c>
      <c r="BO257" s="29">
        <v>237.28</v>
      </c>
      <c r="BP257" s="29">
        <v>254.78</v>
      </c>
      <c r="BQ257" s="29">
        <v>235.11</v>
      </c>
      <c r="BR257" s="29">
        <v>231.92</v>
      </c>
      <c r="BX257" s="29">
        <v>46.0</v>
      </c>
      <c r="BY257" s="29">
        <v>52.0</v>
      </c>
      <c r="BZ257" s="29">
        <v>42.0</v>
      </c>
      <c r="CA257" s="29">
        <v>44.4</v>
      </c>
      <c r="CD257" s="29">
        <v>25.29</v>
      </c>
      <c r="CE257" s="29">
        <v>38.83</v>
      </c>
      <c r="CI257" s="29">
        <v>3889.0</v>
      </c>
      <c r="CJ257" s="27" t="inlineStr">
        <is>
          <t xml:space="preserve">jul/26</t>
        </is>
      </c>
    </row>
    <row r="258">
      <c r="A258" s="28">
        <v>46163</v>
      </c>
      <c r="B258" s="29">
        <v>1357.67</v>
      </c>
      <c r="C258" s="29">
        <v>3424.72</v>
      </c>
      <c r="D258" s="29">
        <v>7.48</v>
      </c>
      <c r="E258" s="29">
        <v>5.36</v>
      </c>
      <c r="F258" s="29">
        <v>1614.77</v>
      </c>
      <c r="G258" s="29">
        <v>921.88</v>
      </c>
      <c r="H258" s="29">
        <v>315.35</v>
      </c>
      <c r="I258" s="27" t="inlineStr">
        <is>
          <t xml:space="preserve">dez/26</t>
        </is>
      </c>
      <c r="J258" s="29">
        <v>177649.86</v>
      </c>
      <c r="K258" s="30">
        <v>5016.0</v>
      </c>
      <c r="L258" s="27" t="inlineStr">
        <is>
          <t xml:space="preserve">jun/26</t>
        </is>
      </c>
      <c r="M258" s="29">
        <v>346.0</v>
      </c>
      <c r="N258" s="27" t="inlineStr">
        <is>
          <t xml:space="preserve">jun/26</t>
        </is>
      </c>
      <c r="O258" s="29">
        <v>67.25</v>
      </c>
      <c r="P258" s="27" t="inlineStr">
        <is>
          <t xml:space="preserve">jul/26</t>
        </is>
      </c>
      <c r="Q258" s="29">
        <v>26.31</v>
      </c>
      <c r="R258" s="27" t="inlineStr">
        <is>
          <t xml:space="preserve">jul/26</t>
        </is>
      </c>
      <c r="S258" s="30">
        <v>11.9425</v>
      </c>
      <c r="T258" s="27" t="inlineStr">
        <is>
          <t xml:space="preserve">jul/26</t>
        </is>
      </c>
      <c r="U258" s="30">
        <v>4.6225</v>
      </c>
      <c r="V258" s="27" t="inlineStr">
        <is>
          <t xml:space="preserve">jul/26</t>
        </is>
      </c>
      <c r="W258" s="29">
        <v>328.4</v>
      </c>
      <c r="X258" s="27" t="inlineStr">
        <is>
          <t xml:space="preserve">jul/26</t>
        </is>
      </c>
      <c r="Y258" s="30">
        <v>0.7387</v>
      </c>
      <c r="Z258" s="27" t="inlineStr">
        <is>
          <t xml:space="preserve">jul/26</t>
        </is>
      </c>
      <c r="AA258" s="29">
        <v>420.72</v>
      </c>
      <c r="AB258" s="29">
        <v>94.08</v>
      </c>
      <c r="AC258" s="29">
        <v>344.82</v>
      </c>
      <c r="AD258" s="29">
        <v>346.71</v>
      </c>
      <c r="AE258" s="29">
        <v>327.06</v>
      </c>
      <c r="AG258" s="29">
        <v>324.91</v>
      </c>
      <c r="AH258" s="29">
        <v>331.58</v>
      </c>
      <c r="AI258" s="29">
        <v>349.17</v>
      </c>
      <c r="AJ258" s="29">
        <v>341.83</v>
      </c>
      <c r="AK258" s="29">
        <v>316.74</v>
      </c>
      <c r="AL258" s="29">
        <v>5.74</v>
      </c>
      <c r="AM258" s="29">
        <v>4.79</v>
      </c>
      <c r="AN258" s="29">
        <v>5.15</v>
      </c>
      <c r="AO258" s="29">
        <v>4.88</v>
      </c>
      <c r="AP258" s="29">
        <v>7.49</v>
      </c>
      <c r="AQ258" s="29">
        <v>146.64</v>
      </c>
      <c r="AR258" s="29">
        <v>167.9</v>
      </c>
      <c r="BH258" s="29">
        <v>1314.47</v>
      </c>
      <c r="BI258" s="29">
        <v>60.23</v>
      </c>
      <c r="BK258" s="29">
        <v>495.12</v>
      </c>
      <c r="BM258" s="29">
        <v>470.5</v>
      </c>
      <c r="BN258" s="29">
        <v>431.13</v>
      </c>
      <c r="BO258" s="29">
        <v>250.65</v>
      </c>
      <c r="BP258" s="29">
        <v>260.58</v>
      </c>
      <c r="BQ258" s="29">
        <v>244.68</v>
      </c>
      <c r="BR258" s="29">
        <v>231.43</v>
      </c>
      <c r="BX258" s="29">
        <v>46.0</v>
      </c>
      <c r="BY258" s="29">
        <v>52.0</v>
      </c>
      <c r="BZ258" s="29">
        <v>42.0</v>
      </c>
      <c r="CA258" s="29">
        <v>44.4</v>
      </c>
      <c r="CD258" s="29">
        <v>25.29</v>
      </c>
      <c r="CE258" s="29">
        <v>37.81</v>
      </c>
      <c r="CI258" s="29">
        <v>3767.0</v>
      </c>
      <c r="CJ258" s="27" t="inlineStr">
        <is>
          <t xml:space="preserve">jul/26</t>
        </is>
      </c>
    </row>
    <row r="259">
      <c r="A259" s="28">
        <v>46164</v>
      </c>
      <c r="B259" s="29">
        <v>1356.08</v>
      </c>
      <c r="C259" s="29">
        <v>3428.49</v>
      </c>
      <c r="D259" s="29">
        <v>7.48</v>
      </c>
      <c r="E259" s="29">
        <v>5.36</v>
      </c>
      <c r="F259" s="29">
        <v>1612.87</v>
      </c>
      <c r="G259" s="29">
        <v>941.92</v>
      </c>
      <c r="J259" s="29">
        <v>176209.61</v>
      </c>
      <c r="K259" s="30">
        <v>5050.0</v>
      </c>
      <c r="L259" s="27" t="inlineStr">
        <is>
          <t xml:space="preserve">jun/26</t>
        </is>
      </c>
      <c r="M259" s="29">
        <v>349.1</v>
      </c>
      <c r="N259" s="27" t="inlineStr">
        <is>
          <t xml:space="preserve">jun/26</t>
        </is>
      </c>
      <c r="O259" s="29">
        <v>67.21</v>
      </c>
      <c r="P259" s="27" t="inlineStr">
        <is>
          <t xml:space="preserve">jul/26</t>
        </is>
      </c>
      <c r="Q259" s="29">
        <v>26.39</v>
      </c>
      <c r="R259" s="27" t="inlineStr">
        <is>
          <t xml:space="preserve">jul/26</t>
        </is>
      </c>
      <c r="S259" s="30">
        <v>11.965</v>
      </c>
      <c r="T259" s="27" t="inlineStr">
        <is>
          <t xml:space="preserve">jul/26</t>
        </is>
      </c>
      <c r="U259" s="30">
        <v>4.6325</v>
      </c>
      <c r="V259" s="27" t="inlineStr">
        <is>
          <t xml:space="preserve">jul/26</t>
        </is>
      </c>
      <c r="W259" s="29">
        <v>331.9</v>
      </c>
      <c r="X259" s="27" t="inlineStr">
        <is>
          <t xml:space="preserve">jul/26</t>
        </is>
      </c>
      <c r="Y259" s="30">
        <v>0.7398</v>
      </c>
      <c r="Z259" s="27" t="inlineStr">
        <is>
          <t xml:space="preserve">jul/26</t>
        </is>
      </c>
      <c r="AA259" s="29">
        <v>425.14</v>
      </c>
      <c r="AB259" s="29">
        <v>93.56</v>
      </c>
      <c r="AL259" s="29">
        <v>5.72</v>
      </c>
      <c r="AM259" s="29">
        <v>4.79</v>
      </c>
      <c r="AN259" s="29">
        <v>5.15</v>
      </c>
      <c r="AO259" s="29">
        <v>4.88</v>
      </c>
      <c r="AP259" s="29">
        <v>7.49</v>
      </c>
      <c r="AQ259" s="29">
        <v>146.63</v>
      </c>
      <c r="AR259" s="29">
        <v>167.75</v>
      </c>
      <c r="BC259" s="29">
        <v>10.09</v>
      </c>
      <c r="BD259" s="29">
        <v>9.64</v>
      </c>
      <c r="BE259" s="29">
        <v>10.45</v>
      </c>
      <c r="BF259" s="29">
        <v>8.87</v>
      </c>
      <c r="BG259" s="29">
        <v>10.24</v>
      </c>
      <c r="BH259" s="29">
        <v>1314.47</v>
      </c>
      <c r="BI259" s="29">
        <v>59.98</v>
      </c>
      <c r="BK259" s="29">
        <v>491.93</v>
      </c>
      <c r="BM259" s="29">
        <v>473.6</v>
      </c>
      <c r="BN259" s="29">
        <v>430.83</v>
      </c>
      <c r="BO259" s="29">
        <v>251.03</v>
      </c>
      <c r="BP259" s="29">
        <v>260.38</v>
      </c>
      <c r="BQ259" s="29">
        <v>246.99</v>
      </c>
      <c r="BR259" s="29">
        <v>231.54</v>
      </c>
      <c r="BS259" s="30">
        <v>2.2492</v>
      </c>
      <c r="BT259" s="30">
        <v>2.5493</v>
      </c>
      <c r="BU259" s="29">
        <v>498.89</v>
      </c>
      <c r="BV259" s="29">
        <v>395.88</v>
      </c>
      <c r="BW259" s="29">
        <v>498.85</v>
      </c>
      <c r="BX259" s="29">
        <v>46.0</v>
      </c>
      <c r="BY259" s="29">
        <v>50.0</v>
      </c>
      <c r="BZ259" s="29">
        <v>42.0</v>
      </c>
      <c r="CA259" s="29">
        <v>44.4</v>
      </c>
      <c r="CD259" s="29">
        <v>24.67</v>
      </c>
      <c r="CE259" s="29">
        <v>38.53</v>
      </c>
      <c r="CI259" s="29">
        <v>3796.0</v>
      </c>
      <c r="CJ259" s="27" t="inlineStr">
        <is>
          <t xml:space="preserve">jul/26</t>
        </is>
      </c>
    </row>
    <row r="260">
      <c r="A260" s="28">
        <v>46167</v>
      </c>
      <c r="B260" s="29">
        <v>1354.44</v>
      </c>
      <c r="C260" s="29">
        <v>3425.59</v>
      </c>
      <c r="D260" s="29">
        <v>7.46</v>
      </c>
      <c r="E260" s="29">
        <v>5.36</v>
      </c>
      <c r="F260" s="29">
        <v>1643.77</v>
      </c>
      <c r="G260" s="29">
        <v>937.65</v>
      </c>
      <c r="H260" s="29">
        <v>312.5</v>
      </c>
      <c r="I260" s="27" t="inlineStr">
        <is>
          <t xml:space="preserve">dez/26</t>
        </is>
      </c>
      <c r="J260" s="29">
        <v>177815.72</v>
      </c>
      <c r="K260" s="30">
        <v>5016.5</v>
      </c>
      <c r="L260" s="27" t="inlineStr">
        <is>
          <t xml:space="preserve">jun/26</t>
        </is>
      </c>
      <c r="M260" s="29">
        <v>351.9</v>
      </c>
      <c r="N260" s="27" t="inlineStr">
        <is>
          <t xml:space="preserve">jun/26</t>
        </is>
      </c>
      <c r="O260" s="29">
        <v>66.58</v>
      </c>
      <c r="P260" s="27" t="inlineStr">
        <is>
          <t xml:space="preserve">jul/26</t>
        </is>
      </c>
      <c r="AA260" s="29">
        <v>417.68</v>
      </c>
      <c r="AB260" s="29">
        <v>93.69</v>
      </c>
      <c r="AC260" s="29">
        <v>345.71</v>
      </c>
      <c r="AD260" s="29">
        <v>346.02</v>
      </c>
      <c r="AE260" s="29">
        <v>323.74</v>
      </c>
      <c r="AG260" s="29">
        <v>322.57</v>
      </c>
      <c r="AH260" s="29">
        <v>329.83</v>
      </c>
      <c r="AI260" s="29">
        <v>349.92</v>
      </c>
      <c r="AJ260" s="29">
        <v>340.21</v>
      </c>
      <c r="AK260" s="29">
        <v>311.49</v>
      </c>
      <c r="AL260" s="29">
        <v>5.66</v>
      </c>
      <c r="AM260" s="29">
        <v>4.79</v>
      </c>
      <c r="AN260" s="29">
        <v>5.14</v>
      </c>
      <c r="AO260" s="29">
        <v>4.86</v>
      </c>
      <c r="AP260" s="29">
        <v>7.47</v>
      </c>
      <c r="AQ260" s="29">
        <v>146.92</v>
      </c>
      <c r="AR260" s="29">
        <v>168.21</v>
      </c>
      <c r="BH260" s="29">
        <v>1325.96</v>
      </c>
      <c r="BI260" s="29">
        <v>59.86</v>
      </c>
      <c r="BK260" s="29">
        <v>491.49</v>
      </c>
      <c r="BM260" s="29">
        <v>473.6</v>
      </c>
      <c r="BN260" s="29">
        <v>430.83</v>
      </c>
      <c r="BO260" s="29">
        <v>251.08</v>
      </c>
      <c r="BP260" s="29">
        <v>263.39</v>
      </c>
      <c r="BQ260" s="29">
        <v>248.0</v>
      </c>
      <c r="BR260" s="29">
        <v>231.54</v>
      </c>
      <c r="BX260" s="29">
        <v>46.0</v>
      </c>
      <c r="BY260" s="29">
        <v>50.0</v>
      </c>
      <c r="BZ260" s="29">
        <v>42.0</v>
      </c>
      <c r="CA260" s="29">
        <v>44.4</v>
      </c>
      <c r="CD260" s="29">
        <v>25.0</v>
      </c>
      <c r="CE260" s="29">
        <v>38.15</v>
      </c>
    </row>
    <row r="261">
      <c r="A261" s="28">
        <v>46168</v>
      </c>
      <c r="B261" s="29">
        <v>1354.4</v>
      </c>
      <c r="C261" s="29">
        <v>3425.26</v>
      </c>
      <c r="D261" s="29">
        <v>7.41</v>
      </c>
      <c r="E261" s="29">
        <v>5.34</v>
      </c>
      <c r="F261" s="29">
        <v>1637.8</v>
      </c>
      <c r="G261" s="29">
        <v>961.86</v>
      </c>
      <c r="H261" s="29">
        <v>317.1</v>
      </c>
      <c r="I261" s="27" t="inlineStr">
        <is>
          <t xml:space="preserve">dez/26</t>
        </is>
      </c>
      <c r="J261" s="29">
        <v>176589.03</v>
      </c>
      <c r="K261" s="30">
        <v>5040.0</v>
      </c>
      <c r="L261" s="27" t="inlineStr">
        <is>
          <t xml:space="preserve">jun/26</t>
        </is>
      </c>
      <c r="M261" s="29">
        <v>351.95</v>
      </c>
      <c r="N261" s="27" t="inlineStr">
        <is>
          <t xml:space="preserve">jun/26</t>
        </is>
      </c>
      <c r="O261" s="29">
        <v>66.15</v>
      </c>
      <c r="P261" s="27" t="inlineStr">
        <is>
          <t xml:space="preserve">jul/26</t>
        </is>
      </c>
      <c r="Q261" s="29">
        <v>26.16</v>
      </c>
      <c r="R261" s="27" t="inlineStr">
        <is>
          <t xml:space="preserve">jul/26</t>
        </is>
      </c>
      <c r="S261" s="30">
        <v>11.86</v>
      </c>
      <c r="T261" s="27" t="inlineStr">
        <is>
          <t xml:space="preserve">jul/26</t>
        </is>
      </c>
      <c r="U261" s="30">
        <v>4.575</v>
      </c>
      <c r="V261" s="27" t="inlineStr">
        <is>
          <t xml:space="preserve">jul/26</t>
        </is>
      </c>
      <c r="W261" s="29">
        <v>328.6</v>
      </c>
      <c r="X261" s="27" t="inlineStr">
        <is>
          <t xml:space="preserve">jul/26</t>
        </is>
      </c>
      <c r="Y261" s="30">
        <v>0.7436</v>
      </c>
      <c r="Z261" s="27" t="inlineStr">
        <is>
          <t xml:space="preserve">jul/26</t>
        </is>
      </c>
      <c r="AA261" s="29">
        <v>424.88</v>
      </c>
      <c r="AB261" s="29">
        <v>93.09</v>
      </c>
      <c r="AC261" s="29">
        <v>347.8</v>
      </c>
      <c r="AD261" s="29">
        <v>345.74</v>
      </c>
      <c r="AE261" s="29">
        <v>322.66</v>
      </c>
      <c r="AG261" s="29">
        <v>324.25</v>
      </c>
      <c r="AH261" s="29">
        <v>332.98</v>
      </c>
      <c r="AI261" s="29">
        <v>347.12</v>
      </c>
      <c r="AJ261" s="29">
        <v>341.05</v>
      </c>
      <c r="AK261" s="29">
        <v>311.49</v>
      </c>
      <c r="AL261" s="29">
        <v>5.61</v>
      </c>
      <c r="AM261" s="29">
        <v>4.76</v>
      </c>
      <c r="AN261" s="29">
        <v>5.13</v>
      </c>
      <c r="AO261" s="29">
        <v>4.81</v>
      </c>
      <c r="AP261" s="29">
        <v>7.42</v>
      </c>
      <c r="AQ261" s="29">
        <v>146.92</v>
      </c>
      <c r="AR261" s="29">
        <v>168.21</v>
      </c>
      <c r="BH261" s="29">
        <v>1319.2</v>
      </c>
      <c r="BI261" s="29">
        <v>59.7</v>
      </c>
      <c r="BK261" s="29">
        <v>485.11</v>
      </c>
      <c r="BM261" s="29">
        <v>470.0</v>
      </c>
      <c r="BN261" s="29">
        <v>430.83</v>
      </c>
      <c r="BO261" s="29">
        <v>253.3</v>
      </c>
      <c r="BP261" s="29">
        <v>266.6</v>
      </c>
      <c r="BQ261" s="29">
        <v>247.06</v>
      </c>
      <c r="BR261" s="29">
        <v>231.54</v>
      </c>
      <c r="BX261" s="29">
        <v>46.0</v>
      </c>
      <c r="BY261" s="29">
        <v>50.0</v>
      </c>
      <c r="BZ261" s="29">
        <v>42.0</v>
      </c>
      <c r="CA261" s="29">
        <v>44.0</v>
      </c>
      <c r="CD261" s="29">
        <v>25.0</v>
      </c>
      <c r="CE261" s="29">
        <v>37.53</v>
      </c>
      <c r="CI261" s="29">
        <v>4169.0</v>
      </c>
      <c r="CJ261" s="27" t="inlineStr">
        <is>
          <t xml:space="preserve">jul/26</t>
        </is>
      </c>
    </row>
    <row r="262">
      <c r="A262" s="28">
        <v>46169</v>
      </c>
      <c r="B262" s="29">
        <v>1361.34</v>
      </c>
      <c r="C262" s="29">
        <v>3421.01</v>
      </c>
      <c r="D262" s="29">
        <v>7.41</v>
      </c>
      <c r="E262" s="29">
        <v>5.35</v>
      </c>
      <c r="F262" s="29">
        <v>1611.97</v>
      </c>
      <c r="G262" s="29">
        <v>959.64</v>
      </c>
      <c r="H262" s="29">
        <v>311.45</v>
      </c>
      <c r="I262" s="27" t="inlineStr">
        <is>
          <t xml:space="preserve">dez/26</t>
        </is>
      </c>
      <c r="J262" s="29">
        <v>175744.37</v>
      </c>
      <c r="K262" s="30">
        <v>5064.5</v>
      </c>
      <c r="L262" s="27" t="inlineStr">
        <is>
          <t xml:space="preserve">jun/26</t>
        </is>
      </c>
      <c r="M262" s="29">
        <v>353.9</v>
      </c>
      <c r="N262" s="27" t="inlineStr">
        <is>
          <t xml:space="preserve">jun/26</t>
        </is>
      </c>
      <c r="O262" s="29">
        <v>65.6</v>
      </c>
      <c r="P262" s="27" t="inlineStr">
        <is>
          <t xml:space="preserve">jul/26</t>
        </is>
      </c>
      <c r="Q262" s="29">
        <v>26.14</v>
      </c>
      <c r="R262" s="27" t="inlineStr">
        <is>
          <t xml:space="preserve">jul/26</t>
        </is>
      </c>
      <c r="S262" s="30">
        <v>11.8525</v>
      </c>
      <c r="T262" s="27" t="inlineStr">
        <is>
          <t xml:space="preserve">jul/26</t>
        </is>
      </c>
      <c r="U262" s="30">
        <v>4.525</v>
      </c>
      <c r="V262" s="27" t="inlineStr">
        <is>
          <t xml:space="preserve">jul/26</t>
        </is>
      </c>
      <c r="W262" s="29">
        <v>330.6</v>
      </c>
      <c r="X262" s="27" t="inlineStr">
        <is>
          <t xml:space="preserve">jul/26</t>
        </is>
      </c>
      <c r="Y262" s="30">
        <v>0.7526</v>
      </c>
      <c r="Z262" s="27" t="inlineStr">
        <is>
          <t xml:space="preserve">jul/26</t>
        </is>
      </c>
      <c r="AA262" s="29">
        <v>421.69</v>
      </c>
      <c r="AB262" s="29">
        <v>94.22</v>
      </c>
      <c r="AL262" s="29">
        <v>5.61</v>
      </c>
      <c r="AM262" s="29">
        <v>4.73</v>
      </c>
      <c r="AN262" s="29">
        <v>5.07</v>
      </c>
      <c r="AO262" s="29">
        <v>4.89</v>
      </c>
      <c r="AP262" s="29">
        <v>7.42</v>
      </c>
      <c r="AQ262" s="29">
        <v>146.92</v>
      </c>
      <c r="AR262" s="29">
        <v>168.21</v>
      </c>
      <c r="BH262" s="29">
        <v>1320.75</v>
      </c>
      <c r="BI262" s="29">
        <v>59.66</v>
      </c>
      <c r="BK262" s="29">
        <v>483.48</v>
      </c>
      <c r="BM262" s="29">
        <v>470.0</v>
      </c>
      <c r="BN262" s="29">
        <v>432.26</v>
      </c>
      <c r="BO262" s="29">
        <v>252.77</v>
      </c>
      <c r="BP262" s="29">
        <v>266.66</v>
      </c>
      <c r="BQ262" s="29">
        <v>249.52</v>
      </c>
      <c r="BR262" s="29">
        <v>244.44</v>
      </c>
      <c r="BX262" s="29">
        <v>46.0</v>
      </c>
      <c r="BY262" s="29">
        <v>50.0</v>
      </c>
      <c r="BZ262" s="29">
        <v>42.0</v>
      </c>
      <c r="CA262" s="29">
        <v>44.0</v>
      </c>
      <c r="CD262" s="29">
        <v>25.0</v>
      </c>
      <c r="CE262" s="29">
        <v>38.71</v>
      </c>
      <c r="CI262" s="29">
        <v>4140.0</v>
      </c>
      <c r="CJ262" s="27" t="inlineStr">
        <is>
          <t xml:space="preserve">jul/26</t>
        </is>
      </c>
    </row>
    <row r="263">
      <c r="A263" s="28">
        <v>46170</v>
      </c>
      <c r="B263" s="29">
        <v>1358.79</v>
      </c>
      <c r="C263" s="29">
        <v>3411.95</v>
      </c>
      <c r="D263" s="29">
        <v>7.39</v>
      </c>
      <c r="E263" s="29">
        <v>5.3</v>
      </c>
      <c r="F263" s="29">
        <v>1601.33</v>
      </c>
      <c r="G263" s="29">
        <v>970.14</v>
      </c>
      <c r="H263" s="29">
        <v>320.85</v>
      </c>
      <c r="I263" s="27" t="inlineStr">
        <is>
          <t xml:space="preserve">dez/26</t>
        </is>
      </c>
      <c r="J263" s="29">
        <v>175063.41</v>
      </c>
      <c r="K263" s="30">
        <v>5044.5</v>
      </c>
      <c r="L263" s="27" t="inlineStr">
        <is>
          <t xml:space="preserve">jun/26</t>
        </is>
      </c>
      <c r="M263" s="29">
        <v>353.25</v>
      </c>
      <c r="N263" s="27" t="inlineStr">
        <is>
          <t xml:space="preserve">jun/26</t>
        </is>
      </c>
      <c r="O263" s="29">
        <v>65.91</v>
      </c>
      <c r="P263" s="27" t="inlineStr">
        <is>
          <t xml:space="preserve">jul/26</t>
        </is>
      </c>
      <c r="Q263" s="29">
        <v>26.34</v>
      </c>
      <c r="R263" s="27" t="inlineStr">
        <is>
          <t xml:space="preserve">jul/26</t>
        </is>
      </c>
      <c r="S263" s="30">
        <v>11.945</v>
      </c>
      <c r="T263" s="27" t="inlineStr">
        <is>
          <t xml:space="preserve">jul/26</t>
        </is>
      </c>
      <c r="U263" s="30">
        <v>4.5575</v>
      </c>
      <c r="V263" s="27" t="inlineStr">
        <is>
          <t xml:space="preserve">jul/26</t>
        </is>
      </c>
      <c r="W263" s="29">
        <v>334.1</v>
      </c>
      <c r="X263" s="27" t="inlineStr">
        <is>
          <t xml:space="preserve">jul/26</t>
        </is>
      </c>
      <c r="Y263" s="30">
        <v>0.767</v>
      </c>
      <c r="Z263" s="27" t="inlineStr">
        <is>
          <t xml:space="preserve">jul/26</t>
        </is>
      </c>
      <c r="AA263" s="29">
        <v>424.21</v>
      </c>
      <c r="AB263" s="29">
        <v>93.84</v>
      </c>
      <c r="AC263" s="29">
        <v>349.07</v>
      </c>
      <c r="AD263" s="29">
        <v>346.17</v>
      </c>
      <c r="AE263" s="29">
        <v>321.25</v>
      </c>
      <c r="AG263" s="29">
        <v>325.89</v>
      </c>
      <c r="AH263" s="29">
        <v>329.74</v>
      </c>
      <c r="AI263" s="29">
        <v>350.43</v>
      </c>
      <c r="AJ263" s="29">
        <v>341.76</v>
      </c>
      <c r="AK263" s="29">
        <v>311.49</v>
      </c>
      <c r="AL263" s="29">
        <v>5.61</v>
      </c>
      <c r="AM263" s="29">
        <v>4.72</v>
      </c>
      <c r="AN263" s="29">
        <v>5.07</v>
      </c>
      <c r="AO263" s="29">
        <v>4.89</v>
      </c>
      <c r="AP263" s="29">
        <v>7.4</v>
      </c>
      <c r="AQ263" s="29">
        <v>147.01</v>
      </c>
      <c r="AR263" s="29">
        <v>169.22</v>
      </c>
      <c r="BH263" s="29">
        <v>1320.75</v>
      </c>
      <c r="BI263" s="29">
        <v>59.66</v>
      </c>
      <c r="BK263" s="29">
        <v>469.01</v>
      </c>
      <c r="BM263" s="29">
        <v>460.0</v>
      </c>
      <c r="BN263" s="29">
        <v>427.25</v>
      </c>
      <c r="BO263" s="29">
        <v>252.97</v>
      </c>
      <c r="BP263" s="29">
        <v>262.38</v>
      </c>
      <c r="BQ263" s="29">
        <v>247.03</v>
      </c>
      <c r="BR263" s="29">
        <v>237.91</v>
      </c>
      <c r="BX263" s="29">
        <v>46.0</v>
      </c>
      <c r="BY263" s="29">
        <v>50.0</v>
      </c>
      <c r="BZ263" s="29">
        <v>42.17</v>
      </c>
      <c r="CA263" s="29">
        <v>44.0</v>
      </c>
      <c r="CD263" s="29">
        <v>24.18</v>
      </c>
      <c r="CE263" s="29">
        <v>37.99</v>
      </c>
      <c r="CI263" s="29">
        <v>4099.0</v>
      </c>
      <c r="CJ263" s="27" t="inlineStr">
        <is>
          <t xml:space="preserve">jul/26</t>
        </is>
      </c>
    </row>
    <row r="264">
      <c r="A264" s="28">
        <v>46171</v>
      </c>
      <c r="B264" s="29">
        <v>1359.61</v>
      </c>
      <c r="C264" s="29">
        <v>3419.24</v>
      </c>
      <c r="D264" s="29">
        <v>7.03</v>
      </c>
      <c r="E264" s="29">
        <v>5.3</v>
      </c>
      <c r="F264" s="29">
        <v>1555.67</v>
      </c>
      <c r="G264" s="29">
        <v>952.56</v>
      </c>
      <c r="J264" s="29">
        <v>173787.49</v>
      </c>
      <c r="M264" s="29">
        <v>346.15</v>
      </c>
      <c r="N264" s="27" t="inlineStr">
        <is>
          <t xml:space="preserve">jun/26</t>
        </is>
      </c>
      <c r="O264" s="29">
        <v>65.42</v>
      </c>
      <c r="P264" s="27" t="inlineStr">
        <is>
          <t xml:space="preserve">jul/26</t>
        </is>
      </c>
      <c r="S264" s="30">
        <v>11.8675</v>
      </c>
      <c r="T264" s="27" t="inlineStr">
        <is>
          <t xml:space="preserve">jul/26</t>
        </is>
      </c>
      <c r="U264" s="30">
        <v>4.4675</v>
      </c>
      <c r="V264" s="27" t="inlineStr">
        <is>
          <t xml:space="preserve">jul/26</t>
        </is>
      </c>
      <c r="W264" s="29">
        <v>329.8</v>
      </c>
      <c r="X264" s="27" t="inlineStr">
        <is>
          <t xml:space="preserve">jul/26</t>
        </is>
      </c>
      <c r="Y264" s="30">
        <v>0.7772</v>
      </c>
      <c r="Z264" s="27" t="inlineStr">
        <is>
          <t xml:space="preserve">jul/26</t>
        </is>
      </c>
      <c r="AA264" s="29">
        <v>427.93</v>
      </c>
      <c r="AB264" s="29">
        <v>93.0</v>
      </c>
      <c r="AC264" s="29">
        <v>349.42</v>
      </c>
      <c r="AD264" s="29">
        <v>347.25</v>
      </c>
      <c r="AE264" s="29">
        <v>321.7</v>
      </c>
      <c r="AG264" s="29">
        <v>326.93</v>
      </c>
      <c r="AH264" s="29">
        <v>328.36</v>
      </c>
      <c r="AI264" s="29">
        <v>351.03</v>
      </c>
      <c r="AJ264" s="29">
        <v>341.61</v>
      </c>
      <c r="AK264" s="29">
        <v>315.29</v>
      </c>
      <c r="AL264" s="29">
        <v>5.62</v>
      </c>
      <c r="AM264" s="29">
        <v>4.72</v>
      </c>
      <c r="AN264" s="29">
        <v>5.12</v>
      </c>
      <c r="AO264" s="29">
        <v>4.89</v>
      </c>
      <c r="AP264" s="29">
        <v>7.05</v>
      </c>
      <c r="AQ264" s="29">
        <v>154.29</v>
      </c>
      <c r="AR264" s="29">
        <v>174.29</v>
      </c>
      <c r="BC264" s="29">
        <v>10.08</v>
      </c>
      <c r="BD264" s="29">
        <v>9.61</v>
      </c>
      <c r="BE264" s="29">
        <v>10.46</v>
      </c>
      <c r="BF264" s="29">
        <v>8.83</v>
      </c>
      <c r="BG264" s="29">
        <v>10.25</v>
      </c>
      <c r="BH264" s="29">
        <v>1333.23</v>
      </c>
      <c r="BI264" s="29">
        <v>59.47</v>
      </c>
      <c r="BK264" s="29">
        <v>477.99</v>
      </c>
      <c r="BM264" s="29">
        <v>460.0</v>
      </c>
      <c r="BO264" s="29">
        <v>251.67</v>
      </c>
      <c r="BP264" s="29">
        <v>262.05</v>
      </c>
      <c r="BQ264" s="29">
        <v>248.83</v>
      </c>
      <c r="BR264" s="29">
        <v>237.91</v>
      </c>
      <c r="BS264" s="30">
        <v>2.2315</v>
      </c>
      <c r="BT264" s="30">
        <v>2.565</v>
      </c>
      <c r="BU264" s="29">
        <v>488.15</v>
      </c>
      <c r="BV264" s="29">
        <v>392.67</v>
      </c>
      <c r="BW264" s="29">
        <v>487.3</v>
      </c>
      <c r="BX264" s="29">
        <v>46.0</v>
      </c>
      <c r="BY264" s="29">
        <v>50.0</v>
      </c>
      <c r="BZ264" s="29">
        <v>42.17</v>
      </c>
      <c r="CA264" s="29">
        <v>44.0</v>
      </c>
      <c r="CD264" s="29">
        <v>24.88</v>
      </c>
      <c r="CE264" s="29">
        <v>37.45</v>
      </c>
      <c r="CI264" s="29">
        <v>3923.0</v>
      </c>
      <c r="CJ264" s="27" t="inlineStr">
        <is>
          <t xml:space="preserve">jul/26</t>
        </is>
      </c>
    </row>
    <row r="265">
      <c r="A265" s="28">
        <v>46174</v>
      </c>
      <c r="B265" s="29">
        <v>1360.73</v>
      </c>
      <c r="C265" s="29">
        <v>3414.84</v>
      </c>
      <c r="D265" s="29">
        <v>7.18</v>
      </c>
      <c r="E265" s="29">
        <v>5.27</v>
      </c>
      <c r="F265" s="29">
        <v>1533.85</v>
      </c>
      <c r="G265" s="29">
        <v>939.28</v>
      </c>
      <c r="H265" s="29">
        <v>303.15</v>
      </c>
      <c r="I265" s="27" t="inlineStr">
        <is>
          <t xml:space="preserve">dez/26</t>
        </is>
      </c>
      <c r="J265" s="29">
        <v>172197.46</v>
      </c>
      <c r="K265" s="30">
        <v>5063.0</v>
      </c>
      <c r="L265" s="27" t="inlineStr">
        <is>
          <t xml:space="preserve">jul/26</t>
        </is>
      </c>
      <c r="M265" s="29">
        <v>342.1</v>
      </c>
      <c r="N265" s="27" t="inlineStr">
        <is>
          <t xml:space="preserve">jul/26</t>
        </is>
      </c>
      <c r="O265" s="29">
        <v>65.17</v>
      </c>
      <c r="P265" s="27" t="inlineStr">
        <is>
          <t xml:space="preserve">jul/26</t>
        </is>
      </c>
      <c r="S265" s="30">
        <v>11.8075</v>
      </c>
      <c r="T265" s="27" t="inlineStr">
        <is>
          <t xml:space="preserve">jul/26</t>
        </is>
      </c>
      <c r="U265" s="30">
        <v>4.44</v>
      </c>
      <c r="V265" s="27" t="inlineStr">
        <is>
          <t xml:space="preserve">jul/26</t>
        </is>
      </c>
      <c r="W265" s="29">
        <v>326.5</v>
      </c>
      <c r="X265" s="27" t="inlineStr">
        <is>
          <t xml:space="preserve">jul/26</t>
        </is>
      </c>
      <c r="Y265" s="30">
        <v>0.7909</v>
      </c>
      <c r="Z265" s="27" t="inlineStr">
        <is>
          <t xml:space="preserve">jul/26</t>
        </is>
      </c>
      <c r="AA265" s="29">
        <v>423.8</v>
      </c>
      <c r="AB265" s="29">
        <v>94.27</v>
      </c>
      <c r="AC265" s="29">
        <v>349.45</v>
      </c>
      <c r="AD265" s="29">
        <v>346.93</v>
      </c>
      <c r="AE265" s="29">
        <v>321.86</v>
      </c>
      <c r="AG265" s="29">
        <v>329.39</v>
      </c>
      <c r="AH265" s="29">
        <v>329.8</v>
      </c>
      <c r="AI265" s="29">
        <v>351.11</v>
      </c>
      <c r="AJ265" s="29">
        <v>341.65</v>
      </c>
      <c r="AK265" s="29">
        <v>314.35</v>
      </c>
      <c r="AL265" s="29">
        <v>5.59</v>
      </c>
      <c r="AM265" s="29">
        <v>4.63</v>
      </c>
      <c r="AN265" s="29">
        <v>4.98</v>
      </c>
      <c r="AO265" s="29">
        <v>4.79</v>
      </c>
      <c r="AP265" s="29">
        <v>7.2</v>
      </c>
      <c r="AQ265" s="29">
        <v>154.14</v>
      </c>
      <c r="AR265" s="29">
        <v>174.12</v>
      </c>
      <c r="AS265" s="30">
        <v>2.75</v>
      </c>
      <c r="AT265" s="30">
        <v>2.89</v>
      </c>
      <c r="AU265" s="30">
        <v>2.77</v>
      </c>
      <c r="AV265" s="30">
        <v>2.835</v>
      </c>
      <c r="AW265" s="30">
        <v>2.771</v>
      </c>
      <c r="AX265" s="30">
        <v>2.7071</v>
      </c>
      <c r="AY265" s="30">
        <v>2.5365</v>
      </c>
      <c r="AZ265" s="30">
        <v>2.58</v>
      </c>
      <c r="BA265" s="30">
        <v>2.8</v>
      </c>
      <c r="BB265" s="30">
        <v>2.65</v>
      </c>
      <c r="BH265" s="29">
        <v>1329.79</v>
      </c>
      <c r="BI265" s="29">
        <v>59.28</v>
      </c>
      <c r="BK265" s="29">
        <v>471.15</v>
      </c>
      <c r="BM265" s="29">
        <v>453.33</v>
      </c>
      <c r="BO265" s="29">
        <v>249.83</v>
      </c>
      <c r="BP265" s="29">
        <v>260.22</v>
      </c>
      <c r="BQ265" s="29">
        <v>243.99</v>
      </c>
      <c r="BR265" s="29">
        <v>230.54</v>
      </c>
      <c r="BX265" s="29">
        <v>46.0</v>
      </c>
      <c r="BY265" s="29">
        <v>50.0</v>
      </c>
      <c r="BZ265" s="29">
        <v>42.17</v>
      </c>
      <c r="CA265" s="29">
        <v>43.2</v>
      </c>
      <c r="CD265" s="29">
        <v>24.44</v>
      </c>
      <c r="CE265" s="29">
        <v>37.28</v>
      </c>
      <c r="CI265" s="29">
        <v>3895.0</v>
      </c>
      <c r="CJ265" s="27" t="inlineStr">
        <is>
          <t xml:space="preserve">jul/26</t>
        </is>
      </c>
    </row>
    <row r="266">
      <c r="A266" s="28">
        <v>46175</v>
      </c>
      <c r="B266" s="29">
        <v>1370.28</v>
      </c>
      <c r="C266" s="29">
        <v>3416.37</v>
      </c>
      <c r="D266" s="29">
        <v>7.03</v>
      </c>
      <c r="E266" s="29">
        <v>5.3</v>
      </c>
      <c r="F266" s="29">
        <v>1521.66</v>
      </c>
      <c r="G266" s="29">
        <v>942.13</v>
      </c>
      <c r="H266" s="29">
        <v>300.4</v>
      </c>
      <c r="I266" s="27" t="inlineStr">
        <is>
          <t xml:space="preserve">dez/26</t>
        </is>
      </c>
      <c r="J266" s="29">
        <v>174197.64</v>
      </c>
      <c r="K266" s="30">
        <v>5041.0</v>
      </c>
      <c r="L266" s="27" t="inlineStr">
        <is>
          <t xml:space="preserve">jul/26</t>
        </is>
      </c>
      <c r="M266" s="29">
        <v>344.45</v>
      </c>
      <c r="N266" s="27" t="inlineStr">
        <is>
          <t xml:space="preserve">jul/26</t>
        </is>
      </c>
      <c r="O266" s="29">
        <v>64.56</v>
      </c>
      <c r="P266" s="27" t="inlineStr">
        <is>
          <t xml:space="preserve">jul/26</t>
        </is>
      </c>
      <c r="S266" s="30">
        <v>11.6525</v>
      </c>
      <c r="T266" s="27" t="inlineStr">
        <is>
          <t xml:space="preserve">jul/26</t>
        </is>
      </c>
      <c r="U266" s="30">
        <v>4.405</v>
      </c>
      <c r="V266" s="27" t="inlineStr">
        <is>
          <t xml:space="preserve">jul/26</t>
        </is>
      </c>
      <c r="W266" s="29">
        <v>326.2</v>
      </c>
      <c r="X266" s="27" t="inlineStr">
        <is>
          <t xml:space="preserve">jul/26</t>
        </is>
      </c>
      <c r="Y266" s="30">
        <v>0.7841</v>
      </c>
      <c r="Z266" s="27" t="inlineStr">
        <is>
          <t xml:space="preserve">jul/26</t>
        </is>
      </c>
      <c r="AA266" s="29">
        <v>424.92</v>
      </c>
      <c r="AB266" s="29">
        <v>93.02</v>
      </c>
      <c r="AC266" s="29">
        <v>351.52</v>
      </c>
      <c r="AD266" s="29">
        <v>346.91</v>
      </c>
      <c r="AE266" s="29">
        <v>321.25</v>
      </c>
      <c r="AG266" s="29">
        <v>331.7</v>
      </c>
      <c r="AH266" s="29">
        <v>330.88</v>
      </c>
      <c r="AI266" s="29">
        <v>350.53</v>
      </c>
      <c r="AJ266" s="29">
        <v>342.39</v>
      </c>
      <c r="AK266" s="29">
        <v>313.86</v>
      </c>
      <c r="AL266" s="29">
        <v>5.6</v>
      </c>
      <c r="AM266" s="29">
        <v>4.68</v>
      </c>
      <c r="AN266" s="29">
        <v>4.97</v>
      </c>
      <c r="AO266" s="29">
        <v>4.82</v>
      </c>
      <c r="AP266" s="29">
        <v>7.04</v>
      </c>
      <c r="AQ266" s="29">
        <v>154.13</v>
      </c>
      <c r="AR266" s="29">
        <v>175.22</v>
      </c>
      <c r="BH266" s="29">
        <v>1321.6</v>
      </c>
      <c r="BI266" s="29">
        <v>59.24</v>
      </c>
      <c r="BK266" s="29">
        <v>451.12</v>
      </c>
      <c r="BL266" s="29">
        <v>421.27</v>
      </c>
      <c r="BM266" s="29">
        <v>442.86</v>
      </c>
      <c r="BO266" s="29">
        <v>248.49</v>
      </c>
      <c r="BP266" s="29">
        <v>258.85</v>
      </c>
      <c r="BQ266" s="29">
        <v>232.84</v>
      </c>
      <c r="BR266" s="29">
        <v>232.47</v>
      </c>
      <c r="BX266" s="29">
        <v>46.0</v>
      </c>
      <c r="BY266" s="29">
        <v>50.0</v>
      </c>
      <c r="BZ266" s="29">
        <v>42.5</v>
      </c>
      <c r="CA266" s="29">
        <v>43.2</v>
      </c>
      <c r="CD266" s="29">
        <v>24.44</v>
      </c>
      <c r="CE266" s="29">
        <v>37.64</v>
      </c>
      <c r="CI266" s="29">
        <v>4108.0</v>
      </c>
      <c r="CJ266" s="27" t="inlineStr">
        <is>
          <t xml:space="preserve">jul/26</t>
        </is>
      </c>
    </row>
    <row r="267">
      <c r="A267" s="28">
        <v>46176</v>
      </c>
      <c r="B267" s="29">
        <v>1367.51</v>
      </c>
      <c r="C267" s="29">
        <v>3412.68</v>
      </c>
      <c r="D267" s="29">
        <v>7.13</v>
      </c>
      <c r="E267" s="29">
        <v>5.28</v>
      </c>
      <c r="F267" s="29">
        <v>1489.38</v>
      </c>
      <c r="G267" s="29">
        <v>932.97</v>
      </c>
      <c r="H267" s="29">
        <v>297.05</v>
      </c>
      <c r="I267" s="27" t="inlineStr">
        <is>
          <t xml:space="preserve">dez/26</t>
        </is>
      </c>
      <c r="J267" s="29">
        <v>170330.63</v>
      </c>
      <c r="K267" s="30">
        <v>5091.0</v>
      </c>
      <c r="L267" s="27" t="inlineStr">
        <is>
          <t xml:space="preserve">jul/26</t>
        </is>
      </c>
      <c r="M267" s="29">
        <v>343.0</v>
      </c>
      <c r="N267" s="27" t="inlineStr">
        <is>
          <t xml:space="preserve">jul/26</t>
        </is>
      </c>
      <c r="O267" s="29">
        <v>65.18</v>
      </c>
      <c r="P267" s="27" t="inlineStr">
        <is>
          <t xml:space="preserve">jul/26</t>
        </is>
      </c>
      <c r="S267" s="30">
        <v>11.54</v>
      </c>
      <c r="T267" s="27" t="inlineStr">
        <is>
          <t xml:space="preserve">jul/26</t>
        </is>
      </c>
      <c r="U267" s="30">
        <v>4.315</v>
      </c>
      <c r="V267" s="27" t="inlineStr">
        <is>
          <t xml:space="preserve">jul/26</t>
        </is>
      </c>
      <c r="W267" s="29">
        <v>320.8</v>
      </c>
      <c r="X267" s="27" t="inlineStr">
        <is>
          <t xml:space="preserve">jul/26</t>
        </is>
      </c>
      <c r="Y267" s="30">
        <v>0.7871</v>
      </c>
      <c r="Z267" s="27" t="inlineStr">
        <is>
          <t xml:space="preserve">jul/26</t>
        </is>
      </c>
      <c r="AA267" s="29">
        <v>423.35</v>
      </c>
      <c r="AB267" s="29">
        <v>93.24</v>
      </c>
      <c r="AL267" s="29">
        <v>5.59</v>
      </c>
      <c r="AM267" s="29">
        <v>4.64</v>
      </c>
      <c r="AN267" s="29">
        <v>4.93</v>
      </c>
      <c r="AO267" s="29">
        <v>4.73</v>
      </c>
      <c r="AP267" s="29">
        <v>7.14</v>
      </c>
      <c r="AQ267" s="29">
        <v>154.13</v>
      </c>
      <c r="AR267" s="29">
        <v>175.22</v>
      </c>
      <c r="BH267" s="29">
        <v>1320.99</v>
      </c>
      <c r="BI267" s="29">
        <v>59.66</v>
      </c>
      <c r="BK267" s="29">
        <v>451.6</v>
      </c>
      <c r="BL267" s="29">
        <v>421.27</v>
      </c>
      <c r="BM267" s="29">
        <v>438.0</v>
      </c>
      <c r="BO267" s="29">
        <v>238.68</v>
      </c>
      <c r="BP267" s="29">
        <v>260.11</v>
      </c>
      <c r="BQ267" s="29">
        <v>223.32</v>
      </c>
      <c r="BR267" s="29">
        <v>231.76</v>
      </c>
      <c r="BX267" s="29">
        <v>46.0</v>
      </c>
      <c r="BY267" s="29">
        <v>50.0</v>
      </c>
      <c r="BZ267" s="29">
        <v>42.5</v>
      </c>
      <c r="CA267" s="29">
        <v>43.2</v>
      </c>
      <c r="CD267" s="29">
        <v>24.44</v>
      </c>
      <c r="CE267" s="29">
        <v>37.31</v>
      </c>
      <c r="CI267" s="29">
        <v>4072.0</v>
      </c>
      <c r="CJ267" s="27" t="inlineStr">
        <is>
          <t xml:space="preserve">jul/26</t>
        </is>
      </c>
    </row>
    <row r="268">
      <c r="A268" s="28">
        <v>46177</v>
      </c>
      <c r="S268" s="30">
        <v>11.295</v>
      </c>
      <c r="T268" s="27" t="inlineStr">
        <is>
          <t xml:space="preserve">jul/26</t>
        </is>
      </c>
      <c r="U268" s="30">
        <v>4.245</v>
      </c>
      <c r="V268" s="27" t="inlineStr">
        <is>
          <t xml:space="preserve">jul/26</t>
        </is>
      </c>
      <c r="W268" s="29">
        <v>313.7</v>
      </c>
      <c r="X268" s="27" t="inlineStr">
        <is>
          <t xml:space="preserve">jul/26</t>
        </is>
      </c>
      <c r="Y268" s="30">
        <v>0.7629</v>
      </c>
      <c r="Z268" s="27" t="inlineStr">
        <is>
          <t xml:space="preserve">jul/26</t>
        </is>
      </c>
    </row>
    <row r="269">
      <c r="A269" s="28">
        <v>46178</v>
      </c>
      <c r="B269" s="29">
        <v>1367.89</v>
      </c>
      <c r="C269" s="29">
        <v>3402.0</v>
      </c>
      <c r="D269" s="29">
        <v>7.13</v>
      </c>
      <c r="E269" s="29">
        <v>5.26</v>
      </c>
      <c r="F269" s="29">
        <v>1433.64</v>
      </c>
      <c r="G269" s="29">
        <v>921.46</v>
      </c>
      <c r="H269" s="29">
        <v>289.0</v>
      </c>
      <c r="I269" s="27" t="inlineStr">
        <is>
          <t xml:space="preserve">dez/26</t>
        </is>
      </c>
      <c r="J269" s="29">
        <v>169019.12</v>
      </c>
      <c r="K269" s="30">
        <v>5200.0</v>
      </c>
      <c r="L269" s="27" t="inlineStr">
        <is>
          <t xml:space="preserve">jul/26</t>
        </is>
      </c>
      <c r="M269" s="29">
        <v>343.7</v>
      </c>
      <c r="N269" s="27" t="inlineStr">
        <is>
          <t xml:space="preserve">jul/26</t>
        </is>
      </c>
      <c r="O269" s="29">
        <v>66.15</v>
      </c>
      <c r="P269" s="27" t="inlineStr">
        <is>
          <t xml:space="preserve">jul/26</t>
        </is>
      </c>
      <c r="S269" s="30">
        <v>11.215</v>
      </c>
      <c r="T269" s="27" t="inlineStr">
        <is>
          <t xml:space="preserve">jul/26</t>
        </is>
      </c>
      <c r="U269" s="30">
        <v>4.175</v>
      </c>
      <c r="V269" s="27" t="inlineStr">
        <is>
          <t xml:space="preserve">jul/26</t>
        </is>
      </c>
      <c r="W269" s="29">
        <v>308.5</v>
      </c>
      <c r="X269" s="27" t="inlineStr">
        <is>
          <t xml:space="preserve">jul/26</t>
        </is>
      </c>
      <c r="Y269" s="30">
        <v>0.7412</v>
      </c>
      <c r="Z269" s="27" t="inlineStr">
        <is>
          <t xml:space="preserve">jul/26</t>
        </is>
      </c>
      <c r="AA269" s="29">
        <v>422.18</v>
      </c>
      <c r="AB269" s="29">
        <v>93.24</v>
      </c>
      <c r="AC269" s="29">
        <v>353.53</v>
      </c>
      <c r="AD269" s="29">
        <v>347.5</v>
      </c>
      <c r="AE269" s="29">
        <v>329.52</v>
      </c>
      <c r="AG269" s="29">
        <v>330.61</v>
      </c>
      <c r="AH269" s="29">
        <v>343.79</v>
      </c>
      <c r="AI269" s="29">
        <v>354.62</v>
      </c>
      <c r="AJ269" s="29">
        <v>347.03</v>
      </c>
      <c r="AK269" s="29">
        <v>314.99</v>
      </c>
      <c r="AL269" s="29">
        <v>5.58</v>
      </c>
      <c r="AM269" s="29">
        <v>4.61</v>
      </c>
      <c r="AN269" s="29">
        <v>4.93</v>
      </c>
      <c r="AO269" s="29">
        <v>4.73</v>
      </c>
      <c r="AP269" s="29">
        <v>7.14</v>
      </c>
      <c r="AQ269" s="29">
        <v>154.12</v>
      </c>
      <c r="AR269" s="29">
        <v>175.2</v>
      </c>
      <c r="BC269" s="29">
        <v>10.03</v>
      </c>
      <c r="BD269" s="29">
        <v>9.59</v>
      </c>
      <c r="BE269" s="29">
        <v>10.47</v>
      </c>
      <c r="BF269" s="29">
        <v>8.82</v>
      </c>
      <c r="BG269" s="29">
        <v>10.23</v>
      </c>
      <c r="BH269" s="29">
        <v>1320.89</v>
      </c>
      <c r="BI269" s="29">
        <v>59.55</v>
      </c>
      <c r="BK269" s="29">
        <v>447.34</v>
      </c>
      <c r="BL269" s="29">
        <v>419.92</v>
      </c>
      <c r="BM269" s="29">
        <v>428.33</v>
      </c>
      <c r="BO269" s="29">
        <v>238.68</v>
      </c>
      <c r="BP269" s="29">
        <v>260.11</v>
      </c>
      <c r="BQ269" s="29">
        <v>221.36</v>
      </c>
      <c r="BR269" s="29">
        <v>231.18</v>
      </c>
      <c r="BS269" s="30">
        <v>2.2166</v>
      </c>
      <c r="BT269" s="30">
        <v>2.5108</v>
      </c>
      <c r="BU269" s="29">
        <v>480.24</v>
      </c>
      <c r="BV269" s="29">
        <v>390.7</v>
      </c>
      <c r="BW269" s="29">
        <v>475.87</v>
      </c>
      <c r="BX269" s="29">
        <v>44.0</v>
      </c>
      <c r="BY269" s="29">
        <v>50.0</v>
      </c>
      <c r="BZ269" s="29">
        <v>42.5</v>
      </c>
      <c r="CA269" s="29">
        <v>43.2</v>
      </c>
      <c r="CD269" s="29">
        <v>24.0</v>
      </c>
      <c r="CE269" s="29">
        <v>36.9</v>
      </c>
      <c r="CI269" s="29">
        <v>3762.0</v>
      </c>
      <c r="CJ269" s="27" t="inlineStr">
        <is>
          <t xml:space="preserve">jul/26</t>
        </is>
      </c>
    </row>
    <row r="270">
      <c r="A270" s="28">
        <v>46181</v>
      </c>
      <c r="B270" s="29">
        <v>1372.0</v>
      </c>
      <c r="C270" s="29">
        <v>3403.95</v>
      </c>
      <c r="D270" s="29">
        <v>7.18</v>
      </c>
      <c r="E270" s="29">
        <v>5.25</v>
      </c>
      <c r="F270" s="29">
        <v>1395.16</v>
      </c>
      <c r="G270" s="29">
        <v>948.38</v>
      </c>
      <c r="J270" s="29">
        <v>168668.72</v>
      </c>
      <c r="K270" s="30">
        <v>5224.0</v>
      </c>
      <c r="L270" s="27" t="inlineStr">
        <is>
          <t xml:space="preserve">jul/26</t>
        </is>
      </c>
      <c r="M270" s="29">
        <v>343.0</v>
      </c>
      <c r="N270" s="27" t="inlineStr">
        <is>
          <t xml:space="preserve">jul/26</t>
        </is>
      </c>
      <c r="O270" s="29">
        <v>65.4</v>
      </c>
      <c r="P270" s="27" t="inlineStr">
        <is>
          <t xml:space="preserve">jul/26</t>
        </is>
      </c>
      <c r="S270" s="30">
        <v>11.1575</v>
      </c>
      <c r="T270" s="27" t="inlineStr">
        <is>
          <t xml:space="preserve">jul/26</t>
        </is>
      </c>
      <c r="U270" s="30">
        <v>4.1875</v>
      </c>
      <c r="V270" s="27" t="inlineStr">
        <is>
          <t xml:space="preserve">jul/26</t>
        </is>
      </c>
      <c r="W270" s="29">
        <v>302.7</v>
      </c>
      <c r="X270" s="27" t="inlineStr">
        <is>
          <t xml:space="preserve">jul/26</t>
        </is>
      </c>
      <c r="Y270" s="30">
        <v>0.7456</v>
      </c>
      <c r="Z270" s="27" t="inlineStr">
        <is>
          <t xml:space="preserve">jul/26</t>
        </is>
      </c>
      <c r="AA270" s="29">
        <v>419.88</v>
      </c>
      <c r="AB270" s="29">
        <v>91.36</v>
      </c>
      <c r="AC270" s="29">
        <v>353.2</v>
      </c>
      <c r="AD270" s="29">
        <v>347.38</v>
      </c>
      <c r="AE270" s="29">
        <v>328.4</v>
      </c>
      <c r="AG270" s="29">
        <v>329.72</v>
      </c>
      <c r="AH270" s="29">
        <v>342.47</v>
      </c>
      <c r="AI270" s="29">
        <v>354.26</v>
      </c>
      <c r="AJ270" s="29">
        <v>348.93</v>
      </c>
      <c r="AK270" s="29">
        <v>311.1</v>
      </c>
      <c r="AL270" s="29">
        <v>5.53</v>
      </c>
      <c r="AM270" s="29">
        <v>4.54</v>
      </c>
      <c r="AN270" s="29">
        <v>4.8</v>
      </c>
      <c r="AO270" s="29">
        <v>4.76</v>
      </c>
      <c r="AP270" s="29">
        <v>7.19</v>
      </c>
      <c r="AQ270" s="29">
        <v>154.01</v>
      </c>
      <c r="AR270" s="29">
        <v>175.64</v>
      </c>
      <c r="BH270" s="29">
        <v>1321.84</v>
      </c>
      <c r="BI270" s="29">
        <v>59.63</v>
      </c>
      <c r="BK270" s="29">
        <v>430.18</v>
      </c>
      <c r="BL270" s="29">
        <v>415.31</v>
      </c>
      <c r="BM270" s="29">
        <v>416.0</v>
      </c>
      <c r="BO270" s="29">
        <v>241.54</v>
      </c>
      <c r="BP270" s="29">
        <v>260.96</v>
      </c>
      <c r="BQ270" s="29">
        <v>212.14</v>
      </c>
      <c r="BR270" s="29">
        <v>217.5</v>
      </c>
      <c r="BX270" s="29">
        <v>44.0</v>
      </c>
      <c r="BY270" s="29">
        <v>50.0</v>
      </c>
      <c r="BZ270" s="29">
        <v>42.5</v>
      </c>
      <c r="CA270" s="29">
        <v>42.4</v>
      </c>
      <c r="CD270" s="29">
        <v>24.71</v>
      </c>
      <c r="CE270" s="29">
        <v>36.59</v>
      </c>
      <c r="CI270" s="29">
        <v>3831.0</v>
      </c>
      <c r="CJ270" s="27" t="inlineStr">
        <is>
          <t xml:space="preserve">jul/26</t>
        </is>
      </c>
    </row>
    <row r="271">
      <c r="A271" s="28">
        <v>46182</v>
      </c>
      <c r="B271" s="29">
        <v>1372.24</v>
      </c>
      <c r="C271" s="29">
        <v>3407.66</v>
      </c>
      <c r="D271" s="29">
        <v>7.2</v>
      </c>
      <c r="E271" s="29">
        <v>5.23</v>
      </c>
      <c r="F271" s="29">
        <v>1383.57</v>
      </c>
      <c r="G271" s="29">
        <v>945.74</v>
      </c>
      <c r="H271" s="29">
        <v>288.75</v>
      </c>
      <c r="I271" s="27" t="inlineStr">
        <is>
          <t xml:space="preserve">dez/26</t>
        </is>
      </c>
      <c r="J271" s="29">
        <v>169813.15</v>
      </c>
      <c r="K271" s="30">
        <v>5198.0</v>
      </c>
      <c r="L271" s="27" t="inlineStr">
        <is>
          <t xml:space="preserve">jul/26</t>
        </is>
      </c>
      <c r="M271" s="29">
        <v>339.7</v>
      </c>
      <c r="N271" s="27" t="inlineStr">
        <is>
          <t xml:space="preserve">jul/26</t>
        </is>
      </c>
      <c r="O271" s="29">
        <v>65.25</v>
      </c>
      <c r="P271" s="27" t="inlineStr">
        <is>
          <t xml:space="preserve">jul/26</t>
        </is>
      </c>
      <c r="S271" s="30">
        <v>11.1375</v>
      </c>
      <c r="T271" s="27" t="inlineStr">
        <is>
          <t xml:space="preserve">jul/26</t>
        </is>
      </c>
      <c r="U271" s="30">
        <v>4.195</v>
      </c>
      <c r="V271" s="27" t="inlineStr">
        <is>
          <t xml:space="preserve">jul/26</t>
        </is>
      </c>
      <c r="W271" s="29">
        <v>301.1</v>
      </c>
      <c r="X271" s="27" t="inlineStr">
        <is>
          <t xml:space="preserve">jul/26</t>
        </is>
      </c>
      <c r="Y271" s="30">
        <v>0.7491</v>
      </c>
      <c r="Z271" s="27" t="inlineStr">
        <is>
          <t xml:space="preserve">jul/26</t>
        </is>
      </c>
      <c r="AA271" s="29">
        <v>418.94</v>
      </c>
      <c r="AB271" s="29">
        <v>92.9</v>
      </c>
      <c r="AL271" s="29">
        <v>5.54</v>
      </c>
      <c r="AM271" s="29">
        <v>4.49</v>
      </c>
      <c r="AN271" s="29">
        <v>4.8</v>
      </c>
      <c r="AO271" s="29">
        <v>4.76</v>
      </c>
      <c r="AP271" s="29">
        <v>7.22</v>
      </c>
      <c r="AQ271" s="29">
        <v>154.11</v>
      </c>
      <c r="AR271" s="29">
        <v>174.03</v>
      </c>
      <c r="BH271" s="29">
        <v>1324.35</v>
      </c>
      <c r="BI271" s="29">
        <v>59.38</v>
      </c>
      <c r="BK271" s="29">
        <v>426.82</v>
      </c>
      <c r="BL271" s="29">
        <v>415.31</v>
      </c>
      <c r="BM271" s="29">
        <v>416.0</v>
      </c>
      <c r="BO271" s="29">
        <v>239.87</v>
      </c>
      <c r="BP271" s="29">
        <v>256.54</v>
      </c>
      <c r="BQ271" s="29">
        <v>204.99</v>
      </c>
      <c r="BR271" s="29">
        <v>196.36</v>
      </c>
      <c r="BX271" s="29">
        <v>44.0</v>
      </c>
      <c r="BY271" s="29">
        <v>50.0</v>
      </c>
      <c r="BZ271" s="29">
        <v>42.5</v>
      </c>
      <c r="CA271" s="29">
        <v>42.4</v>
      </c>
      <c r="CD271" s="29">
        <v>24.71</v>
      </c>
      <c r="CE271" s="29">
        <v>35.3</v>
      </c>
      <c r="CI271" s="29">
        <v>3831.0</v>
      </c>
      <c r="CJ271" s="27" t="inlineStr">
        <is>
          <t xml:space="preserve">jul/26</t>
        </is>
      </c>
    </row>
    <row r="272">
      <c r="A272" s="28">
        <v>46183</v>
      </c>
      <c r="B272" s="29">
        <v>1375.01</v>
      </c>
      <c r="C272" s="29">
        <v>3400.94</v>
      </c>
      <c r="D272" s="29">
        <v>7.27</v>
      </c>
      <c r="E272" s="29">
        <v>5.23</v>
      </c>
      <c r="F272" s="29">
        <v>1398.09</v>
      </c>
      <c r="G272" s="29">
        <v>955.13</v>
      </c>
      <c r="H272" s="29">
        <v>291.5</v>
      </c>
      <c r="I272" s="27" t="inlineStr">
        <is>
          <t xml:space="preserve">dez/26</t>
        </is>
      </c>
      <c r="J272" s="29">
        <v>168619.26</v>
      </c>
      <c r="K272" s="30">
        <v>5208.5</v>
      </c>
      <c r="L272" s="27" t="inlineStr">
        <is>
          <t xml:space="preserve">jul/26</t>
        </is>
      </c>
      <c r="M272" s="29">
        <v>335.6</v>
      </c>
      <c r="N272" s="27" t="inlineStr">
        <is>
          <t xml:space="preserve">jul/26</t>
        </is>
      </c>
      <c r="O272" s="29">
        <v>64.69</v>
      </c>
      <c r="P272" s="27" t="inlineStr">
        <is>
          <t xml:space="preserve">jul/26</t>
        </is>
      </c>
      <c r="S272" s="30">
        <v>11.23</v>
      </c>
      <c r="T272" s="27" t="inlineStr">
        <is>
          <t xml:space="preserve">jul/26</t>
        </is>
      </c>
      <c r="U272" s="30">
        <v>4.19</v>
      </c>
      <c r="V272" s="27" t="inlineStr">
        <is>
          <t xml:space="preserve">jul/26</t>
        </is>
      </c>
      <c r="W272" s="29">
        <v>301.9</v>
      </c>
      <c r="X272" s="27" t="inlineStr">
        <is>
          <t xml:space="preserve">jul/26</t>
        </is>
      </c>
      <c r="Y272" s="30">
        <v>0.7533</v>
      </c>
      <c r="Z272" s="27" t="inlineStr">
        <is>
          <t xml:space="preserve">jul/26</t>
        </is>
      </c>
      <c r="AA272" s="29">
        <v>417.28</v>
      </c>
      <c r="AB272" s="29">
        <v>92.35</v>
      </c>
      <c r="AC272" s="29">
        <v>353.36</v>
      </c>
      <c r="AD272" s="29">
        <v>346.94</v>
      </c>
      <c r="AE272" s="29">
        <v>327.76</v>
      </c>
      <c r="AG272" s="29">
        <v>335.43</v>
      </c>
      <c r="AH272" s="29">
        <v>336.45</v>
      </c>
      <c r="AI272" s="29">
        <v>351.77</v>
      </c>
      <c r="AJ272" s="29">
        <v>347.26</v>
      </c>
      <c r="AK272" s="29">
        <v>315.36</v>
      </c>
      <c r="AL272" s="29">
        <v>5.55</v>
      </c>
      <c r="AM272" s="29">
        <v>4.49</v>
      </c>
      <c r="AN272" s="29">
        <v>4.8</v>
      </c>
      <c r="AO272" s="29">
        <v>4.75</v>
      </c>
      <c r="AP272" s="29">
        <v>7.28</v>
      </c>
      <c r="AQ272" s="29">
        <v>154.11</v>
      </c>
      <c r="AR272" s="29">
        <v>174.03</v>
      </c>
      <c r="BH272" s="29">
        <v>1324.35</v>
      </c>
      <c r="BI272" s="29">
        <v>59.27</v>
      </c>
      <c r="BK272" s="29">
        <v>393.3</v>
      </c>
      <c r="BL272" s="29">
        <v>415.31</v>
      </c>
      <c r="BM272" s="29">
        <v>403.17</v>
      </c>
      <c r="BO272" s="29">
        <v>233.11</v>
      </c>
      <c r="BP272" s="29">
        <v>257.63</v>
      </c>
      <c r="BQ272" s="29">
        <v>204.3</v>
      </c>
      <c r="BR272" s="29">
        <v>195.45</v>
      </c>
      <c r="BX272" s="29">
        <v>44.0</v>
      </c>
      <c r="BY272" s="29">
        <v>50.0</v>
      </c>
      <c r="BZ272" s="29">
        <v>42.5</v>
      </c>
      <c r="CA272" s="29">
        <v>42.4</v>
      </c>
      <c r="CD272" s="29">
        <v>24.71</v>
      </c>
      <c r="CE272" s="29">
        <v>33.81</v>
      </c>
      <c r="CI272" s="29">
        <v>3757.0</v>
      </c>
      <c r="CJ272" s="27" t="inlineStr">
        <is>
          <t xml:space="preserve">jul/26</t>
        </is>
      </c>
    </row>
    <row r="273">
      <c r="A273" s="28">
        <v>46184</v>
      </c>
      <c r="B273" s="29">
        <v>1377.98</v>
      </c>
      <c r="C273" s="29">
        <v>3398.83</v>
      </c>
      <c r="D273" s="29">
        <v>7.28</v>
      </c>
      <c r="E273" s="29">
        <v>5.23</v>
      </c>
      <c r="F273" s="29">
        <v>1412.22</v>
      </c>
      <c r="G273" s="29">
        <v>967.4</v>
      </c>
      <c r="H273" s="29">
        <v>300.2</v>
      </c>
      <c r="I273" s="27" t="inlineStr">
        <is>
          <t xml:space="preserve">dez/26</t>
        </is>
      </c>
      <c r="J273" s="29">
        <v>171497.24</v>
      </c>
      <c r="K273" s="30">
        <v>5125.0</v>
      </c>
      <c r="L273" s="27" t="inlineStr">
        <is>
          <t xml:space="preserve">jul/26</t>
        </is>
      </c>
      <c r="M273" s="29">
        <v>338.0</v>
      </c>
      <c r="N273" s="27" t="inlineStr">
        <is>
          <t xml:space="preserve">jul/26</t>
        </is>
      </c>
      <c r="O273" s="29">
        <v>64.24</v>
      </c>
      <c r="P273" s="27" t="inlineStr">
        <is>
          <t xml:space="preserve">jul/26</t>
        </is>
      </c>
      <c r="S273" s="30">
        <v>11.15</v>
      </c>
      <c r="T273" s="27" t="inlineStr">
        <is>
          <t xml:space="preserve">jul/26</t>
        </is>
      </c>
      <c r="U273" s="30">
        <v>4.1175</v>
      </c>
      <c r="V273" s="27" t="inlineStr">
        <is>
          <t xml:space="preserve">jul/26</t>
        </is>
      </c>
      <c r="W273" s="29">
        <v>301.7</v>
      </c>
      <c r="X273" s="27" t="inlineStr">
        <is>
          <t xml:space="preserve">jul/26</t>
        </is>
      </c>
      <c r="Y273" s="30">
        <v>0.7445</v>
      </c>
      <c r="Z273" s="27" t="inlineStr">
        <is>
          <t xml:space="preserve">jul/26</t>
        </is>
      </c>
      <c r="AA273" s="29">
        <v>413.21</v>
      </c>
      <c r="AB273" s="29">
        <v>92.18</v>
      </c>
      <c r="AC273" s="29">
        <v>353.72</v>
      </c>
      <c r="AD273" s="29">
        <v>346.73</v>
      </c>
      <c r="AE273" s="29">
        <v>327.4</v>
      </c>
      <c r="AG273" s="29">
        <v>333.8</v>
      </c>
      <c r="AH273" s="29">
        <v>337.44</v>
      </c>
      <c r="AI273" s="29">
        <v>351.59</v>
      </c>
      <c r="AJ273" s="29">
        <v>346.89</v>
      </c>
      <c r="AK273" s="29">
        <v>314.9</v>
      </c>
      <c r="AL273" s="29">
        <v>5.59</v>
      </c>
      <c r="AM273" s="29">
        <v>4.48</v>
      </c>
      <c r="AN273" s="29">
        <v>4.8</v>
      </c>
      <c r="AO273" s="29">
        <v>4.75</v>
      </c>
      <c r="AP273" s="29">
        <v>7.3</v>
      </c>
      <c r="AQ273" s="29">
        <v>154.11</v>
      </c>
      <c r="AR273" s="29">
        <v>174.03</v>
      </c>
      <c r="BH273" s="29">
        <v>1325.29</v>
      </c>
      <c r="BI273" s="29">
        <v>59.11</v>
      </c>
      <c r="BK273" s="29">
        <v>393.3</v>
      </c>
      <c r="BL273" s="29">
        <v>415.31</v>
      </c>
      <c r="BM273" s="29">
        <v>405.58</v>
      </c>
      <c r="BO273" s="29">
        <v>230.61</v>
      </c>
      <c r="BP273" s="29">
        <v>257.63</v>
      </c>
      <c r="BQ273" s="29">
        <v>201.29</v>
      </c>
      <c r="BR273" s="29">
        <v>192.45</v>
      </c>
      <c r="BX273" s="29">
        <v>44.0</v>
      </c>
      <c r="BY273" s="29">
        <v>50.0</v>
      </c>
      <c r="BZ273" s="29">
        <v>42.5</v>
      </c>
      <c r="CA273" s="29">
        <v>41.6</v>
      </c>
      <c r="CD273" s="29">
        <v>24.71</v>
      </c>
      <c r="CE273" s="29">
        <v>33.21</v>
      </c>
      <c r="CI273" s="29">
        <v>3710.0</v>
      </c>
      <c r="CJ273" s="27" t="inlineStr">
        <is>
          <t xml:space="preserve">jul/26</t>
        </is>
      </c>
    </row>
    <row r="274">
      <c r="A274" s="28">
        <v>46185</v>
      </c>
      <c r="B274" s="29">
        <v>1376.98</v>
      </c>
      <c r="C274" s="29">
        <v>3396.76</v>
      </c>
      <c r="D274" s="29">
        <v>7.28</v>
      </c>
      <c r="E274" s="29">
        <v>5.23</v>
      </c>
      <c r="F274" s="29">
        <v>1416.69</v>
      </c>
      <c r="G274" s="29">
        <v>975.12</v>
      </c>
      <c r="H274" s="29">
        <v>304.1</v>
      </c>
      <c r="I274" s="27" t="inlineStr">
        <is>
          <t xml:space="preserve">dez/26</t>
        </is>
      </c>
      <c r="J274" s="29">
        <v>171132.66</v>
      </c>
      <c r="K274" s="30">
        <v>5084.5</v>
      </c>
      <c r="L274" s="27" t="inlineStr">
        <is>
          <t xml:space="preserve">jul/26</t>
        </is>
      </c>
      <c r="M274" s="29">
        <v>338.0</v>
      </c>
      <c r="N274" s="27" t="inlineStr">
        <is>
          <t xml:space="preserve">jul/26</t>
        </is>
      </c>
      <c r="O274" s="29">
        <v>64.06</v>
      </c>
      <c r="P274" s="27" t="inlineStr">
        <is>
          <t xml:space="preserve">jul/26</t>
        </is>
      </c>
      <c r="S274" s="30">
        <v>11.135</v>
      </c>
      <c r="T274" s="27" t="inlineStr">
        <is>
          <t xml:space="preserve">jul/26</t>
        </is>
      </c>
      <c r="U274" s="30">
        <v>4.1275</v>
      </c>
      <c r="V274" s="27" t="inlineStr">
        <is>
          <t xml:space="preserve">jul/26</t>
        </is>
      </c>
      <c r="W274" s="29">
        <v>301.3</v>
      </c>
      <c r="X274" s="27" t="inlineStr">
        <is>
          <t xml:space="preserve">jul/26</t>
        </is>
      </c>
      <c r="Y274" s="30">
        <v>0.7428</v>
      </c>
      <c r="Z274" s="27" t="inlineStr">
        <is>
          <t xml:space="preserve">jul/26</t>
        </is>
      </c>
      <c r="AA274" s="29">
        <v>416.24</v>
      </c>
      <c r="AB274" s="29">
        <v>92.84</v>
      </c>
      <c r="AL274" s="29">
        <v>5.65</v>
      </c>
      <c r="AM274" s="29">
        <v>4.55</v>
      </c>
      <c r="AN274" s="29">
        <v>4.9</v>
      </c>
      <c r="AO274" s="29">
        <v>4.75</v>
      </c>
      <c r="AP274" s="29">
        <v>7.3</v>
      </c>
      <c r="AQ274" s="29">
        <v>154.11</v>
      </c>
      <c r="AR274" s="29">
        <v>174.64</v>
      </c>
      <c r="BC274" s="29">
        <v>10.02</v>
      </c>
      <c r="BD274" s="29">
        <v>9.57</v>
      </c>
      <c r="BE274" s="29">
        <v>10.46</v>
      </c>
      <c r="BF274" s="29">
        <v>8.8</v>
      </c>
      <c r="BG274" s="29">
        <v>10.23</v>
      </c>
      <c r="BH274" s="29">
        <v>1325.29</v>
      </c>
      <c r="BI274" s="29">
        <v>59.03</v>
      </c>
      <c r="BK274" s="29">
        <v>400.92</v>
      </c>
      <c r="BL274" s="29">
        <v>401.38</v>
      </c>
      <c r="BM274" s="29">
        <v>392.8</v>
      </c>
      <c r="BO274" s="29">
        <v>224.31</v>
      </c>
      <c r="BP274" s="29">
        <v>257.63</v>
      </c>
      <c r="BQ274" s="29">
        <v>201.18</v>
      </c>
      <c r="BR274" s="29">
        <v>193.08</v>
      </c>
      <c r="BS274" s="30">
        <v>2.2247</v>
      </c>
      <c r="BT274" s="30">
        <v>2.5284</v>
      </c>
      <c r="BU274" s="29">
        <v>473.6</v>
      </c>
      <c r="BV274" s="29">
        <v>385.96</v>
      </c>
      <c r="BW274" s="29">
        <v>470.91</v>
      </c>
      <c r="BX274" s="29">
        <v>44.0</v>
      </c>
      <c r="BY274" s="29">
        <v>50.0</v>
      </c>
      <c r="BZ274" s="29">
        <v>42.5</v>
      </c>
      <c r="CA274" s="29">
        <v>41.6</v>
      </c>
      <c r="CD274" s="29">
        <v>24.71</v>
      </c>
      <c r="CE274" s="29">
        <v>35.63</v>
      </c>
      <c r="CI274" s="29">
        <v>3779.0</v>
      </c>
      <c r="CJ274" s="27" t="inlineStr">
        <is>
          <t xml:space="preserve">jul/26</t>
        </is>
      </c>
    </row>
    <row r="275">
      <c r="A275" s="28">
        <v>46188</v>
      </c>
      <c r="B275" s="29">
        <v>1374.06</v>
      </c>
      <c r="C275" s="29">
        <v>3398.84</v>
      </c>
      <c r="D275" s="29">
        <v>7.33</v>
      </c>
      <c r="E275" s="29">
        <v>5.22</v>
      </c>
      <c r="F275" s="29">
        <v>1427.63</v>
      </c>
      <c r="G275" s="29">
        <v>974.12</v>
      </c>
      <c r="H275" s="29">
        <v>308.7</v>
      </c>
      <c r="I275" s="27" t="inlineStr">
        <is>
          <t xml:space="preserve">dez/26</t>
        </is>
      </c>
      <c r="J275" s="29">
        <v>170415.13</v>
      </c>
      <c r="K275" s="30">
        <v>5075.5</v>
      </c>
      <c r="L275" s="27" t="inlineStr">
        <is>
          <t xml:space="preserve">jul/26</t>
        </is>
      </c>
      <c r="M275" s="29">
        <v>333.75</v>
      </c>
      <c r="N275" s="27" t="inlineStr">
        <is>
          <t xml:space="preserve">jul/26</t>
        </is>
      </c>
      <c r="O275" s="29">
        <v>64.35</v>
      </c>
      <c r="P275" s="27" t="inlineStr">
        <is>
          <t xml:space="preserve">jul/26</t>
        </is>
      </c>
      <c r="S275" s="30">
        <v>11.1925</v>
      </c>
      <c r="T275" s="27" t="inlineStr">
        <is>
          <t xml:space="preserve">jul/26</t>
        </is>
      </c>
      <c r="U275" s="30">
        <v>4.155</v>
      </c>
      <c r="V275" s="27" t="inlineStr">
        <is>
          <t xml:space="preserve">jul/26</t>
        </is>
      </c>
      <c r="W275" s="29">
        <v>302.0</v>
      </c>
      <c r="X275" s="27" t="inlineStr">
        <is>
          <t xml:space="preserve">jul/26</t>
        </is>
      </c>
      <c r="Y275" s="30">
        <v>0.7437</v>
      </c>
      <c r="Z275" s="27" t="inlineStr">
        <is>
          <t xml:space="preserve">jul/26</t>
        </is>
      </c>
      <c r="AA275" s="29">
        <v>416.19</v>
      </c>
      <c r="AB275" s="29">
        <v>93.63</v>
      </c>
      <c r="AC275" s="29">
        <v>352.48</v>
      </c>
      <c r="AD275" s="29">
        <v>344.91</v>
      </c>
      <c r="AE275" s="29">
        <v>324.83</v>
      </c>
      <c r="AG275" s="29">
        <v>331.73</v>
      </c>
      <c r="AH275" s="29">
        <v>336.75</v>
      </c>
      <c r="AI275" s="29">
        <v>350.36</v>
      </c>
      <c r="AJ275" s="29">
        <v>342.79</v>
      </c>
      <c r="AK275" s="29">
        <v>314.66</v>
      </c>
      <c r="AL275" s="29">
        <v>5.86</v>
      </c>
      <c r="AM275" s="29">
        <v>4.62</v>
      </c>
      <c r="AN275" s="29">
        <v>4.91</v>
      </c>
      <c r="AO275" s="29">
        <v>4.79</v>
      </c>
      <c r="AP275" s="29">
        <v>7.34</v>
      </c>
      <c r="AQ275" s="29">
        <v>154.11</v>
      </c>
      <c r="AR275" s="29">
        <v>175.57</v>
      </c>
      <c r="BH275" s="29">
        <v>1325.4</v>
      </c>
      <c r="BI275" s="29">
        <v>58.98</v>
      </c>
      <c r="BK275" s="29">
        <v>390.25</v>
      </c>
      <c r="BL275" s="29">
        <v>401.38</v>
      </c>
      <c r="BM275" s="29">
        <v>382.71</v>
      </c>
      <c r="BO275" s="29">
        <v>226.59</v>
      </c>
      <c r="BP275" s="29">
        <v>257.63</v>
      </c>
      <c r="BQ275" s="29">
        <v>202.14</v>
      </c>
      <c r="BR275" s="29">
        <v>193.62</v>
      </c>
      <c r="BX275" s="29">
        <v>44.0</v>
      </c>
      <c r="BY275" s="29">
        <v>50.0</v>
      </c>
      <c r="BZ275" s="29">
        <v>42.5</v>
      </c>
      <c r="CA275" s="29">
        <v>41.6</v>
      </c>
      <c r="CD275" s="29">
        <v>25.17</v>
      </c>
      <c r="CE275" s="29">
        <v>35.99</v>
      </c>
      <c r="CI275" s="29">
        <v>3882.0</v>
      </c>
      <c r="CJ275" s="27" t="inlineStr">
        <is>
          <t xml:space="preserve">jul/26</t>
        </is>
      </c>
    </row>
    <row r="276">
      <c r="A276" s="28">
        <v>46189</v>
      </c>
      <c r="B276" s="29">
        <v>1369.37</v>
      </c>
      <c r="C276" s="29">
        <v>3395.7</v>
      </c>
      <c r="D276" s="29">
        <v>7.29</v>
      </c>
      <c r="E276" s="29">
        <v>5.25</v>
      </c>
      <c r="F276" s="29">
        <v>1474.18</v>
      </c>
      <c r="G276" s="29">
        <v>988.5</v>
      </c>
      <c r="H276" s="29">
        <v>324.8</v>
      </c>
      <c r="I276" s="27" t="inlineStr">
        <is>
          <t xml:space="preserve">dez/26</t>
        </is>
      </c>
      <c r="J276" s="29">
        <v>169648.47</v>
      </c>
      <c r="K276" s="30">
        <v>5106.0</v>
      </c>
      <c r="L276" s="27" t="inlineStr">
        <is>
          <t xml:space="preserve">jul/26</t>
        </is>
      </c>
      <c r="M276" s="29">
        <v>335.95</v>
      </c>
      <c r="N276" s="27" t="inlineStr">
        <is>
          <t xml:space="preserve">jul/26</t>
        </is>
      </c>
      <c r="O276" s="29">
        <v>63.97</v>
      </c>
      <c r="P276" s="27" t="inlineStr">
        <is>
          <t xml:space="preserve">jul/26</t>
        </is>
      </c>
      <c r="S276" s="30">
        <v>11.3</v>
      </c>
      <c r="T276" s="27" t="inlineStr">
        <is>
          <t xml:space="preserve">jul/26</t>
        </is>
      </c>
      <c r="U276" s="30">
        <v>4.1375</v>
      </c>
      <c r="V276" s="27" t="inlineStr">
        <is>
          <t xml:space="preserve">jul/26</t>
        </is>
      </c>
      <c r="W276" s="29">
        <v>304.8</v>
      </c>
      <c r="X276" s="27" t="inlineStr">
        <is>
          <t xml:space="preserve">jul/26</t>
        </is>
      </c>
      <c r="Y276" s="30">
        <v>0.7292</v>
      </c>
      <c r="Z276" s="27" t="inlineStr">
        <is>
          <t xml:space="preserve">jul/26</t>
        </is>
      </c>
      <c r="AA276" s="29">
        <v>415.09</v>
      </c>
      <c r="AB276" s="29">
        <v>92.1</v>
      </c>
      <c r="AC276" s="29">
        <v>348.77</v>
      </c>
      <c r="AD276" s="29">
        <v>340.08</v>
      </c>
      <c r="AE276" s="29">
        <v>321.8</v>
      </c>
      <c r="AG276" s="29">
        <v>327.26</v>
      </c>
      <c r="AH276" s="29">
        <v>335.23</v>
      </c>
      <c r="AI276" s="29">
        <v>346.2</v>
      </c>
      <c r="AJ276" s="29">
        <v>338.41</v>
      </c>
      <c r="AK276" s="29">
        <v>314.89</v>
      </c>
      <c r="AL276" s="29">
        <v>5.96</v>
      </c>
      <c r="AM276" s="29">
        <v>4.62</v>
      </c>
      <c r="AN276" s="29">
        <v>4.93</v>
      </c>
      <c r="AO276" s="29">
        <v>4.79</v>
      </c>
      <c r="AP276" s="29">
        <v>7.31</v>
      </c>
      <c r="AQ276" s="29">
        <v>154.11</v>
      </c>
      <c r="AR276" s="29">
        <v>174.64</v>
      </c>
      <c r="BH276" s="29">
        <v>1320.44</v>
      </c>
      <c r="BI276" s="29">
        <v>59.26</v>
      </c>
      <c r="BK276" s="29">
        <v>391.52</v>
      </c>
      <c r="BL276" s="29">
        <v>376.25</v>
      </c>
      <c r="BM276" s="29">
        <v>382.71</v>
      </c>
      <c r="BO276" s="29">
        <v>226.04</v>
      </c>
      <c r="BP276" s="29">
        <v>253.68</v>
      </c>
      <c r="BQ276" s="29">
        <v>202.38</v>
      </c>
      <c r="BR276" s="29">
        <v>193.08</v>
      </c>
      <c r="BX276" s="29">
        <v>45.0</v>
      </c>
      <c r="BY276" s="29">
        <v>50.0</v>
      </c>
      <c r="BZ276" s="29">
        <v>42.5</v>
      </c>
      <c r="CA276" s="29">
        <v>41.2</v>
      </c>
      <c r="CD276" s="29">
        <v>25.17</v>
      </c>
      <c r="CE276" s="29">
        <v>37.39</v>
      </c>
      <c r="CI276" s="29">
        <v>4142.0</v>
      </c>
      <c r="CJ276" s="27" t="inlineStr">
        <is>
          <t xml:space="preserve">jul/26</t>
        </is>
      </c>
    </row>
    <row r="277">
      <c r="A277" s="28">
        <v>46190</v>
      </c>
      <c r="B277" s="29">
        <v>1376.72</v>
      </c>
      <c r="C277" s="29">
        <v>3396.27</v>
      </c>
      <c r="D277" s="29">
        <v>7.29</v>
      </c>
      <c r="E277" s="29">
        <v>5.28</v>
      </c>
      <c r="F277" s="29">
        <v>1505.1</v>
      </c>
      <c r="G277" s="29">
        <v>1005.16</v>
      </c>
      <c r="H277" s="29">
        <v>324.65</v>
      </c>
      <c r="I277" s="27" t="inlineStr">
        <is>
          <t xml:space="preserve">dez/26</t>
        </is>
      </c>
      <c r="J277" s="29">
        <v>168453.93</v>
      </c>
      <c r="K277" s="30">
        <v>5122.0</v>
      </c>
      <c r="L277" s="27" t="inlineStr">
        <is>
          <t xml:space="preserve">jul/26</t>
        </is>
      </c>
      <c r="M277" s="29">
        <v>332.9</v>
      </c>
      <c r="N277" s="27" t="inlineStr">
        <is>
          <t xml:space="preserve">jul/26</t>
        </is>
      </c>
      <c r="O277" s="29">
        <v>63.94</v>
      </c>
      <c r="P277" s="27" t="inlineStr">
        <is>
          <t xml:space="preserve">jul/26</t>
        </is>
      </c>
      <c r="S277" s="30">
        <v>11.32</v>
      </c>
      <c r="T277" s="27" t="inlineStr">
        <is>
          <t xml:space="preserve">jul/26</t>
        </is>
      </c>
      <c r="U277" s="30">
        <v>4.21</v>
      </c>
      <c r="V277" s="27" t="inlineStr">
        <is>
          <t xml:space="preserve">jul/26</t>
        </is>
      </c>
      <c r="W277" s="29">
        <v>304.8</v>
      </c>
      <c r="X277" s="27" t="inlineStr">
        <is>
          <t xml:space="preserve">jul/26</t>
        </is>
      </c>
      <c r="Y277" s="30">
        <v>0.7154</v>
      </c>
      <c r="Z277" s="27" t="inlineStr">
        <is>
          <t xml:space="preserve">jul/26</t>
        </is>
      </c>
      <c r="AA277" s="29">
        <v>413.7</v>
      </c>
      <c r="AB277" s="29">
        <v>91.48</v>
      </c>
      <c r="AC277" s="29">
        <v>348.91</v>
      </c>
      <c r="AD277" s="29">
        <v>337.92</v>
      </c>
      <c r="AE277" s="29">
        <v>322.49</v>
      </c>
      <c r="AG277" s="29">
        <v>325.17</v>
      </c>
      <c r="AH277" s="29">
        <v>333.8</v>
      </c>
      <c r="AI277" s="29">
        <v>343.92</v>
      </c>
      <c r="AJ277" s="29">
        <v>335.11</v>
      </c>
      <c r="AK277" s="29">
        <v>314.48</v>
      </c>
      <c r="AL277" s="29">
        <v>5.95</v>
      </c>
      <c r="AM277" s="29">
        <v>4.7</v>
      </c>
      <c r="AN277" s="29">
        <v>4.97</v>
      </c>
      <c r="AO277" s="29">
        <v>4.81</v>
      </c>
      <c r="AP277" s="29">
        <v>7.31</v>
      </c>
      <c r="AQ277" s="29">
        <v>154.11</v>
      </c>
      <c r="AR277" s="29">
        <v>174.64</v>
      </c>
      <c r="BH277" s="29">
        <v>1316.54</v>
      </c>
      <c r="BI277" s="29">
        <v>59.48</v>
      </c>
      <c r="BK277" s="29">
        <v>399.21</v>
      </c>
      <c r="BL277" s="29">
        <v>376.25</v>
      </c>
      <c r="BM277" s="29">
        <v>384.14</v>
      </c>
      <c r="BO277" s="29">
        <v>219.03</v>
      </c>
      <c r="BP277" s="29">
        <v>250.13</v>
      </c>
      <c r="BQ277" s="29">
        <v>204.08</v>
      </c>
      <c r="BR277" s="29">
        <v>191.11</v>
      </c>
      <c r="BX277" s="29">
        <v>45.0</v>
      </c>
      <c r="BY277" s="29">
        <v>50.0</v>
      </c>
      <c r="BZ277" s="29">
        <v>43.17</v>
      </c>
      <c r="CA277" s="29">
        <v>41.2</v>
      </c>
      <c r="CD277" s="29">
        <v>25.14</v>
      </c>
      <c r="CE277" s="29">
        <v>37.03</v>
      </c>
      <c r="CI277" s="29">
        <v>4144.0</v>
      </c>
      <c r="CJ277" s="27" t="inlineStr">
        <is>
          <t xml:space="preserve">jul/26</t>
        </is>
      </c>
    </row>
    <row r="278">
      <c r="A278" s="28">
        <v>46191</v>
      </c>
      <c r="B278" s="29">
        <v>1377.64</v>
      </c>
      <c r="C278" s="29">
        <v>3402.42</v>
      </c>
      <c r="D278" s="29">
        <v>7.29</v>
      </c>
      <c r="E278" s="29">
        <v>5.27</v>
      </c>
      <c r="F278" s="29">
        <v>1495.05</v>
      </c>
      <c r="G278" s="29">
        <v>1018.24</v>
      </c>
      <c r="H278" s="29">
        <v>316.1</v>
      </c>
      <c r="I278" s="27" t="inlineStr">
        <is>
          <t xml:space="preserve">dez/26</t>
        </is>
      </c>
      <c r="J278" s="29">
        <v>168277.55</v>
      </c>
      <c r="K278" s="30">
        <v>5175.0</v>
      </c>
      <c r="L278" s="27" t="inlineStr">
        <is>
          <t xml:space="preserve">jul/26</t>
        </is>
      </c>
      <c r="M278" s="29">
        <v>332.55</v>
      </c>
      <c r="N278" s="27" t="inlineStr">
        <is>
          <t xml:space="preserve">jul/26</t>
        </is>
      </c>
      <c r="O278" s="29">
        <v>63.93</v>
      </c>
      <c r="P278" s="27" t="inlineStr">
        <is>
          <t xml:space="preserve">jul/26</t>
        </is>
      </c>
      <c r="S278" s="30">
        <v>11.2275</v>
      </c>
      <c r="T278" s="27" t="inlineStr">
        <is>
          <t xml:space="preserve">jul/26</t>
        </is>
      </c>
      <c r="U278" s="30">
        <v>4.175</v>
      </c>
      <c r="V278" s="27" t="inlineStr">
        <is>
          <t xml:space="preserve">jul/26</t>
        </is>
      </c>
      <c r="W278" s="29">
        <v>301.3</v>
      </c>
      <c r="X278" s="27" t="inlineStr">
        <is>
          <t xml:space="preserve">jul/26</t>
        </is>
      </c>
      <c r="Y278" s="30">
        <v>0.6969</v>
      </c>
      <c r="Z278" s="27" t="inlineStr">
        <is>
          <t xml:space="preserve">jul/26</t>
        </is>
      </c>
      <c r="AA278" s="29">
        <v>411.94</v>
      </c>
      <c r="AB278" s="29">
        <v>90.75</v>
      </c>
      <c r="AL278" s="29">
        <v>5.95</v>
      </c>
      <c r="AM278" s="29">
        <v>4.7</v>
      </c>
      <c r="AN278" s="29">
        <v>4.97</v>
      </c>
      <c r="AO278" s="29">
        <v>4.81</v>
      </c>
      <c r="AP278" s="29">
        <v>7.31</v>
      </c>
      <c r="AQ278" s="29">
        <v>154.04</v>
      </c>
      <c r="AR278" s="29">
        <v>173.92</v>
      </c>
      <c r="BH278" s="29">
        <v>1321.16</v>
      </c>
      <c r="BI278" s="29">
        <v>59.37</v>
      </c>
      <c r="BK278" s="29">
        <v>406.09</v>
      </c>
      <c r="BM278" s="29">
        <v>390.44</v>
      </c>
      <c r="BO278" s="29">
        <v>215.66</v>
      </c>
      <c r="BP278" s="29">
        <v>250.11</v>
      </c>
      <c r="BQ278" s="29">
        <v>203.65</v>
      </c>
      <c r="BR278" s="29">
        <v>190.88</v>
      </c>
      <c r="BX278" s="29">
        <v>45.0</v>
      </c>
      <c r="BY278" s="29">
        <v>50.0</v>
      </c>
      <c r="BZ278" s="29">
        <v>43.17</v>
      </c>
      <c r="CA278" s="29">
        <v>41.2</v>
      </c>
      <c r="CD278" s="29">
        <v>25.14</v>
      </c>
      <c r="CE278" s="29">
        <v>36.83</v>
      </c>
      <c r="CI278" s="29">
        <v>4143.0</v>
      </c>
      <c r="CJ278" s="27" t="inlineStr">
        <is>
          <t xml:space="preserve">jul/26</t>
        </is>
      </c>
    </row>
    <row r="279">
      <c r="A279" s="28">
        <v>46192</v>
      </c>
      <c r="B279" s="29">
        <v>1377.38</v>
      </c>
      <c r="C279" s="29">
        <v>3398.83</v>
      </c>
      <c r="D279" s="29">
        <v>7.27</v>
      </c>
      <c r="E279" s="29">
        <v>5.28</v>
      </c>
      <c r="F279" s="29">
        <v>1503.88</v>
      </c>
      <c r="G279" s="29">
        <v>1025.96</v>
      </c>
      <c r="J279" s="29">
        <v>168333.61</v>
      </c>
      <c r="M279" s="29">
        <v>333.1</v>
      </c>
      <c r="N279" s="27" t="inlineStr">
        <is>
          <t xml:space="preserve">jul/26</t>
        </is>
      </c>
      <c r="O279" s="29">
        <v>63.91</v>
      </c>
      <c r="P279" s="27" t="inlineStr">
        <is>
          <t xml:space="preserve">jul/26</t>
        </is>
      </c>
      <c r="AA279" s="29">
        <v>415.86</v>
      </c>
      <c r="AB279" s="29">
        <v>91.46</v>
      </c>
      <c r="AC279" s="29">
        <v>345.5</v>
      </c>
      <c r="AD279" s="29">
        <v>337.45</v>
      </c>
      <c r="AE279" s="29">
        <v>319.73</v>
      </c>
      <c r="AG279" s="29">
        <v>324.44</v>
      </c>
      <c r="AH279" s="29">
        <v>329.48</v>
      </c>
      <c r="AI279" s="29">
        <v>342.28</v>
      </c>
      <c r="AJ279" s="29">
        <v>333.57</v>
      </c>
      <c r="AK279" s="29">
        <v>313.01</v>
      </c>
      <c r="AL279" s="29">
        <v>5.95</v>
      </c>
      <c r="AM279" s="29">
        <v>4.7</v>
      </c>
      <c r="AN279" s="29">
        <v>5.03</v>
      </c>
      <c r="AO279" s="29">
        <v>4.86</v>
      </c>
      <c r="AP279" s="29">
        <v>7.28</v>
      </c>
      <c r="AQ279" s="29">
        <v>148.81</v>
      </c>
      <c r="AR279" s="29">
        <v>165.76</v>
      </c>
      <c r="BC279" s="29">
        <v>9.99</v>
      </c>
      <c r="BD279" s="29">
        <v>9.55</v>
      </c>
      <c r="BE279" s="29">
        <v>10.43</v>
      </c>
      <c r="BF279" s="29">
        <v>8.79</v>
      </c>
      <c r="BG279" s="29">
        <v>10.22</v>
      </c>
      <c r="BH279" s="29">
        <v>1333.74</v>
      </c>
      <c r="BI279" s="29">
        <v>59.37</v>
      </c>
      <c r="BK279" s="29">
        <v>404.21</v>
      </c>
      <c r="BM279" s="29">
        <v>386.63</v>
      </c>
      <c r="BO279" s="29">
        <v>213.36</v>
      </c>
      <c r="BP279" s="29">
        <v>250.11</v>
      </c>
      <c r="BQ279" s="29">
        <v>204.42</v>
      </c>
      <c r="BR279" s="29">
        <v>193.38</v>
      </c>
      <c r="BS279" s="30">
        <v>2.2429</v>
      </c>
      <c r="BT279" s="30">
        <v>2.5311</v>
      </c>
      <c r="BU279" s="29">
        <v>478.91</v>
      </c>
      <c r="BV279" s="29">
        <v>385.64</v>
      </c>
      <c r="BW279" s="29">
        <v>472.01</v>
      </c>
      <c r="BX279" s="29">
        <v>45.0</v>
      </c>
      <c r="BY279" s="29">
        <v>50.0</v>
      </c>
      <c r="BZ279" s="29">
        <v>43.17</v>
      </c>
      <c r="CA279" s="29">
        <v>41.6</v>
      </c>
      <c r="CD279" s="29">
        <v>25.14</v>
      </c>
      <c r="CE279" s="29">
        <v>35.92</v>
      </c>
    </row>
    <row r="280">
      <c r="A280" s="28">
        <v>46195</v>
      </c>
      <c r="B280" s="29">
        <v>1368.01</v>
      </c>
      <c r="C280" s="29">
        <v>3394.11</v>
      </c>
      <c r="D280" s="29">
        <v>7.29</v>
      </c>
      <c r="E280" s="29">
        <v>5.27</v>
      </c>
      <c r="F280" s="29">
        <v>1472.2</v>
      </c>
      <c r="G280" s="29">
        <v>1007.34</v>
      </c>
      <c r="H280" s="29">
        <v>317.6</v>
      </c>
      <c r="I280" s="27" t="inlineStr">
        <is>
          <t xml:space="preserve">dez/26</t>
        </is>
      </c>
      <c r="J280" s="29">
        <v>170370.38</v>
      </c>
      <c r="K280" s="30">
        <v>5152.0</v>
      </c>
      <c r="L280" s="27" t="inlineStr">
        <is>
          <t xml:space="preserve">jul/26</t>
        </is>
      </c>
      <c r="M280" s="29">
        <v>338.0</v>
      </c>
      <c r="N280" s="27" t="inlineStr">
        <is>
          <t xml:space="preserve">jul/26</t>
        </is>
      </c>
      <c r="O280" s="29">
        <v>63.65</v>
      </c>
      <c r="P280" s="27" t="inlineStr">
        <is>
          <t xml:space="preserve">jul/26</t>
        </is>
      </c>
      <c r="S280" s="30">
        <v>11.1575</v>
      </c>
      <c r="T280" s="27" t="inlineStr">
        <is>
          <t xml:space="preserve">jul/26</t>
        </is>
      </c>
      <c r="U280" s="30">
        <v>4.115</v>
      </c>
      <c r="V280" s="27" t="inlineStr">
        <is>
          <t xml:space="preserve">jul/26</t>
        </is>
      </c>
      <c r="W280" s="29">
        <v>299.8</v>
      </c>
      <c r="X280" s="27" t="inlineStr">
        <is>
          <t xml:space="preserve">jul/26</t>
        </is>
      </c>
      <c r="Y280" s="30">
        <v>0.7115</v>
      </c>
      <c r="Z280" s="27" t="inlineStr">
        <is>
          <t xml:space="preserve">jul/26</t>
        </is>
      </c>
      <c r="AA280" s="29">
        <v>411.71</v>
      </c>
      <c r="AB280" s="29">
        <v>91.6</v>
      </c>
      <c r="AC280" s="29">
        <v>343.53</v>
      </c>
      <c r="AD280" s="29">
        <v>337.11</v>
      </c>
      <c r="AE280" s="29">
        <v>321.68</v>
      </c>
      <c r="AG280" s="29">
        <v>322.42</v>
      </c>
      <c r="AH280" s="29">
        <v>328.64</v>
      </c>
      <c r="AI280" s="29">
        <v>339.84</v>
      </c>
      <c r="AJ280" s="29">
        <v>331.76</v>
      </c>
      <c r="AK280" s="29">
        <v>313.15</v>
      </c>
      <c r="AL280" s="29">
        <v>5.95</v>
      </c>
      <c r="AM280" s="29">
        <v>4.7</v>
      </c>
      <c r="AN280" s="29">
        <v>5.04</v>
      </c>
      <c r="AO280" s="29">
        <v>4.94</v>
      </c>
      <c r="AP280" s="29">
        <v>7.29</v>
      </c>
      <c r="AQ280" s="29">
        <v>148.76</v>
      </c>
      <c r="AR280" s="29">
        <v>166.09</v>
      </c>
      <c r="BH280" s="29">
        <v>1329.48</v>
      </c>
      <c r="BI280" s="29">
        <v>59.28</v>
      </c>
      <c r="BK280" s="29">
        <v>405.84</v>
      </c>
      <c r="BL280" s="29">
        <v>367.5</v>
      </c>
      <c r="BM280" s="29">
        <v>387.92</v>
      </c>
      <c r="BO280" s="29">
        <v>217.04</v>
      </c>
      <c r="BP280" s="29">
        <v>245.84</v>
      </c>
      <c r="BQ280" s="29">
        <v>203.59</v>
      </c>
      <c r="BR280" s="29">
        <v>193.38</v>
      </c>
      <c r="BX280" s="29">
        <v>45.0</v>
      </c>
      <c r="BY280" s="29">
        <v>50.0</v>
      </c>
      <c r="BZ280" s="29">
        <v>42.83</v>
      </c>
      <c r="CA280" s="29">
        <v>41.6</v>
      </c>
      <c r="CD280" s="29">
        <v>29.5</v>
      </c>
      <c r="CE280" s="29">
        <v>35.92</v>
      </c>
      <c r="CI280" s="29">
        <v>4525.0</v>
      </c>
      <c r="CJ280" s="27" t="inlineStr">
        <is>
          <t xml:space="preserve">jul/26</t>
        </is>
      </c>
    </row>
    <row r="281">
      <c r="A281" s="28">
        <v>46196</v>
      </c>
      <c r="B281" s="29">
        <v>1368.85</v>
      </c>
      <c r="C281" s="29">
        <v>3389.87</v>
      </c>
      <c r="D281" s="29">
        <v>7.29</v>
      </c>
      <c r="E281" s="29">
        <v>5.29</v>
      </c>
      <c r="F281" s="29">
        <v>1491.84</v>
      </c>
      <c r="G281" s="29">
        <v>1018.11</v>
      </c>
      <c r="H281" s="29">
        <v>320.85</v>
      </c>
      <c r="I281" s="27" t="inlineStr">
        <is>
          <t xml:space="preserve">dez/26</t>
        </is>
      </c>
      <c r="J281" s="29">
        <v>171258.87</v>
      </c>
      <c r="K281" s="30">
        <v>5190.0</v>
      </c>
      <c r="L281" s="27" t="inlineStr">
        <is>
          <t xml:space="preserve">jul/26</t>
        </is>
      </c>
      <c r="M281" s="29">
        <v>336.05</v>
      </c>
      <c r="N281" s="27" t="inlineStr">
        <is>
          <t xml:space="preserve">jul/26</t>
        </is>
      </c>
      <c r="O281" s="29">
        <v>63.85</v>
      </c>
      <c r="P281" s="27" t="inlineStr">
        <is>
          <t xml:space="preserve">jul/26</t>
        </is>
      </c>
      <c r="S281" s="30">
        <v>11.17</v>
      </c>
      <c r="T281" s="27" t="inlineStr">
        <is>
          <t xml:space="preserve">jul/26</t>
        </is>
      </c>
      <c r="U281" s="30">
        <v>4.0975</v>
      </c>
      <c r="V281" s="27" t="inlineStr">
        <is>
          <t xml:space="preserve">jul/26</t>
        </is>
      </c>
      <c r="W281" s="29">
        <v>302.9</v>
      </c>
      <c r="X281" s="27" t="inlineStr">
        <is>
          <t xml:space="preserve">jul/26</t>
        </is>
      </c>
      <c r="Y281" s="30">
        <v>0.7059</v>
      </c>
      <c r="Z281" s="27" t="inlineStr">
        <is>
          <t xml:space="preserve">jul/26</t>
        </is>
      </c>
      <c r="AA281" s="29">
        <v>408.64</v>
      </c>
      <c r="AB281" s="29">
        <v>94.07</v>
      </c>
      <c r="AC281" s="29">
        <v>339.84</v>
      </c>
      <c r="AD281" s="29">
        <v>336.51</v>
      </c>
      <c r="AE281" s="29">
        <v>319.8</v>
      </c>
      <c r="AG281" s="29">
        <v>321.37</v>
      </c>
      <c r="AH281" s="29">
        <v>328.56</v>
      </c>
      <c r="AI281" s="29">
        <v>335.22</v>
      </c>
      <c r="AJ281" s="29">
        <v>323.58</v>
      </c>
      <c r="AK281" s="29">
        <v>312.68</v>
      </c>
      <c r="AL281" s="29">
        <v>5.94</v>
      </c>
      <c r="AM281" s="29">
        <v>4.72</v>
      </c>
      <c r="AN281" s="29">
        <v>5.03</v>
      </c>
      <c r="AO281" s="29">
        <v>5.0</v>
      </c>
      <c r="AP281" s="29">
        <v>7.29</v>
      </c>
      <c r="AQ281" s="29">
        <v>148.77</v>
      </c>
      <c r="AR281" s="29">
        <v>166.1</v>
      </c>
      <c r="BH281" s="29">
        <v>1326.57</v>
      </c>
      <c r="BI281" s="29">
        <v>59.66</v>
      </c>
      <c r="BK281" s="29">
        <v>408.38</v>
      </c>
      <c r="BL281" s="29">
        <v>378.33</v>
      </c>
      <c r="BM281" s="29">
        <v>390.56</v>
      </c>
      <c r="BO281" s="29">
        <v>218.59</v>
      </c>
      <c r="BP281" s="29">
        <v>234.62</v>
      </c>
      <c r="BQ281" s="29">
        <v>205.93</v>
      </c>
      <c r="BR281" s="29">
        <v>197.83</v>
      </c>
      <c r="BX281" s="29">
        <v>45.0</v>
      </c>
      <c r="BY281" s="29">
        <v>50.0</v>
      </c>
      <c r="BZ281" s="29">
        <v>42.83</v>
      </c>
      <c r="CA281" s="29">
        <v>41.6</v>
      </c>
      <c r="CD281" s="29">
        <v>29.5</v>
      </c>
      <c r="CE281" s="29">
        <v>35.55</v>
      </c>
      <c r="CI281" s="29">
        <v>4545.0</v>
      </c>
      <c r="CJ281" s="27" t="inlineStr">
        <is>
          <t xml:space="preserve">jul/26</t>
        </is>
      </c>
    </row>
    <row r="282">
      <c r="A282" s="28">
        <v>46197</v>
      </c>
      <c r="B282" s="29">
        <v>1362.59</v>
      </c>
      <c r="C282" s="29">
        <v>3394.39</v>
      </c>
      <c r="D282" s="29">
        <v>7.29</v>
      </c>
      <c r="E282" s="29">
        <v>5.29</v>
      </c>
      <c r="F282" s="29">
        <v>1517.29</v>
      </c>
      <c r="G282" s="29">
        <v>1037.93</v>
      </c>
      <c r="H282" s="29">
        <v>324.0</v>
      </c>
      <c r="I282" s="27" t="inlineStr">
        <is>
          <t xml:space="preserve">dez/26</t>
        </is>
      </c>
      <c r="J282" s="29">
        <v>170506.66</v>
      </c>
      <c r="K282" s="30">
        <v>5195.0</v>
      </c>
      <c r="L282" s="27" t="inlineStr">
        <is>
          <t xml:space="preserve">jul/26</t>
        </is>
      </c>
      <c r="M282" s="29">
        <v>332.3</v>
      </c>
      <c r="N282" s="27" t="inlineStr">
        <is>
          <t xml:space="preserve">jul/26</t>
        </is>
      </c>
      <c r="O282" s="29">
        <v>64.1</v>
      </c>
      <c r="P282" s="27" t="inlineStr">
        <is>
          <t xml:space="preserve">jul/26</t>
        </is>
      </c>
      <c r="S282" s="30">
        <v>11.0875</v>
      </c>
      <c r="T282" s="27" t="inlineStr">
        <is>
          <t xml:space="preserve">jul/26</t>
        </is>
      </c>
      <c r="U282" s="30">
        <v>4.07</v>
      </c>
      <c r="V282" s="27" t="inlineStr">
        <is>
          <t xml:space="preserve">jul/26</t>
        </is>
      </c>
      <c r="W282" s="29">
        <v>303.6</v>
      </c>
      <c r="X282" s="27" t="inlineStr">
        <is>
          <t xml:space="preserve">jul/26</t>
        </is>
      </c>
      <c r="Y282" s="30">
        <v>0.6946</v>
      </c>
      <c r="Z282" s="27" t="inlineStr">
        <is>
          <t xml:space="preserve">jul/26</t>
        </is>
      </c>
      <c r="AA282" s="29">
        <v>408.71</v>
      </c>
      <c r="AB282" s="29">
        <v>92.44</v>
      </c>
      <c r="AC282" s="29">
        <v>339.78</v>
      </c>
      <c r="AD282" s="29">
        <v>334.95</v>
      </c>
      <c r="AE282" s="29">
        <v>318.19</v>
      </c>
      <c r="AG282" s="29">
        <v>318.66</v>
      </c>
      <c r="AH282" s="29">
        <v>326.8</v>
      </c>
      <c r="AI282" s="29">
        <v>333.91</v>
      </c>
      <c r="AJ282" s="29">
        <v>320.77</v>
      </c>
      <c r="AK282" s="29">
        <v>308.58</v>
      </c>
      <c r="AL282" s="29">
        <v>5.92</v>
      </c>
      <c r="AM282" s="29">
        <v>4.65</v>
      </c>
      <c r="AN282" s="29">
        <v>5.02</v>
      </c>
      <c r="AO282" s="29">
        <v>4.99</v>
      </c>
      <c r="AP282" s="29">
        <v>7.29</v>
      </c>
      <c r="AQ282" s="29">
        <v>144.64</v>
      </c>
      <c r="AR282" s="29">
        <v>156.01</v>
      </c>
      <c r="BH282" s="29">
        <v>1326.57</v>
      </c>
      <c r="BI282" s="29">
        <v>59.8</v>
      </c>
      <c r="BJ282" s="29">
        <v>412.0</v>
      </c>
      <c r="BK282" s="29">
        <v>414.83</v>
      </c>
      <c r="BL282" s="29">
        <v>380.0</v>
      </c>
      <c r="BM282" s="29">
        <v>385.0</v>
      </c>
      <c r="BO282" s="29">
        <v>218.58</v>
      </c>
      <c r="BP282" s="29">
        <v>232.18</v>
      </c>
      <c r="BQ282" s="29">
        <v>207.7</v>
      </c>
      <c r="BR282" s="29">
        <v>195.0</v>
      </c>
      <c r="BX282" s="29">
        <v>45.0</v>
      </c>
      <c r="BY282" s="29">
        <v>50.0</v>
      </c>
      <c r="BZ282" s="29">
        <v>42.83</v>
      </c>
      <c r="CA282" s="29">
        <v>41.6</v>
      </c>
      <c r="CD282" s="29">
        <v>29.57</v>
      </c>
      <c r="CE282" s="29">
        <v>34.52</v>
      </c>
      <c r="CI282" s="29">
        <v>4902.0</v>
      </c>
      <c r="CJ282" s="27" t="inlineStr">
        <is>
          <t xml:space="preserve">jul/26</t>
        </is>
      </c>
    </row>
    <row r="283">
      <c r="A283" s="28">
        <v>46198</v>
      </c>
      <c r="B283" s="29">
        <v>1369.3</v>
      </c>
      <c r="C283" s="29">
        <v>3388.18</v>
      </c>
      <c r="D283" s="29">
        <v>7.29</v>
      </c>
      <c r="E283" s="29">
        <v>5.27</v>
      </c>
      <c r="F283" s="29">
        <v>1530.95</v>
      </c>
      <c r="G283" s="29">
        <v>1054.04</v>
      </c>
      <c r="H283" s="29">
        <v>316.5</v>
      </c>
      <c r="I283" s="27" t="inlineStr">
        <is>
          <t xml:space="preserve">dez/26</t>
        </is>
      </c>
      <c r="J283" s="29">
        <v>171990.2</v>
      </c>
      <c r="K283" s="30">
        <v>5184.0</v>
      </c>
      <c r="L283" s="27" t="inlineStr">
        <is>
          <t xml:space="preserve">jul/26</t>
        </is>
      </c>
      <c r="M283" s="29">
        <v>333.35</v>
      </c>
      <c r="N283" s="27" t="inlineStr">
        <is>
          <t xml:space="preserve">jul/26</t>
        </is>
      </c>
      <c r="O283" s="29">
        <v>64.56</v>
      </c>
      <c r="P283" s="27" t="inlineStr">
        <is>
          <t xml:space="preserve">jul/26</t>
        </is>
      </c>
      <c r="S283" s="30">
        <v>11.275</v>
      </c>
      <c r="T283" s="27" t="inlineStr">
        <is>
          <t xml:space="preserve">jul/26</t>
        </is>
      </c>
      <c r="U283" s="30">
        <v>4.1475</v>
      </c>
      <c r="V283" s="27" t="inlineStr">
        <is>
          <t xml:space="preserve">jul/26</t>
        </is>
      </c>
      <c r="W283" s="29">
        <v>308.2</v>
      </c>
      <c r="X283" s="27" t="inlineStr">
        <is>
          <t xml:space="preserve">jul/26</t>
        </is>
      </c>
      <c r="Y283" s="30">
        <v>0.7081</v>
      </c>
      <c r="Z283" s="27" t="inlineStr">
        <is>
          <t xml:space="preserve">jul/26</t>
        </is>
      </c>
      <c r="AA283" s="29">
        <v>406.2</v>
      </c>
      <c r="AB283" s="29">
        <v>92.73</v>
      </c>
      <c r="AC283" s="29">
        <v>339.63</v>
      </c>
      <c r="AD283" s="29">
        <v>332.45</v>
      </c>
      <c r="AE283" s="29">
        <v>318.05</v>
      </c>
      <c r="AG283" s="29">
        <v>317.05</v>
      </c>
      <c r="AH283" s="29">
        <v>326.59</v>
      </c>
      <c r="AI283" s="29">
        <v>333.54</v>
      </c>
      <c r="AJ283" s="29">
        <v>319.31</v>
      </c>
      <c r="AK283" s="29">
        <v>310.22</v>
      </c>
      <c r="AL283" s="29">
        <v>5.92</v>
      </c>
      <c r="AM283" s="29">
        <v>4.66</v>
      </c>
      <c r="AN283" s="29">
        <v>5.02</v>
      </c>
      <c r="AO283" s="29">
        <v>5.0</v>
      </c>
      <c r="AP283" s="29">
        <v>7.29</v>
      </c>
      <c r="AQ283" s="29">
        <v>144.52</v>
      </c>
      <c r="AR283" s="29">
        <v>156.01</v>
      </c>
      <c r="BH283" s="29">
        <v>1325.81</v>
      </c>
      <c r="BI283" s="29">
        <v>59.83</v>
      </c>
      <c r="BJ283" s="29">
        <v>412.0</v>
      </c>
      <c r="BK283" s="29">
        <v>416.08</v>
      </c>
      <c r="BL283" s="29">
        <v>377.86</v>
      </c>
      <c r="BM283" s="29">
        <v>390.0</v>
      </c>
      <c r="BO283" s="29">
        <v>218.64</v>
      </c>
      <c r="BP283" s="29">
        <v>231.87</v>
      </c>
      <c r="BQ283" s="29">
        <v>207.87</v>
      </c>
      <c r="BR283" s="29">
        <v>195.0</v>
      </c>
      <c r="BX283" s="29">
        <v>45.0</v>
      </c>
      <c r="BY283" s="29">
        <v>50.0</v>
      </c>
      <c r="BZ283" s="29">
        <v>44.17</v>
      </c>
      <c r="CA283" s="29">
        <v>41.6</v>
      </c>
      <c r="CD283" s="29">
        <v>29.57</v>
      </c>
      <c r="CE283" s="29">
        <v>35.85</v>
      </c>
      <c r="CI283" s="29">
        <v>5159.0</v>
      </c>
      <c r="CJ283" s="27" t="inlineStr">
        <is>
          <t xml:space="preserve">jul/26</t>
        </is>
      </c>
    </row>
    <row r="284">
      <c r="A284" s="28">
        <v>46199</v>
      </c>
      <c r="B284" s="29">
        <v>1366.65</v>
      </c>
      <c r="C284" s="29">
        <v>3390.78</v>
      </c>
      <c r="D284" s="29">
        <v>7.29</v>
      </c>
      <c r="E284" s="29">
        <v>5.27</v>
      </c>
      <c r="F284" s="29">
        <v>1517.04</v>
      </c>
      <c r="G284" s="29">
        <v>1049.14</v>
      </c>
      <c r="H284" s="29">
        <v>320.1</v>
      </c>
      <c r="I284" s="27" t="inlineStr">
        <is>
          <t xml:space="preserve">dez/26</t>
        </is>
      </c>
      <c r="J284" s="29">
        <v>173295.14</v>
      </c>
      <c r="K284" s="30">
        <v>5179.0</v>
      </c>
      <c r="L284" s="27" t="inlineStr">
        <is>
          <t xml:space="preserve">jul/26</t>
        </is>
      </c>
      <c r="M284" s="29">
        <v>333.8</v>
      </c>
      <c r="N284" s="27" t="inlineStr">
        <is>
          <t xml:space="preserve">jul/26</t>
        </is>
      </c>
      <c r="O284" s="29">
        <v>64.29</v>
      </c>
      <c r="P284" s="27" t="inlineStr">
        <is>
          <t xml:space="preserve">jul/26</t>
        </is>
      </c>
      <c r="S284" s="30">
        <v>11.2625</v>
      </c>
      <c r="T284" s="27" t="inlineStr">
        <is>
          <t xml:space="preserve">jul/26</t>
        </is>
      </c>
      <c r="U284" s="30">
        <v>4.1275</v>
      </c>
      <c r="V284" s="27" t="inlineStr">
        <is>
          <t xml:space="preserve">jul/26</t>
        </is>
      </c>
      <c r="W284" s="29">
        <v>307.0</v>
      </c>
      <c r="X284" s="27" t="inlineStr">
        <is>
          <t xml:space="preserve">jul/26</t>
        </is>
      </c>
      <c r="Y284" s="30">
        <v>0.713</v>
      </c>
      <c r="Z284" s="27" t="inlineStr">
        <is>
          <t xml:space="preserve">jul/26</t>
        </is>
      </c>
      <c r="AA284" s="29">
        <v>407.62</v>
      </c>
      <c r="AB284" s="29">
        <v>92.31</v>
      </c>
      <c r="AC284" s="29">
        <v>337.18</v>
      </c>
      <c r="AD284" s="29">
        <v>331.29</v>
      </c>
      <c r="AE284" s="29">
        <v>317.97</v>
      </c>
      <c r="AG284" s="29">
        <v>316.96</v>
      </c>
      <c r="AH284" s="29">
        <v>324.24</v>
      </c>
      <c r="AI284" s="29">
        <v>333.26</v>
      </c>
      <c r="AJ284" s="29">
        <v>318.47</v>
      </c>
      <c r="AK284" s="29">
        <v>310.51</v>
      </c>
      <c r="AL284" s="29">
        <v>5.87</v>
      </c>
      <c r="AM284" s="29">
        <v>4.66</v>
      </c>
      <c r="AN284" s="29">
        <v>5.08</v>
      </c>
      <c r="AO284" s="29">
        <v>5.0</v>
      </c>
      <c r="AP284" s="29">
        <v>7.29</v>
      </c>
      <c r="AQ284" s="29">
        <v>135.4</v>
      </c>
      <c r="AR284" s="29">
        <v>152.37</v>
      </c>
      <c r="BC284" s="29">
        <v>9.98</v>
      </c>
      <c r="BD284" s="29">
        <v>9.52</v>
      </c>
      <c r="BE284" s="29">
        <v>10.42</v>
      </c>
      <c r="BF284" s="29">
        <v>8.75</v>
      </c>
      <c r="BG284" s="29">
        <v>10.18</v>
      </c>
      <c r="BH284" s="29">
        <v>1330.99</v>
      </c>
      <c r="BI284" s="29">
        <v>59.91</v>
      </c>
      <c r="BJ284" s="29">
        <v>412.0</v>
      </c>
      <c r="BK284" s="29">
        <v>415.52</v>
      </c>
      <c r="BL284" s="29">
        <v>385.53</v>
      </c>
      <c r="BM284" s="29">
        <v>391.54</v>
      </c>
      <c r="BO284" s="29">
        <v>219.49</v>
      </c>
      <c r="BP284" s="29">
        <v>235.44</v>
      </c>
      <c r="BQ284" s="29">
        <v>207.15</v>
      </c>
      <c r="BR284" s="29">
        <v>195.0</v>
      </c>
      <c r="BS284" s="30">
        <v>2.2618</v>
      </c>
      <c r="BT284" s="30">
        <v>2.5509</v>
      </c>
      <c r="BU284" s="29">
        <v>473.4</v>
      </c>
      <c r="BV284" s="29">
        <v>386.19</v>
      </c>
      <c r="BW284" s="29">
        <v>475.98</v>
      </c>
      <c r="BX284" s="29">
        <v>45.0</v>
      </c>
      <c r="BY284" s="29">
        <v>50.0</v>
      </c>
      <c r="BZ284" s="29">
        <v>44.17</v>
      </c>
      <c r="CA284" s="29">
        <v>42.4</v>
      </c>
      <c r="CD284" s="29">
        <v>29.57</v>
      </c>
      <c r="CE284" s="29">
        <v>35.32</v>
      </c>
      <c r="CI284" s="29">
        <v>5014.0</v>
      </c>
      <c r="CJ284" s="27" t="inlineStr">
        <is>
          <t xml:space="preserve">jul/26</t>
        </is>
      </c>
    </row>
    <row r="285">
      <c r="A285" s="28">
        <v>46202</v>
      </c>
      <c r="B285" s="29">
        <v>1367.94</v>
      </c>
      <c r="C285" s="29">
        <v>3385.38</v>
      </c>
      <c r="D285" s="29">
        <v>7.29</v>
      </c>
      <c r="E285" s="29">
        <v>5.3</v>
      </c>
      <c r="F285" s="29">
        <v>1514.13</v>
      </c>
      <c r="G285" s="29">
        <v>1017.39</v>
      </c>
      <c r="H285" s="29">
        <v>322.75</v>
      </c>
      <c r="I285" s="27" t="inlineStr">
        <is>
          <t xml:space="preserve">dez/26</t>
        </is>
      </c>
      <c r="J285" s="29">
        <v>173205.35</v>
      </c>
      <c r="K285" s="30">
        <v>5175.5</v>
      </c>
      <c r="L285" s="27" t="inlineStr">
        <is>
          <t xml:space="preserve">jul/26</t>
        </is>
      </c>
      <c r="M285" s="29">
        <v>333.5</v>
      </c>
      <c r="N285" s="27" t="inlineStr">
        <is>
          <t xml:space="preserve">jul/26</t>
        </is>
      </c>
      <c r="O285" s="29">
        <v>64.61</v>
      </c>
      <c r="P285" s="27" t="inlineStr">
        <is>
          <t xml:space="preserve">jul/26</t>
        </is>
      </c>
      <c r="S285" s="30">
        <v>11.0875</v>
      </c>
      <c r="T285" s="27" t="inlineStr">
        <is>
          <t xml:space="preserve">jul/26</t>
        </is>
      </c>
      <c r="U285" s="30">
        <v>4.02</v>
      </c>
      <c r="V285" s="27" t="inlineStr">
        <is>
          <t xml:space="preserve">jul/26</t>
        </is>
      </c>
      <c r="W285" s="29">
        <v>304.7</v>
      </c>
      <c r="X285" s="27" t="inlineStr">
        <is>
          <t xml:space="preserve">jul/26</t>
        </is>
      </c>
      <c r="Y285" s="30">
        <v>0.6907</v>
      </c>
      <c r="Z285" s="27" t="inlineStr">
        <is>
          <t xml:space="preserve">jul/26</t>
        </is>
      </c>
      <c r="AA285" s="29">
        <v>409.57</v>
      </c>
      <c r="AB285" s="29">
        <v>92.69</v>
      </c>
      <c r="AC285" s="29">
        <v>334.44</v>
      </c>
      <c r="AD285" s="29">
        <v>329.97</v>
      </c>
      <c r="AE285" s="29">
        <v>316.44</v>
      </c>
      <c r="AG285" s="29">
        <v>317.0</v>
      </c>
      <c r="AH285" s="29">
        <v>322.39</v>
      </c>
      <c r="AI285" s="29">
        <v>331.29</v>
      </c>
      <c r="AJ285" s="29">
        <v>317.74</v>
      </c>
      <c r="AK285" s="29">
        <v>314.47</v>
      </c>
      <c r="AL285" s="29">
        <v>5.87</v>
      </c>
      <c r="AM285" s="29">
        <v>4.68</v>
      </c>
      <c r="AN285" s="29">
        <v>5.04</v>
      </c>
      <c r="AO285" s="29">
        <v>5.03</v>
      </c>
      <c r="AP285" s="29">
        <v>7.29</v>
      </c>
      <c r="AQ285" s="29">
        <v>135.4</v>
      </c>
      <c r="AR285" s="29">
        <v>153.49</v>
      </c>
      <c r="BH285" s="29">
        <v>1330.49</v>
      </c>
      <c r="BI285" s="29">
        <v>59.94</v>
      </c>
      <c r="BJ285" s="29">
        <v>412.0</v>
      </c>
      <c r="BK285" s="29">
        <v>422.61</v>
      </c>
      <c r="BL285" s="29">
        <v>386.77</v>
      </c>
      <c r="BM285" s="29">
        <v>391.54</v>
      </c>
      <c r="BO285" s="29">
        <v>219.49</v>
      </c>
      <c r="BP285" s="29">
        <v>235.44</v>
      </c>
      <c r="BQ285" s="29">
        <v>207.02</v>
      </c>
      <c r="BR285" s="29">
        <v>195.0</v>
      </c>
      <c r="BX285" s="29">
        <v>45.0</v>
      </c>
      <c r="BY285" s="29">
        <v>50.0</v>
      </c>
      <c r="BZ285" s="29">
        <v>44.17</v>
      </c>
      <c r="CA285" s="29">
        <v>42.4</v>
      </c>
      <c r="CD285" s="29">
        <v>30.63</v>
      </c>
      <c r="CE285" s="29">
        <v>34.37</v>
      </c>
      <c r="CI285" s="29">
        <v>4895.0</v>
      </c>
      <c r="CJ285" s="27" t="inlineStr">
        <is>
          <t xml:space="preserve">jul/26</t>
        </is>
      </c>
    </row>
    <row r="286">
      <c r="A286" s="28">
        <v>46203</v>
      </c>
      <c r="B286" s="29">
        <v>1368.63</v>
      </c>
      <c r="C286" s="29">
        <v>3387.19</v>
      </c>
      <c r="D286" s="29">
        <v>7.26</v>
      </c>
      <c r="E286" s="29">
        <v>5.28</v>
      </c>
      <c r="F286" s="29">
        <v>1578.69</v>
      </c>
      <c r="G286" s="29">
        <v>1061.81</v>
      </c>
      <c r="H286" s="29">
        <v>345.7</v>
      </c>
      <c r="I286" s="27" t="inlineStr">
        <is>
          <t xml:space="preserve">dez/26</t>
        </is>
      </c>
      <c r="J286" s="29">
        <v>172024.12</v>
      </c>
      <c r="K286" s="30">
        <v>5177.0</v>
      </c>
      <c r="L286" s="27" t="inlineStr">
        <is>
          <t xml:space="preserve">jul/26</t>
        </is>
      </c>
      <c r="M286" s="29">
        <v>330.0</v>
      </c>
      <c r="N286" s="27" t="inlineStr">
        <is>
          <t xml:space="preserve">jul/26</t>
        </is>
      </c>
      <c r="O286" s="29">
        <v>64.75</v>
      </c>
      <c r="P286" s="27" t="inlineStr">
        <is>
          <t xml:space="preserve">jul/26</t>
        </is>
      </c>
      <c r="S286" s="30">
        <v>11.1675</v>
      </c>
      <c r="T286" s="27" t="inlineStr">
        <is>
          <t xml:space="preserve">jul/26</t>
        </is>
      </c>
      <c r="U286" s="30">
        <v>4.1275</v>
      </c>
      <c r="V286" s="27" t="inlineStr">
        <is>
          <t xml:space="preserve">jul/26</t>
        </is>
      </c>
      <c r="W286" s="29">
        <v>304.7</v>
      </c>
      <c r="X286" s="27" t="inlineStr">
        <is>
          <t xml:space="preserve">jul/26</t>
        </is>
      </c>
      <c r="Y286" s="30">
        <v>0.6674</v>
      </c>
      <c r="Z286" s="27" t="inlineStr">
        <is>
          <t xml:space="preserve">jul/26</t>
        </is>
      </c>
      <c r="AA286" s="29">
        <v>412.3</v>
      </c>
      <c r="AB286" s="29">
        <v>91.27</v>
      </c>
      <c r="AC286" s="29">
        <v>336.87</v>
      </c>
      <c r="AD286" s="29">
        <v>330.52</v>
      </c>
      <c r="AE286" s="29">
        <v>315.4</v>
      </c>
      <c r="AG286" s="29">
        <v>318.36</v>
      </c>
      <c r="AH286" s="29">
        <v>321.29</v>
      </c>
      <c r="AI286" s="29">
        <v>329.29</v>
      </c>
      <c r="AJ286" s="29">
        <v>317.54</v>
      </c>
      <c r="AK286" s="29">
        <v>313.32</v>
      </c>
      <c r="AL286" s="29">
        <v>5.87</v>
      </c>
      <c r="AM286" s="29">
        <v>4.63</v>
      </c>
      <c r="AN286" s="29">
        <v>5.05</v>
      </c>
      <c r="AO286" s="29">
        <v>5.05</v>
      </c>
      <c r="AP286" s="29">
        <v>7.26</v>
      </c>
      <c r="AQ286" s="29">
        <v>135.24</v>
      </c>
      <c r="AR286" s="29">
        <v>151.4</v>
      </c>
      <c r="BH286" s="29">
        <v>1329.48</v>
      </c>
      <c r="BI286" s="29">
        <v>60.23</v>
      </c>
      <c r="BJ286" s="29">
        <v>415.0</v>
      </c>
      <c r="BK286" s="29">
        <v>434.75</v>
      </c>
      <c r="BL286" s="29">
        <v>388.24</v>
      </c>
      <c r="BM286" s="29">
        <v>395.38</v>
      </c>
      <c r="BO286" s="29">
        <v>222.45</v>
      </c>
      <c r="BP286" s="29">
        <v>243.7</v>
      </c>
      <c r="BQ286" s="29">
        <v>208.49</v>
      </c>
      <c r="BR286" s="29">
        <v>195.0</v>
      </c>
      <c r="BX286" s="29">
        <v>45.0</v>
      </c>
      <c r="BY286" s="29">
        <v>50.0</v>
      </c>
      <c r="BZ286" s="29">
        <v>43.5</v>
      </c>
      <c r="CA286" s="29">
        <v>42.0</v>
      </c>
      <c r="CD286" s="29">
        <v>30.63</v>
      </c>
      <c r="CE286" s="29">
        <v>34.52</v>
      </c>
      <c r="CI286" s="29">
        <v>5002.0</v>
      </c>
      <c r="CJ286" s="27" t="inlineStr">
        <is>
          <t xml:space="preserve">jul/26</t>
        </is>
      </c>
    </row>
    <row r="287">
      <c r="A287" s="28">
        <v>46204</v>
      </c>
      <c r="B287" s="29">
        <v>1367.18</v>
      </c>
      <c r="C287" s="29">
        <v>3392.02</v>
      </c>
      <c r="D287" s="29">
        <v>7.2</v>
      </c>
      <c r="E287" s="29">
        <v>5.26</v>
      </c>
      <c r="F287" s="29">
        <v>1665.59</v>
      </c>
      <c r="G287" s="29">
        <v>1071.24</v>
      </c>
      <c r="H287" s="29">
        <v>362.95</v>
      </c>
      <c r="I287" s="27" t="inlineStr">
        <is>
          <t xml:space="preserve">dez/26</t>
        </is>
      </c>
      <c r="J287" s="29">
        <v>171688.61</v>
      </c>
      <c r="K287" s="30">
        <v>5242.0</v>
      </c>
      <c r="L287" s="27" t="inlineStr">
        <is>
          <t xml:space="preserve">ago/26</t>
        </is>
      </c>
      <c r="M287" s="29">
        <v>331.8</v>
      </c>
      <c r="N287" s="27" t="inlineStr">
        <is>
          <t xml:space="preserve">ago/26</t>
        </is>
      </c>
      <c r="O287" s="29">
        <v>68.36</v>
      </c>
      <c r="P287" s="27" t="inlineStr">
        <is>
          <t xml:space="preserve">set/26</t>
        </is>
      </c>
      <c r="Q287" s="29">
        <v>25.34</v>
      </c>
      <c r="R287" s="27" t="inlineStr">
        <is>
          <t xml:space="preserve">nov/26</t>
        </is>
      </c>
      <c r="S287" s="30">
        <v>11.3325</v>
      </c>
      <c r="T287" s="27" t="inlineStr">
        <is>
          <t xml:space="preserve">ago/26</t>
        </is>
      </c>
      <c r="U287" s="30">
        <v>4.2275</v>
      </c>
      <c r="V287" s="27" t="inlineStr">
        <is>
          <t xml:space="preserve">set/26</t>
        </is>
      </c>
      <c r="W287" s="29">
        <v>305.3</v>
      </c>
      <c r="X287" s="27" t="inlineStr">
        <is>
          <t xml:space="preserve">ago/26</t>
        </is>
      </c>
      <c r="Y287" s="30">
        <v>0.6669</v>
      </c>
      <c r="Z287" s="27" t="inlineStr">
        <is>
          <t xml:space="preserve">ago/26</t>
        </is>
      </c>
      <c r="AA287" s="29">
        <v>413.68</v>
      </c>
      <c r="AB287" s="29">
        <v>91.29</v>
      </c>
      <c r="AC287" s="29">
        <v>335.74</v>
      </c>
      <c r="AD287" s="29">
        <v>329.27</v>
      </c>
      <c r="AE287" s="29">
        <v>315.84</v>
      </c>
      <c r="AG287" s="29">
        <v>317.11</v>
      </c>
      <c r="AH287" s="29">
        <v>319.28</v>
      </c>
      <c r="AI287" s="29">
        <v>325.31</v>
      </c>
      <c r="AJ287" s="29">
        <v>315.82</v>
      </c>
      <c r="AK287" s="29">
        <v>312.92</v>
      </c>
      <c r="AL287" s="29">
        <v>5.89</v>
      </c>
      <c r="AM287" s="29">
        <v>4.66</v>
      </c>
      <c r="AN287" s="29">
        <v>5.03</v>
      </c>
      <c r="AO287" s="29">
        <v>5.04</v>
      </c>
      <c r="AP287" s="29">
        <v>7.2</v>
      </c>
      <c r="AQ287" s="29">
        <v>134.25</v>
      </c>
      <c r="AR287" s="29">
        <v>150.67</v>
      </c>
      <c r="AS287" s="30">
        <v>2.8761</v>
      </c>
      <c r="AT287" s="30">
        <v>3.0231</v>
      </c>
      <c r="AU287" s="30">
        <v>2.941</v>
      </c>
      <c r="AV287" s="30">
        <v>2.9695</v>
      </c>
      <c r="AW287" s="30">
        <v>2.8989</v>
      </c>
      <c r="AX287" s="30">
        <v>2.7887</v>
      </c>
      <c r="AY287" s="30">
        <v>2.656</v>
      </c>
      <c r="AZ287" s="30">
        <v>2.673</v>
      </c>
      <c r="BA287" s="30">
        <v>2.724</v>
      </c>
      <c r="BB287" s="30">
        <v>2.7319</v>
      </c>
      <c r="BH287" s="29">
        <v>1316.87</v>
      </c>
      <c r="BI287" s="29">
        <v>60.33</v>
      </c>
      <c r="BJ287" s="29">
        <v>415.0</v>
      </c>
      <c r="BK287" s="29">
        <v>435.49</v>
      </c>
      <c r="BL287" s="29">
        <v>388.21</v>
      </c>
      <c r="BM287" s="29">
        <v>389.59</v>
      </c>
      <c r="BO287" s="29">
        <v>222.35</v>
      </c>
      <c r="BP287" s="29">
        <v>243.68</v>
      </c>
      <c r="BQ287" s="29">
        <v>207.87</v>
      </c>
      <c r="BR287" s="29">
        <v>195.0</v>
      </c>
      <c r="BX287" s="29">
        <v>45.0</v>
      </c>
      <c r="BY287" s="29">
        <v>50.0</v>
      </c>
      <c r="BZ287" s="29">
        <v>43.33</v>
      </c>
      <c r="CA287" s="29">
        <v>42.4</v>
      </c>
      <c r="CD287" s="29">
        <v>31.25</v>
      </c>
      <c r="CE287" s="29">
        <v>34.76</v>
      </c>
      <c r="CI287" s="29">
        <v>5092.0</v>
      </c>
      <c r="CJ287" s="27" t="inlineStr">
        <is>
          <t xml:space="preserve">set/26</t>
        </is>
      </c>
    </row>
    <row r="288">
      <c r="A288" s="28">
        <v>46205</v>
      </c>
      <c r="B288" s="29">
        <v>1364.29</v>
      </c>
      <c r="C288" s="29">
        <v>3391.88</v>
      </c>
      <c r="D288" s="29">
        <v>7.2</v>
      </c>
      <c r="E288" s="29">
        <v>5.28</v>
      </c>
      <c r="F288" s="29">
        <v>1656.79</v>
      </c>
      <c r="G288" s="29">
        <v>1089.06</v>
      </c>
      <c r="H288" s="29">
        <v>353.3</v>
      </c>
      <c r="I288" s="27" t="inlineStr">
        <is>
          <t xml:space="preserve">dez/26</t>
        </is>
      </c>
      <c r="J288" s="29">
        <v>172787.62</v>
      </c>
      <c r="K288" s="30">
        <v>5244.5</v>
      </c>
      <c r="L288" s="27" t="inlineStr">
        <is>
          <t xml:space="preserve">ago/26</t>
        </is>
      </c>
      <c r="M288" s="29">
        <v>331.75</v>
      </c>
      <c r="N288" s="27" t="inlineStr">
        <is>
          <t xml:space="preserve">ago/26</t>
        </is>
      </c>
      <c r="O288" s="29">
        <v>67.98</v>
      </c>
      <c r="P288" s="27" t="inlineStr">
        <is>
          <t xml:space="preserve">set/26</t>
        </is>
      </c>
      <c r="Q288" s="29">
        <v>25.32</v>
      </c>
      <c r="R288" s="27" t="inlineStr">
        <is>
          <t xml:space="preserve">nov/26</t>
        </is>
      </c>
      <c r="S288" s="30">
        <v>11.3625</v>
      </c>
      <c r="T288" s="27" t="inlineStr">
        <is>
          <t xml:space="preserve">ago/26</t>
        </is>
      </c>
      <c r="U288" s="30">
        <v>4.23</v>
      </c>
      <c r="V288" s="27" t="inlineStr">
        <is>
          <t xml:space="preserve">set/26</t>
        </is>
      </c>
      <c r="W288" s="29">
        <v>305.5</v>
      </c>
      <c r="X288" s="27" t="inlineStr">
        <is>
          <t xml:space="preserve">ago/26</t>
        </is>
      </c>
      <c r="Y288" s="30">
        <v>0.6677</v>
      </c>
      <c r="Z288" s="27" t="inlineStr">
        <is>
          <t xml:space="preserve">ago/26</t>
        </is>
      </c>
      <c r="AA288" s="29">
        <v>414.27</v>
      </c>
      <c r="AB288" s="29">
        <v>92.23</v>
      </c>
      <c r="AL288" s="29">
        <v>5.89</v>
      </c>
      <c r="AM288" s="29">
        <v>4.72</v>
      </c>
      <c r="AN288" s="29">
        <v>5.03</v>
      </c>
      <c r="AO288" s="29">
        <v>5.01</v>
      </c>
      <c r="AP288" s="29">
        <v>7.2</v>
      </c>
      <c r="AQ288" s="29">
        <v>133.25</v>
      </c>
      <c r="AR288" s="29">
        <v>149.89</v>
      </c>
      <c r="BH288" s="29">
        <v>1324.66</v>
      </c>
      <c r="BI288" s="29">
        <v>60.31</v>
      </c>
      <c r="BJ288" s="29">
        <v>415.0</v>
      </c>
      <c r="BK288" s="29">
        <v>438.06</v>
      </c>
      <c r="BL288" s="29">
        <v>386.39</v>
      </c>
      <c r="BM288" s="29">
        <v>391.83</v>
      </c>
      <c r="BO288" s="29">
        <v>223.49</v>
      </c>
      <c r="BP288" s="29">
        <v>243.22</v>
      </c>
      <c r="BQ288" s="29">
        <v>207.4</v>
      </c>
      <c r="BR288" s="29">
        <v>191.67</v>
      </c>
      <c r="BX288" s="29">
        <v>45.0</v>
      </c>
      <c r="BY288" s="29">
        <v>50.0</v>
      </c>
      <c r="BZ288" s="29">
        <v>43.33</v>
      </c>
      <c r="CA288" s="29">
        <v>42.4</v>
      </c>
      <c r="CD288" s="29">
        <v>31.25</v>
      </c>
      <c r="CE288" s="29">
        <v>36.41</v>
      </c>
      <c r="CI288" s="29">
        <v>5036.0</v>
      </c>
      <c r="CJ288" s="27" t="inlineStr">
        <is>
          <t xml:space="preserve">set/26</t>
        </is>
      </c>
    </row>
    <row r="289">
      <c r="A289" s="28">
        <v>46206</v>
      </c>
      <c r="B289" s="29">
        <v>1372.32</v>
      </c>
      <c r="C289" s="29">
        <v>3391.18</v>
      </c>
      <c r="D289" s="29">
        <v>7.2</v>
      </c>
      <c r="E289" s="29">
        <v>5.29</v>
      </c>
      <c r="F289" s="29">
        <v>1636.25</v>
      </c>
      <c r="G289" s="29">
        <v>1070.57</v>
      </c>
      <c r="H289" s="29">
        <v>353.4</v>
      </c>
      <c r="I289" s="27" t="inlineStr">
        <is>
          <t xml:space="preserve">dez/26</t>
        </is>
      </c>
      <c r="J289" s="29">
        <v>174070.27</v>
      </c>
      <c r="M289" s="29">
        <v>332.5</v>
      </c>
      <c r="N289" s="27" t="inlineStr">
        <is>
          <t xml:space="preserve">ago/26</t>
        </is>
      </c>
      <c r="O289" s="29">
        <v>67.0</v>
      </c>
      <c r="P289" s="27" t="inlineStr">
        <is>
          <t xml:space="preserve">set/26</t>
        </is>
      </c>
      <c r="AA289" s="29">
        <v>413.86</v>
      </c>
      <c r="AB289" s="29">
        <v>93.59</v>
      </c>
      <c r="AC289" s="29">
        <v>328.56</v>
      </c>
      <c r="AD289" s="29">
        <v>327.59</v>
      </c>
      <c r="AE289" s="29">
        <v>313.39</v>
      </c>
      <c r="AG289" s="29">
        <v>313.46</v>
      </c>
      <c r="AH289" s="29">
        <v>316.34</v>
      </c>
      <c r="AI289" s="29">
        <v>320.0</v>
      </c>
      <c r="AJ289" s="29">
        <v>314.4</v>
      </c>
      <c r="AK289" s="29">
        <v>311.55</v>
      </c>
      <c r="AL289" s="29">
        <v>5.89</v>
      </c>
      <c r="AM289" s="29">
        <v>4.78</v>
      </c>
      <c r="AN289" s="29">
        <v>5.03</v>
      </c>
      <c r="AO289" s="29">
        <v>5.01</v>
      </c>
      <c r="AP289" s="29">
        <v>7.2</v>
      </c>
      <c r="AQ289" s="29">
        <v>133.24</v>
      </c>
      <c r="AR289" s="29">
        <v>149.89</v>
      </c>
      <c r="BC289" s="29">
        <v>9.88</v>
      </c>
      <c r="BD289" s="29">
        <v>9.51</v>
      </c>
      <c r="BE289" s="29">
        <v>10.4</v>
      </c>
      <c r="BF289" s="29">
        <v>8.73</v>
      </c>
      <c r="BG289" s="29">
        <v>10.14</v>
      </c>
      <c r="BH289" s="29">
        <v>1316.87</v>
      </c>
      <c r="BI289" s="29">
        <v>60.43</v>
      </c>
      <c r="BK289" s="29">
        <v>429.48</v>
      </c>
      <c r="BL289" s="29">
        <v>386.39</v>
      </c>
      <c r="BM289" s="29">
        <v>394.56</v>
      </c>
      <c r="BO289" s="29">
        <v>226.11</v>
      </c>
      <c r="BP289" s="29">
        <v>247.62</v>
      </c>
      <c r="BQ289" s="29">
        <v>205.31</v>
      </c>
      <c r="BR289" s="29">
        <v>192.57</v>
      </c>
      <c r="BS289" s="30">
        <v>2.2427</v>
      </c>
      <c r="BT289" s="30">
        <v>2.5808</v>
      </c>
      <c r="BU289" s="29">
        <v>474.82</v>
      </c>
      <c r="BV289" s="29">
        <v>386.25</v>
      </c>
      <c r="BW289" s="29">
        <v>476.5</v>
      </c>
      <c r="BY289" s="29">
        <v>50.0</v>
      </c>
      <c r="BZ289" s="29">
        <v>43.33</v>
      </c>
      <c r="CA289" s="29">
        <v>42.4</v>
      </c>
      <c r="CD289" s="29">
        <v>31.67</v>
      </c>
      <c r="CE289" s="29">
        <v>37.08</v>
      </c>
    </row>
    <row r="290">
      <c r="A290" s="28">
        <v>46209</v>
      </c>
      <c r="B290" s="29">
        <v>1363.13</v>
      </c>
      <c r="C290" s="29">
        <v>3387.0</v>
      </c>
      <c r="D290" s="29">
        <v>7.18</v>
      </c>
      <c r="E290" s="29">
        <v>5.31</v>
      </c>
      <c r="F290" s="29">
        <v>1787.48</v>
      </c>
      <c r="G290" s="29">
        <v>1117.33</v>
      </c>
      <c r="H290" s="29">
        <v>385.2</v>
      </c>
      <c r="I290" s="27" t="inlineStr">
        <is>
          <t xml:space="preserve">dez/26</t>
        </is>
      </c>
      <c r="J290" s="29">
        <v>172447.58</v>
      </c>
      <c r="K290" s="30">
        <v>5157.5</v>
      </c>
      <c r="L290" s="27" t="inlineStr">
        <is>
          <t xml:space="preserve">ago/26</t>
        </is>
      </c>
      <c r="M290" s="29">
        <v>333.55</v>
      </c>
      <c r="N290" s="27" t="inlineStr">
        <is>
          <t xml:space="preserve">ago/26</t>
        </is>
      </c>
      <c r="O290" s="29">
        <v>68.35</v>
      </c>
      <c r="P290" s="27" t="inlineStr">
        <is>
          <t xml:space="preserve">set/26</t>
        </is>
      </c>
      <c r="Q290" s="29">
        <v>26.32</v>
      </c>
      <c r="R290" s="27" t="inlineStr">
        <is>
          <t xml:space="preserve">nov/26</t>
        </is>
      </c>
      <c r="S290" s="30">
        <v>11.84</v>
      </c>
      <c r="T290" s="27" t="inlineStr">
        <is>
          <t xml:space="preserve">ago/26</t>
        </is>
      </c>
      <c r="U290" s="30">
        <v>4.3825</v>
      </c>
      <c r="V290" s="27" t="inlineStr">
        <is>
          <t xml:space="preserve">set/26</t>
        </is>
      </c>
      <c r="W290" s="29">
        <v>312.9</v>
      </c>
      <c r="X290" s="27" t="inlineStr">
        <is>
          <t xml:space="preserve">ago/26</t>
        </is>
      </c>
      <c r="Y290" s="30">
        <v>0.6776</v>
      </c>
      <c r="Z290" s="27" t="inlineStr">
        <is>
          <t xml:space="preserve">ago/26</t>
        </is>
      </c>
      <c r="AA290" s="29">
        <v>409.7</v>
      </c>
      <c r="AB290" s="29">
        <v>91.94</v>
      </c>
      <c r="AL290" s="29">
        <v>5.89</v>
      </c>
      <c r="AM290" s="29">
        <v>4.79</v>
      </c>
      <c r="AN290" s="29">
        <v>5.03</v>
      </c>
      <c r="AO290" s="29">
        <v>4.97</v>
      </c>
      <c r="AP290" s="29">
        <v>7.18</v>
      </c>
      <c r="AQ290" s="29">
        <v>133.21</v>
      </c>
      <c r="AR290" s="29">
        <v>149.29</v>
      </c>
      <c r="BH290" s="29">
        <v>1324.01</v>
      </c>
      <c r="BI290" s="29">
        <v>60.66</v>
      </c>
      <c r="BK290" s="29">
        <v>428.06</v>
      </c>
      <c r="BL290" s="29">
        <v>386.39</v>
      </c>
      <c r="BM290" s="29">
        <v>398.31</v>
      </c>
      <c r="BO290" s="29">
        <v>225.97</v>
      </c>
      <c r="BP290" s="29">
        <v>247.62</v>
      </c>
      <c r="BQ290" s="29">
        <v>207.13</v>
      </c>
      <c r="BR290" s="29">
        <v>196.22</v>
      </c>
      <c r="BX290" s="29">
        <v>45.0</v>
      </c>
      <c r="BY290" s="29">
        <v>50.0</v>
      </c>
      <c r="BZ290" s="29">
        <v>43.33</v>
      </c>
      <c r="CA290" s="29">
        <v>42.4</v>
      </c>
      <c r="CD290" s="29">
        <v>31.64</v>
      </c>
      <c r="CE290" s="29">
        <v>36.08</v>
      </c>
      <c r="CI290" s="29">
        <v>5694.0</v>
      </c>
      <c r="CJ290" s="27" t="inlineStr">
        <is>
          <t xml:space="preserve">set/26</t>
        </is>
      </c>
    </row>
    <row r="291">
      <c r="A291" s="28">
        <v>46210</v>
      </c>
      <c r="B291" s="29">
        <v>1364.03</v>
      </c>
      <c r="C291" s="29">
        <v>3392.8</v>
      </c>
      <c r="D291" s="29">
        <v>7.18</v>
      </c>
      <c r="E291" s="29">
        <v>5.35</v>
      </c>
      <c r="F291" s="29">
        <v>1737.76</v>
      </c>
      <c r="G291" s="29">
        <v>1100.67</v>
      </c>
      <c r="H291" s="29">
        <v>366.5</v>
      </c>
      <c r="I291" s="27" t="inlineStr">
        <is>
          <t xml:space="preserve">dez/26</t>
        </is>
      </c>
      <c r="J291" s="29">
        <v>172020.68</v>
      </c>
      <c r="K291" s="30">
        <v>5192.0</v>
      </c>
      <c r="L291" s="27" t="inlineStr">
        <is>
          <t xml:space="preserve">ago/26</t>
        </is>
      </c>
      <c r="M291" s="29">
        <v>339.0</v>
      </c>
      <c r="N291" s="27" t="inlineStr">
        <is>
          <t xml:space="preserve">ago/26</t>
        </is>
      </c>
      <c r="O291" s="29">
        <v>68.25</v>
      </c>
      <c r="P291" s="27" t="inlineStr">
        <is>
          <t xml:space="preserve">set/26</t>
        </is>
      </c>
      <c r="Q291" s="29">
        <v>26.42</v>
      </c>
      <c r="R291" s="27" t="inlineStr">
        <is>
          <t xml:space="preserve">nov/26</t>
        </is>
      </c>
      <c r="S291" s="30">
        <v>11.9375</v>
      </c>
      <c r="T291" s="27" t="inlineStr">
        <is>
          <t xml:space="preserve">ago/26</t>
        </is>
      </c>
      <c r="U291" s="30">
        <v>4.4375</v>
      </c>
      <c r="V291" s="27" t="inlineStr">
        <is>
          <t xml:space="preserve">set/26</t>
        </is>
      </c>
      <c r="W291" s="29">
        <v>316.2</v>
      </c>
      <c r="X291" s="27" t="inlineStr">
        <is>
          <t xml:space="preserve">ago/26</t>
        </is>
      </c>
      <c r="Y291" s="30">
        <v>0.6859</v>
      </c>
      <c r="Z291" s="27" t="inlineStr">
        <is>
          <t xml:space="preserve">ago/26</t>
        </is>
      </c>
      <c r="AA291" s="29">
        <v>412.63</v>
      </c>
      <c r="AB291" s="29">
        <v>93.87</v>
      </c>
      <c r="AC291" s="29">
        <v>327.59</v>
      </c>
      <c r="AD291" s="29">
        <v>328.66</v>
      </c>
      <c r="AE291" s="29">
        <v>316.66</v>
      </c>
      <c r="AG291" s="29">
        <v>313.56</v>
      </c>
      <c r="AH291" s="29">
        <v>315.01</v>
      </c>
      <c r="AI291" s="29">
        <v>318.23</v>
      </c>
      <c r="AJ291" s="29">
        <v>313.48</v>
      </c>
      <c r="AK291" s="29">
        <v>313.02</v>
      </c>
      <c r="AL291" s="29">
        <v>5.88</v>
      </c>
      <c r="AM291" s="29">
        <v>4.81</v>
      </c>
      <c r="AN291" s="29">
        <v>5.01</v>
      </c>
      <c r="AO291" s="29">
        <v>5.01</v>
      </c>
      <c r="AP291" s="29">
        <v>7.18</v>
      </c>
      <c r="AQ291" s="29">
        <v>133.22</v>
      </c>
      <c r="AR291" s="29">
        <v>148.44</v>
      </c>
      <c r="BH291" s="29">
        <v>1324.01</v>
      </c>
      <c r="BI291" s="29">
        <v>61.59</v>
      </c>
      <c r="BK291" s="29">
        <v>425.2</v>
      </c>
      <c r="BL291" s="29">
        <v>384.99</v>
      </c>
      <c r="BM291" s="29">
        <v>396.84</v>
      </c>
      <c r="BO291" s="29">
        <v>226.62</v>
      </c>
      <c r="BP291" s="29">
        <v>247.14</v>
      </c>
      <c r="BQ291" s="29">
        <v>207.97</v>
      </c>
      <c r="BR291" s="29">
        <v>196.0</v>
      </c>
      <c r="BX291" s="29">
        <v>45.0</v>
      </c>
      <c r="BY291" s="29">
        <v>50.0</v>
      </c>
      <c r="BZ291" s="29">
        <v>43.33</v>
      </c>
      <c r="CA291" s="29">
        <v>42.4</v>
      </c>
      <c r="CD291" s="29">
        <v>31.64</v>
      </c>
      <c r="CE291" s="29">
        <v>35.66</v>
      </c>
      <c r="CI291" s="29">
        <v>5759.0</v>
      </c>
      <c r="CJ291" s="27" t="inlineStr">
        <is>
          <t xml:space="preserve">set/26</t>
        </is>
      </c>
    </row>
    <row r="292">
      <c r="A292" s="28">
        <v>46211</v>
      </c>
      <c r="B292" s="29">
        <v>1373.81</v>
      </c>
      <c r="C292" s="29">
        <v>3381.17</v>
      </c>
      <c r="D292" s="29">
        <v>7.19</v>
      </c>
      <c r="E292" s="29">
        <v>5.35</v>
      </c>
      <c r="F292" s="29">
        <v>1712.39</v>
      </c>
      <c r="G292" s="29">
        <v>1090.56</v>
      </c>
      <c r="H292" s="29">
        <v>358.5</v>
      </c>
      <c r="I292" s="27" t="inlineStr">
        <is>
          <t xml:space="preserve">dez/26</t>
        </is>
      </c>
      <c r="J292" s="29">
        <v>170653.45</v>
      </c>
      <c r="K292" s="30">
        <v>5181.0</v>
      </c>
      <c r="L292" s="27" t="inlineStr">
        <is>
          <t xml:space="preserve">ago/26</t>
        </is>
      </c>
      <c r="M292" s="29">
        <v>335.0</v>
      </c>
      <c r="N292" s="27" t="inlineStr">
        <is>
          <t xml:space="preserve">ago/26</t>
        </is>
      </c>
      <c r="O292" s="29">
        <v>68.01</v>
      </c>
      <c r="P292" s="27" t="inlineStr">
        <is>
          <t xml:space="preserve">set/26</t>
        </is>
      </c>
      <c r="Q292" s="29">
        <v>26.25</v>
      </c>
      <c r="R292" s="27" t="inlineStr">
        <is>
          <t xml:space="preserve">nov/26</t>
        </is>
      </c>
      <c r="S292" s="30">
        <v>11.9325</v>
      </c>
      <c r="T292" s="27" t="inlineStr">
        <is>
          <t xml:space="preserve">ago/26</t>
        </is>
      </c>
      <c r="U292" s="30">
        <v>4.35</v>
      </c>
      <c r="V292" s="27" t="inlineStr">
        <is>
          <t xml:space="preserve">set/26</t>
        </is>
      </c>
      <c r="W292" s="29">
        <v>312.3</v>
      </c>
      <c r="X292" s="27" t="inlineStr">
        <is>
          <t xml:space="preserve">ago/26</t>
        </is>
      </c>
      <c r="Y292" s="30">
        <v>0.7085</v>
      </c>
      <c r="Z292" s="27" t="inlineStr">
        <is>
          <t xml:space="preserve">ago/26</t>
        </is>
      </c>
      <c r="AA292" s="29">
        <v>408.74</v>
      </c>
      <c r="AB292" s="29">
        <v>92.21</v>
      </c>
      <c r="AL292" s="29">
        <v>5.88</v>
      </c>
      <c r="AM292" s="29">
        <v>4.87</v>
      </c>
      <c r="AN292" s="29">
        <v>5.0</v>
      </c>
      <c r="AO292" s="29">
        <v>5.01</v>
      </c>
      <c r="AP292" s="29">
        <v>7.19</v>
      </c>
      <c r="AQ292" s="29">
        <v>133.22</v>
      </c>
      <c r="AR292" s="29">
        <v>148.17</v>
      </c>
      <c r="BH292" s="29">
        <v>1312.48</v>
      </c>
      <c r="BI292" s="29">
        <v>61.76</v>
      </c>
      <c r="BK292" s="29">
        <v>411.04</v>
      </c>
      <c r="BL292" s="29">
        <v>388.74</v>
      </c>
      <c r="BM292" s="29">
        <v>397.86</v>
      </c>
      <c r="BO292" s="29">
        <v>224.97</v>
      </c>
      <c r="BP292" s="29">
        <v>246.78</v>
      </c>
      <c r="BQ292" s="29">
        <v>207.49</v>
      </c>
      <c r="BR292" s="29">
        <v>196.0</v>
      </c>
      <c r="BX292" s="29">
        <v>46.0</v>
      </c>
      <c r="BY292" s="29">
        <v>50.0</v>
      </c>
      <c r="BZ292" s="29">
        <v>43.33</v>
      </c>
      <c r="CA292" s="29">
        <v>43.2</v>
      </c>
      <c r="CD292" s="29">
        <v>32.09</v>
      </c>
      <c r="CE292" s="29">
        <v>35.52</v>
      </c>
      <c r="CI292" s="29">
        <v>6052.0</v>
      </c>
      <c r="CJ292" s="27" t="inlineStr">
        <is>
          <t xml:space="preserve">set/26</t>
        </is>
      </c>
    </row>
    <row r="293">
      <c r="A293" s="28">
        <v>46212</v>
      </c>
      <c r="B293" s="29">
        <v>1375.68</v>
      </c>
      <c r="C293" s="29">
        <v>3379.25</v>
      </c>
      <c r="D293" s="29">
        <v>7.19</v>
      </c>
      <c r="E293" s="29">
        <v>5.32</v>
      </c>
      <c r="F293" s="29">
        <v>1762.83</v>
      </c>
      <c r="G293" s="29">
        <v>1109.55</v>
      </c>
      <c r="H293" s="29">
        <v>390.0</v>
      </c>
      <c r="I293" s="27" t="inlineStr">
        <is>
          <t xml:space="preserve">dez/26</t>
        </is>
      </c>
      <c r="J293" s="29">
        <v>172742.12</v>
      </c>
      <c r="K293" s="30">
        <v>5142.5</v>
      </c>
      <c r="L293" s="27" t="inlineStr">
        <is>
          <t xml:space="preserve">ago/26</t>
        </is>
      </c>
      <c r="M293" s="29">
        <v>336.2</v>
      </c>
      <c r="N293" s="27" t="inlineStr">
        <is>
          <t xml:space="preserve">ago/26</t>
        </is>
      </c>
      <c r="O293" s="29">
        <v>67.45</v>
      </c>
      <c r="P293" s="27" t="inlineStr">
        <is>
          <t xml:space="preserve">set/26</t>
        </is>
      </c>
      <c r="Q293" s="29">
        <v>26.04</v>
      </c>
      <c r="R293" s="27" t="inlineStr">
        <is>
          <t xml:space="preserve">nov/26</t>
        </is>
      </c>
      <c r="S293" s="30">
        <v>11.7775</v>
      </c>
      <c r="T293" s="27" t="inlineStr">
        <is>
          <t xml:space="preserve">ago/26</t>
        </is>
      </c>
      <c r="U293" s="30">
        <v>4.315</v>
      </c>
      <c r="V293" s="27" t="inlineStr">
        <is>
          <t xml:space="preserve">set/26</t>
        </is>
      </c>
      <c r="W293" s="29">
        <v>317.4</v>
      </c>
      <c r="X293" s="27" t="inlineStr">
        <is>
          <t xml:space="preserve">ago/26</t>
        </is>
      </c>
      <c r="Y293" s="30">
        <v>0.6992</v>
      </c>
      <c r="Z293" s="27" t="inlineStr">
        <is>
          <t xml:space="preserve">ago/26</t>
        </is>
      </c>
      <c r="AA293" s="29">
        <v>409.01</v>
      </c>
      <c r="AB293" s="29">
        <v>92.21</v>
      </c>
      <c r="AC293" s="29">
        <v>327.06</v>
      </c>
      <c r="AD293" s="29">
        <v>330.78</v>
      </c>
      <c r="AE293" s="29">
        <v>313.99</v>
      </c>
      <c r="AG293" s="29">
        <v>313.8</v>
      </c>
      <c r="AH293" s="29">
        <v>313.77</v>
      </c>
      <c r="AI293" s="29">
        <v>316.9</v>
      </c>
      <c r="AJ293" s="29">
        <v>312.24</v>
      </c>
      <c r="AK293" s="29">
        <v>308.49</v>
      </c>
      <c r="AL293" s="29">
        <v>5.88</v>
      </c>
      <c r="AM293" s="29">
        <v>4.86</v>
      </c>
      <c r="AN293" s="29">
        <v>5.0</v>
      </c>
      <c r="AO293" s="29">
        <v>4.98</v>
      </c>
      <c r="AP293" s="29">
        <v>7.19</v>
      </c>
      <c r="AQ293" s="29">
        <v>133.22</v>
      </c>
      <c r="AR293" s="29">
        <v>147.46</v>
      </c>
      <c r="BH293" s="29">
        <v>1312.48</v>
      </c>
      <c r="BI293" s="29">
        <v>61.89</v>
      </c>
      <c r="BK293" s="29">
        <v>409.67</v>
      </c>
      <c r="BL293" s="29">
        <v>385.52</v>
      </c>
      <c r="BM293" s="29">
        <v>391.5</v>
      </c>
      <c r="BO293" s="29">
        <v>226.22</v>
      </c>
      <c r="BP293" s="29">
        <v>246.78</v>
      </c>
      <c r="BQ293" s="29">
        <v>208.98</v>
      </c>
      <c r="BR293" s="29">
        <v>198.29</v>
      </c>
      <c r="BX293" s="29">
        <v>46.0</v>
      </c>
      <c r="BY293" s="29">
        <v>50.0</v>
      </c>
      <c r="BZ293" s="29">
        <v>43.5</v>
      </c>
      <c r="CD293" s="29">
        <v>31.5</v>
      </c>
      <c r="CE293" s="29">
        <v>33.21</v>
      </c>
      <c r="CI293" s="29">
        <v>6455.0</v>
      </c>
      <c r="CJ293" s="27" t="inlineStr">
        <is>
          <t xml:space="preserve">set/26</t>
        </is>
      </c>
    </row>
    <row r="294">
      <c r="A294" s="28">
        <v>46213</v>
      </c>
      <c r="B294" s="29">
        <v>1375.69</v>
      </c>
      <c r="C294" s="29">
        <v>3383.71</v>
      </c>
      <c r="D294" s="29">
        <v>7.26</v>
      </c>
      <c r="E294" s="29">
        <v>5.28</v>
      </c>
      <c r="F294" s="29">
        <v>1722.48</v>
      </c>
      <c r="G294" s="29">
        <v>1087.74</v>
      </c>
      <c r="H294" s="29">
        <v>383.2</v>
      </c>
      <c r="I294" s="27" t="inlineStr">
        <is>
          <t xml:space="preserve">dez/26</t>
        </is>
      </c>
      <c r="J294" s="29">
        <v>177866.37</v>
      </c>
      <c r="K294" s="30">
        <v>5137.0</v>
      </c>
      <c r="L294" s="27" t="inlineStr">
        <is>
          <t xml:space="preserve">ago/26</t>
        </is>
      </c>
      <c r="M294" s="29">
        <v>336.15</v>
      </c>
      <c r="N294" s="27" t="inlineStr">
        <is>
          <t xml:space="preserve">ago/26</t>
        </is>
      </c>
      <c r="O294" s="29">
        <v>67.25</v>
      </c>
      <c r="P294" s="27" t="inlineStr">
        <is>
          <t xml:space="preserve">set/26</t>
        </is>
      </c>
      <c r="Q294" s="29">
        <v>26.22</v>
      </c>
      <c r="R294" s="27" t="inlineStr">
        <is>
          <t xml:space="preserve">nov/26</t>
        </is>
      </c>
      <c r="S294" s="30">
        <v>11.9175</v>
      </c>
      <c r="T294" s="27" t="inlineStr">
        <is>
          <t xml:space="preserve">ago/26</t>
        </is>
      </c>
      <c r="U294" s="30">
        <v>4.395</v>
      </c>
      <c r="V294" s="27" t="inlineStr">
        <is>
          <t xml:space="preserve">set/26</t>
        </is>
      </c>
      <c r="W294" s="29">
        <v>320.4</v>
      </c>
      <c r="X294" s="27" t="inlineStr">
        <is>
          <t xml:space="preserve">ago/26</t>
        </is>
      </c>
      <c r="Y294" s="30">
        <v>0.7046</v>
      </c>
      <c r="Z294" s="27" t="inlineStr">
        <is>
          <t xml:space="preserve">ago/26</t>
        </is>
      </c>
      <c r="AA294" s="29">
        <v>410.63</v>
      </c>
      <c r="AB294" s="29">
        <v>91.21</v>
      </c>
      <c r="AC294" s="29">
        <v>326.3</v>
      </c>
      <c r="AD294" s="29">
        <v>332.42</v>
      </c>
      <c r="AE294" s="29">
        <v>312.28</v>
      </c>
      <c r="AG294" s="29">
        <v>313.71</v>
      </c>
      <c r="AH294" s="29">
        <v>313.63</v>
      </c>
      <c r="AI294" s="29">
        <v>316.67</v>
      </c>
      <c r="AJ294" s="29">
        <v>312.36</v>
      </c>
      <c r="AK294" s="29">
        <v>308.92</v>
      </c>
      <c r="AL294" s="29">
        <v>5.88</v>
      </c>
      <c r="AM294" s="29">
        <v>4.86</v>
      </c>
      <c r="AN294" s="29">
        <v>5.0</v>
      </c>
      <c r="AO294" s="29">
        <v>4.98</v>
      </c>
      <c r="AP294" s="29">
        <v>7.26</v>
      </c>
      <c r="AQ294" s="29">
        <v>128.34</v>
      </c>
      <c r="AR294" s="29">
        <v>140.59</v>
      </c>
      <c r="BC294" s="29">
        <v>9.85</v>
      </c>
      <c r="BD294" s="29">
        <v>9.5</v>
      </c>
      <c r="BE294" s="29">
        <v>10.37</v>
      </c>
      <c r="BF294" s="29">
        <v>8.71</v>
      </c>
      <c r="BG294" s="29">
        <v>10.09</v>
      </c>
      <c r="BH294" s="29">
        <v>1311.07</v>
      </c>
      <c r="BI294" s="29">
        <v>62.1</v>
      </c>
      <c r="BK294" s="29">
        <v>411.49</v>
      </c>
      <c r="BL294" s="29">
        <v>386.34</v>
      </c>
      <c r="BM294" s="29">
        <v>386.0</v>
      </c>
      <c r="BO294" s="29">
        <v>227.22</v>
      </c>
      <c r="BP294" s="29">
        <v>246.78</v>
      </c>
      <c r="BQ294" s="29">
        <v>209.11</v>
      </c>
      <c r="BR294" s="29">
        <v>198.29</v>
      </c>
      <c r="BS294" s="30">
        <v>2.18</v>
      </c>
      <c r="BT294" s="30">
        <v>2.4662</v>
      </c>
      <c r="BU294" s="29">
        <v>490.59</v>
      </c>
      <c r="BV294" s="29">
        <v>386.88</v>
      </c>
      <c r="BW294" s="29">
        <v>484.79</v>
      </c>
      <c r="BX294" s="29">
        <v>46.0</v>
      </c>
      <c r="BY294" s="29">
        <v>50.0</v>
      </c>
      <c r="BZ294" s="29">
        <v>43.5</v>
      </c>
      <c r="CA294" s="29">
        <v>43.2</v>
      </c>
      <c r="CD294" s="29">
        <v>31.8</v>
      </c>
      <c r="CE294" s="29">
        <v>33.34</v>
      </c>
      <c r="CI294" s="29">
        <v>6065.0</v>
      </c>
      <c r="CJ294" s="27" t="inlineStr">
        <is>
          <t xml:space="preserve">set/26</t>
        </is>
      </c>
    </row>
    <row r="295">
      <c r="A295" s="28">
        <v>46216</v>
      </c>
      <c r="B295" s="29">
        <v>1393.52</v>
      </c>
      <c r="C295" s="29">
        <v>3387.36</v>
      </c>
      <c r="D295" s="29">
        <v>7.27</v>
      </c>
      <c r="E295" s="29">
        <v>5.23</v>
      </c>
      <c r="F295" s="29">
        <v>1728.97</v>
      </c>
      <c r="G295" s="29">
        <v>1096.83</v>
      </c>
      <c r="H295" s="29">
        <v>378.0</v>
      </c>
      <c r="I295" s="27" t="inlineStr">
        <is>
          <t xml:space="preserve">dez/26</t>
        </is>
      </c>
      <c r="J295" s="29">
        <v>175739.08</v>
      </c>
      <c r="K295" s="30">
        <v>5159.5</v>
      </c>
      <c r="L295" s="27" t="inlineStr">
        <is>
          <t xml:space="preserve">ago/26</t>
        </is>
      </c>
      <c r="M295" s="29">
        <v>336.45</v>
      </c>
      <c r="N295" s="27" t="inlineStr">
        <is>
          <t xml:space="preserve">ago/26</t>
        </is>
      </c>
      <c r="O295" s="29">
        <v>67.77</v>
      </c>
      <c r="P295" s="27" t="inlineStr">
        <is>
          <t xml:space="preserve">set/26</t>
        </is>
      </c>
      <c r="Q295" s="29">
        <v>26.34</v>
      </c>
      <c r="R295" s="27" t="inlineStr">
        <is>
          <t xml:space="preserve">nov/26</t>
        </is>
      </c>
      <c r="S295" s="30">
        <v>11.9675</v>
      </c>
      <c r="T295" s="27" t="inlineStr">
        <is>
          <t xml:space="preserve">ago/26</t>
        </is>
      </c>
      <c r="U295" s="30">
        <v>4.41</v>
      </c>
      <c r="V295" s="27" t="inlineStr">
        <is>
          <t xml:space="preserve">set/26</t>
        </is>
      </c>
      <c r="W295" s="29">
        <v>317.2</v>
      </c>
      <c r="X295" s="27" t="inlineStr">
        <is>
          <t xml:space="preserve">ago/26</t>
        </is>
      </c>
      <c r="Y295" s="30">
        <v>0.7282</v>
      </c>
      <c r="Z295" s="27" t="inlineStr">
        <is>
          <t xml:space="preserve">ago/26</t>
        </is>
      </c>
      <c r="AA295" s="29">
        <v>404.25</v>
      </c>
      <c r="AB295" s="29">
        <v>90.72</v>
      </c>
      <c r="AL295" s="29">
        <v>5.84</v>
      </c>
      <c r="AM295" s="29">
        <v>4.86</v>
      </c>
      <c r="AN295" s="29">
        <v>5.0</v>
      </c>
      <c r="AO295" s="29">
        <v>4.95</v>
      </c>
      <c r="AP295" s="29">
        <v>7.29</v>
      </c>
      <c r="AQ295" s="29">
        <v>128.37</v>
      </c>
      <c r="AR295" s="29">
        <v>140.54</v>
      </c>
      <c r="BH295" s="29">
        <v>1315.29</v>
      </c>
      <c r="BI295" s="29">
        <v>61.97</v>
      </c>
      <c r="BK295" s="29">
        <v>410.58</v>
      </c>
      <c r="BL295" s="29">
        <v>378.18</v>
      </c>
      <c r="BM295" s="29">
        <v>384.62</v>
      </c>
      <c r="BO295" s="29">
        <v>227.6</v>
      </c>
      <c r="BP295" s="29">
        <v>248.67</v>
      </c>
      <c r="BQ295" s="29">
        <v>208.8</v>
      </c>
      <c r="BR295" s="29">
        <v>202.5</v>
      </c>
      <c r="BX295" s="29">
        <v>46.0</v>
      </c>
      <c r="BY295" s="29">
        <v>50.0</v>
      </c>
      <c r="BZ295" s="29">
        <v>43.5</v>
      </c>
      <c r="CA295" s="29">
        <v>43.2</v>
      </c>
      <c r="CD295" s="29">
        <v>31.8</v>
      </c>
      <c r="CE295" s="29">
        <v>33.34</v>
      </c>
      <c r="CI295" s="29">
        <v>5842.0</v>
      </c>
      <c r="CJ295" s="27" t="inlineStr">
        <is>
          <t xml:space="preserve">set/26</t>
        </is>
      </c>
    </row>
    <row r="296">
      <c r="A296" s="28">
        <v>46217</v>
      </c>
      <c r="B296" s="29">
        <v>1393.53</v>
      </c>
      <c r="C296" s="29">
        <v>3381.88</v>
      </c>
      <c r="D296" s="29">
        <v>7.27</v>
      </c>
      <c r="E296" s="29">
        <v>5.26</v>
      </c>
      <c r="F296" s="29">
        <v>1755.35</v>
      </c>
      <c r="G296" s="29">
        <v>1105.01</v>
      </c>
      <c r="H296" s="29">
        <v>372.7</v>
      </c>
      <c r="I296" s="27" t="inlineStr">
        <is>
          <t xml:space="preserve">dez/26</t>
        </is>
      </c>
      <c r="J296" s="29">
        <v>176641.1</v>
      </c>
      <c r="K296" s="30">
        <v>5095.0</v>
      </c>
      <c r="L296" s="27" t="inlineStr">
        <is>
          <t xml:space="preserve">ago/26</t>
        </is>
      </c>
      <c r="M296" s="29">
        <v>339.55</v>
      </c>
      <c r="N296" s="27" t="inlineStr">
        <is>
          <t xml:space="preserve">ago/26</t>
        </is>
      </c>
      <c r="O296" s="29">
        <v>67.42</v>
      </c>
      <c r="P296" s="27" t="inlineStr">
        <is>
          <t xml:space="preserve">set/26</t>
        </is>
      </c>
      <c r="Q296" s="29">
        <v>26.26</v>
      </c>
      <c r="R296" s="27" t="inlineStr">
        <is>
          <t xml:space="preserve">nov/26</t>
        </is>
      </c>
      <c r="S296" s="30">
        <v>11.9275</v>
      </c>
      <c r="T296" s="27" t="inlineStr">
        <is>
          <t xml:space="preserve">ago/26</t>
        </is>
      </c>
      <c r="U296" s="30">
        <v>4.385</v>
      </c>
      <c r="V296" s="27" t="inlineStr">
        <is>
          <t xml:space="preserve">set/26</t>
        </is>
      </c>
      <c r="W296" s="29">
        <v>317.4</v>
      </c>
      <c r="X296" s="27" t="inlineStr">
        <is>
          <t xml:space="preserve">ago/26</t>
        </is>
      </c>
      <c r="Y296" s="30">
        <v>0.724</v>
      </c>
      <c r="Z296" s="27" t="inlineStr">
        <is>
          <t xml:space="preserve">ago/26</t>
        </is>
      </c>
      <c r="AA296" s="29">
        <v>405.28</v>
      </c>
      <c r="AB296" s="29">
        <v>92.11</v>
      </c>
      <c r="AC296" s="29">
        <v>328.67</v>
      </c>
      <c r="AD296" s="29">
        <v>332.83</v>
      </c>
      <c r="AE296" s="29">
        <v>313.84</v>
      </c>
      <c r="AG296" s="29">
        <v>315.05</v>
      </c>
      <c r="AH296" s="29">
        <v>313.93</v>
      </c>
      <c r="AI296" s="29">
        <v>316.98</v>
      </c>
      <c r="AJ296" s="29">
        <v>311.0</v>
      </c>
      <c r="AK296" s="29">
        <v>309.41</v>
      </c>
      <c r="AL296" s="29">
        <v>5.82</v>
      </c>
      <c r="AM296" s="29">
        <v>4.85</v>
      </c>
      <c r="AN296" s="29">
        <v>5.0</v>
      </c>
      <c r="AO296" s="29">
        <v>4.95</v>
      </c>
      <c r="AP296" s="29">
        <v>7.29</v>
      </c>
      <c r="AQ296" s="29">
        <v>128.11</v>
      </c>
      <c r="AR296" s="29">
        <v>140.14</v>
      </c>
      <c r="BH296" s="29">
        <v>1312.38</v>
      </c>
      <c r="BI296" s="29">
        <v>63.3</v>
      </c>
      <c r="BK296" s="29">
        <v>402.62</v>
      </c>
      <c r="BL296" s="29">
        <v>369.39</v>
      </c>
      <c r="BM296" s="29">
        <v>370.17</v>
      </c>
      <c r="BO296" s="29">
        <v>222.87</v>
      </c>
      <c r="BP296" s="29">
        <v>248.67</v>
      </c>
      <c r="BQ296" s="29">
        <v>209.26</v>
      </c>
      <c r="BR296" s="29">
        <v>207.14</v>
      </c>
      <c r="BX296" s="29">
        <v>44.0</v>
      </c>
      <c r="BY296" s="29">
        <v>50.0</v>
      </c>
      <c r="BZ296" s="29">
        <v>43.5</v>
      </c>
      <c r="CA296" s="29">
        <v>43.2</v>
      </c>
      <c r="CD296" s="29">
        <v>31.8</v>
      </c>
      <c r="CE296" s="29">
        <v>34.05</v>
      </c>
      <c r="CI296" s="29">
        <v>5806.0</v>
      </c>
      <c r="CJ296" s="27" t="inlineStr">
        <is>
          <t xml:space="preserve">set/26</t>
        </is>
      </c>
    </row>
    <row r="297">
      <c r="A297" s="28">
        <v>46218</v>
      </c>
      <c r="B297" s="29">
        <v>1392.65</v>
      </c>
      <c r="C297" s="29">
        <v>3379.39</v>
      </c>
      <c r="D297" s="29">
        <v>7.32</v>
      </c>
      <c r="E297" s="29">
        <v>5.2</v>
      </c>
      <c r="F297" s="29">
        <v>1738.26</v>
      </c>
      <c r="G297" s="29">
        <v>1107.68</v>
      </c>
      <c r="H297" s="29">
        <v>373.7</v>
      </c>
      <c r="I297" s="27" t="inlineStr">
        <is>
          <t xml:space="preserve">dez/26</t>
        </is>
      </c>
      <c r="J297" s="29">
        <v>176010.9</v>
      </c>
      <c r="K297" s="30">
        <v>5099.0</v>
      </c>
      <c r="L297" s="27" t="inlineStr">
        <is>
          <t xml:space="preserve">ago/26</t>
        </is>
      </c>
      <c r="M297" s="29">
        <v>344.9</v>
      </c>
      <c r="N297" s="27" t="inlineStr">
        <is>
          <t xml:space="preserve">ago/26</t>
        </is>
      </c>
      <c r="O297" s="29">
        <v>68.17</v>
      </c>
      <c r="P297" s="27" t="inlineStr">
        <is>
          <t xml:space="preserve">set/26</t>
        </is>
      </c>
      <c r="Q297" s="29">
        <v>26.45</v>
      </c>
      <c r="R297" s="27" t="inlineStr">
        <is>
          <t xml:space="preserve">nov/26</t>
        </is>
      </c>
      <c r="S297" s="30">
        <v>12.0225</v>
      </c>
      <c r="T297" s="27" t="inlineStr">
        <is>
          <t xml:space="preserve">ago/26</t>
        </is>
      </c>
      <c r="U297" s="30">
        <v>4.475</v>
      </c>
      <c r="V297" s="27" t="inlineStr">
        <is>
          <t xml:space="preserve">set/26</t>
        </is>
      </c>
      <c r="W297" s="29">
        <v>318.9</v>
      </c>
      <c r="X297" s="27" t="inlineStr">
        <is>
          <t xml:space="preserve">ago/26</t>
        </is>
      </c>
      <c r="Y297" s="30">
        <v>0.7292</v>
      </c>
      <c r="Z297" s="27" t="inlineStr">
        <is>
          <t xml:space="preserve">ago/26</t>
        </is>
      </c>
      <c r="AA297" s="29">
        <v>409.17</v>
      </c>
      <c r="AB297" s="29">
        <v>91.58</v>
      </c>
      <c r="AC297" s="29">
        <v>329.51</v>
      </c>
      <c r="AD297" s="29">
        <v>332.91</v>
      </c>
      <c r="AE297" s="29">
        <v>312.62</v>
      </c>
      <c r="AG297" s="29">
        <v>314.97</v>
      </c>
      <c r="AH297" s="29">
        <v>313.93</v>
      </c>
      <c r="AI297" s="29">
        <v>321.65</v>
      </c>
      <c r="AJ297" s="29">
        <v>311.11</v>
      </c>
      <c r="AK297" s="29">
        <v>306.6</v>
      </c>
      <c r="AL297" s="29">
        <v>5.76</v>
      </c>
      <c r="AM297" s="29">
        <v>4.85</v>
      </c>
      <c r="AN297" s="29">
        <v>5.0</v>
      </c>
      <c r="AO297" s="29">
        <v>4.96</v>
      </c>
      <c r="AP297" s="29">
        <v>7.34</v>
      </c>
      <c r="AQ297" s="29">
        <v>128.11</v>
      </c>
      <c r="AR297" s="29">
        <v>140.14</v>
      </c>
      <c r="BH297" s="29">
        <v>1312.38</v>
      </c>
      <c r="BI297" s="29">
        <v>63.91</v>
      </c>
      <c r="BK297" s="29">
        <v>387.58</v>
      </c>
      <c r="BL297" s="29">
        <v>354.82</v>
      </c>
      <c r="BM297" s="29">
        <v>358.14</v>
      </c>
      <c r="BO297" s="29">
        <v>222.49</v>
      </c>
      <c r="BP297" s="29">
        <v>253.92</v>
      </c>
      <c r="BQ297" s="29">
        <v>209.15</v>
      </c>
      <c r="BR297" s="29">
        <v>207.14</v>
      </c>
      <c r="BX297" s="29">
        <v>45.0</v>
      </c>
      <c r="BY297" s="29">
        <v>50.0</v>
      </c>
      <c r="BZ297" s="29">
        <v>43.5</v>
      </c>
      <c r="CA297" s="29">
        <v>43.2</v>
      </c>
      <c r="CD297" s="29">
        <v>31.41</v>
      </c>
      <c r="CE297" s="29">
        <v>32.15</v>
      </c>
      <c r="CI297" s="29">
        <v>5883.0</v>
      </c>
      <c r="CJ297" s="27" t="inlineStr">
        <is>
          <t xml:space="preserve">set/26</t>
        </is>
      </c>
    </row>
    <row r="298">
      <c r="A298" s="28">
        <v>46219</v>
      </c>
      <c r="B298" s="29">
        <v>1403.33</v>
      </c>
      <c r="C298" s="29">
        <v>3375.85</v>
      </c>
      <c r="D298" s="29">
        <v>7.32</v>
      </c>
      <c r="E298" s="29">
        <v>5.2</v>
      </c>
      <c r="F298" s="29">
        <v>1706.75</v>
      </c>
      <c r="G298" s="29">
        <v>1092.56</v>
      </c>
      <c r="H298" s="29">
        <v>364.05</v>
      </c>
      <c r="I298" s="27" t="inlineStr">
        <is>
          <t xml:space="preserve">dez/26</t>
        </is>
      </c>
      <c r="J298" s="29">
        <v>173825.27</v>
      </c>
      <c r="K298" s="30">
        <v>5128.0</v>
      </c>
      <c r="L298" s="27" t="inlineStr">
        <is>
          <t xml:space="preserve">ago/26</t>
        </is>
      </c>
      <c r="M298" s="29">
        <v>346.0</v>
      </c>
      <c r="N298" s="27" t="inlineStr">
        <is>
          <t xml:space="preserve">ago/26</t>
        </is>
      </c>
      <c r="O298" s="29">
        <v>68.43</v>
      </c>
      <c r="P298" s="27" t="inlineStr">
        <is>
          <t xml:space="preserve">set/26</t>
        </is>
      </c>
      <c r="Q298" s="29">
        <v>26.34</v>
      </c>
      <c r="R298" s="27" t="inlineStr">
        <is>
          <t xml:space="preserve">nov/26</t>
        </is>
      </c>
      <c r="S298" s="30">
        <v>11.95</v>
      </c>
      <c r="T298" s="27" t="inlineStr">
        <is>
          <t xml:space="preserve">ago/26</t>
        </is>
      </c>
      <c r="U298" s="30">
        <v>4.415</v>
      </c>
      <c r="V298" s="27" t="inlineStr">
        <is>
          <t xml:space="preserve">set/26</t>
        </is>
      </c>
      <c r="W298" s="29">
        <v>322.9</v>
      </c>
      <c r="X298" s="27" t="inlineStr">
        <is>
          <t xml:space="preserve">ago/26</t>
        </is>
      </c>
      <c r="Y298" s="30">
        <v>0.7243</v>
      </c>
      <c r="Z298" s="27" t="inlineStr">
        <is>
          <t xml:space="preserve">ago/26</t>
        </is>
      </c>
      <c r="AA298" s="29">
        <v>410.99</v>
      </c>
      <c r="AB298" s="29">
        <v>91.15</v>
      </c>
      <c r="AC298" s="29">
        <v>331.16</v>
      </c>
      <c r="AD298" s="29">
        <v>333.86</v>
      </c>
      <c r="AE298" s="29">
        <v>313.82</v>
      </c>
      <c r="AG298" s="29">
        <v>314.83</v>
      </c>
      <c r="AH298" s="29">
        <v>313.74</v>
      </c>
      <c r="AI298" s="29">
        <v>321.89</v>
      </c>
      <c r="AJ298" s="29">
        <v>311.31</v>
      </c>
      <c r="AK298" s="29">
        <v>306.6</v>
      </c>
      <c r="AL298" s="29">
        <v>5.76</v>
      </c>
      <c r="AM298" s="29">
        <v>4.85</v>
      </c>
      <c r="AN298" s="29">
        <v>5.0</v>
      </c>
      <c r="AO298" s="29">
        <v>4.98</v>
      </c>
      <c r="AP298" s="29">
        <v>7.34</v>
      </c>
      <c r="AQ298" s="29">
        <v>128.05</v>
      </c>
      <c r="AR298" s="29">
        <v>141.08</v>
      </c>
      <c r="BH298" s="29">
        <v>1307.53</v>
      </c>
      <c r="BI298" s="29">
        <v>64.3</v>
      </c>
      <c r="BK298" s="29">
        <v>373.47</v>
      </c>
      <c r="BL298" s="29">
        <v>357.55</v>
      </c>
      <c r="BM298" s="29">
        <v>350.25</v>
      </c>
      <c r="BO298" s="29">
        <v>222.49</v>
      </c>
      <c r="BP298" s="29">
        <v>253.92</v>
      </c>
      <c r="BQ298" s="29">
        <v>210.6</v>
      </c>
      <c r="BR298" s="29">
        <v>205.0</v>
      </c>
      <c r="BX298" s="29">
        <v>45.0</v>
      </c>
      <c r="BY298" s="29">
        <v>50.0</v>
      </c>
      <c r="BZ298" s="29">
        <v>43.83</v>
      </c>
      <c r="CA298" s="29">
        <v>42.8</v>
      </c>
      <c r="CD298" s="29">
        <v>31.41</v>
      </c>
      <c r="CE298" s="29">
        <v>33.42</v>
      </c>
      <c r="CI298" s="29">
        <v>5362.0</v>
      </c>
      <c r="CJ298" s="27" t="inlineStr">
        <is>
          <t xml:space="preserve">set/26</t>
        </is>
      </c>
    </row>
    <row r="299">
      <c r="A299" s="28">
        <v>46220</v>
      </c>
      <c r="B299" s="29">
        <v>1399.86</v>
      </c>
      <c r="C299" s="29">
        <v>3384.66</v>
      </c>
      <c r="D299" s="29">
        <v>7.27</v>
      </c>
      <c r="E299" s="29">
        <v>5.23</v>
      </c>
      <c r="F299" s="29">
        <v>1712.23</v>
      </c>
      <c r="G299" s="29">
        <v>1110.8</v>
      </c>
      <c r="H299" s="29">
        <v>370.7</v>
      </c>
      <c r="I299" s="27" t="inlineStr">
        <is>
          <t xml:space="preserve">dez/26</t>
        </is>
      </c>
      <c r="J299" s="29">
        <v>173714.08</v>
      </c>
      <c r="K299" s="30">
        <v>5130.0</v>
      </c>
      <c r="L299" s="27" t="inlineStr">
        <is>
          <t xml:space="preserve">ago/26</t>
        </is>
      </c>
      <c r="M299" s="29">
        <v>346.05</v>
      </c>
      <c r="N299" s="27" t="inlineStr">
        <is>
          <t xml:space="preserve">ago/26</t>
        </is>
      </c>
      <c r="O299" s="29">
        <v>68.88</v>
      </c>
      <c r="P299" s="27" t="inlineStr">
        <is>
          <t xml:space="preserve">set/26</t>
        </is>
      </c>
      <c r="Q299" s="29">
        <v>26.48</v>
      </c>
      <c r="R299" s="27" t="inlineStr">
        <is>
          <t xml:space="preserve">nov/26</t>
        </is>
      </c>
      <c r="S299" s="30">
        <v>12.045</v>
      </c>
      <c r="T299" s="27" t="inlineStr">
        <is>
          <t xml:space="preserve">ago/26</t>
        </is>
      </c>
      <c r="U299" s="30">
        <v>4.4475</v>
      </c>
      <c r="V299" s="27" t="inlineStr">
        <is>
          <t xml:space="preserve">set/26</t>
        </is>
      </c>
      <c r="W299" s="29">
        <v>320.2</v>
      </c>
      <c r="X299" s="27" t="inlineStr">
        <is>
          <t xml:space="preserve">ago/26</t>
        </is>
      </c>
      <c r="Y299" s="30">
        <v>0.7481</v>
      </c>
      <c r="Z299" s="27" t="inlineStr">
        <is>
          <t xml:space="preserve">ago/26</t>
        </is>
      </c>
      <c r="AA299" s="29">
        <v>411.53</v>
      </c>
      <c r="AB299" s="29">
        <v>93.56</v>
      </c>
      <c r="AC299" s="29">
        <v>332.74</v>
      </c>
      <c r="AD299" s="29">
        <v>333.92</v>
      </c>
      <c r="AE299" s="29">
        <v>317.32</v>
      </c>
      <c r="AG299" s="29">
        <v>314.27</v>
      </c>
      <c r="AH299" s="29">
        <v>314.54</v>
      </c>
      <c r="AI299" s="29">
        <v>319.74</v>
      </c>
      <c r="AJ299" s="29">
        <v>312.91</v>
      </c>
      <c r="AK299" s="29">
        <v>306.27</v>
      </c>
      <c r="AL299" s="29">
        <v>5.61</v>
      </c>
      <c r="AM299" s="29">
        <v>4.85</v>
      </c>
      <c r="AN299" s="29">
        <v>4.97</v>
      </c>
      <c r="AO299" s="29">
        <v>4.98</v>
      </c>
      <c r="AP299" s="29">
        <v>7.28</v>
      </c>
      <c r="AQ299" s="29">
        <v>128.37</v>
      </c>
      <c r="AR299" s="29">
        <v>141.66</v>
      </c>
      <c r="BC299" s="29">
        <v>9.8</v>
      </c>
      <c r="BD299" s="29">
        <v>9.48</v>
      </c>
      <c r="BE299" s="29">
        <v>10.31</v>
      </c>
      <c r="BF299" s="29">
        <v>8.7</v>
      </c>
      <c r="BG299" s="29">
        <v>10.04</v>
      </c>
      <c r="BH299" s="29">
        <v>1307.53</v>
      </c>
      <c r="BI299" s="29">
        <v>64.25</v>
      </c>
      <c r="BK299" s="29">
        <v>361.26</v>
      </c>
      <c r="BL299" s="29">
        <v>327.69</v>
      </c>
      <c r="BM299" s="29">
        <v>336.35</v>
      </c>
      <c r="BO299" s="29">
        <v>221.8</v>
      </c>
      <c r="BP299" s="29">
        <v>249.13</v>
      </c>
      <c r="BQ299" s="29">
        <v>210.14</v>
      </c>
      <c r="BR299" s="29">
        <v>206.67</v>
      </c>
      <c r="BS299" s="30">
        <v>2.1336</v>
      </c>
      <c r="BT299" s="30">
        <v>2.4421</v>
      </c>
      <c r="BU299" s="29">
        <v>496.24</v>
      </c>
      <c r="BV299" s="29">
        <v>388.95</v>
      </c>
      <c r="BW299" s="29">
        <v>485.98</v>
      </c>
      <c r="BX299" s="29">
        <v>45.0</v>
      </c>
      <c r="BY299" s="29">
        <v>50.0</v>
      </c>
      <c r="BZ299" s="29">
        <v>43.17</v>
      </c>
      <c r="CA299" s="29">
        <v>43.2</v>
      </c>
      <c r="CD299" s="29">
        <v>31.41</v>
      </c>
      <c r="CE299" s="29">
        <v>33.06</v>
      </c>
      <c r="CI299" s="29">
        <v>5533.0</v>
      </c>
      <c r="CJ299" s="27" t="inlineStr">
        <is>
          <t xml:space="preserve">set/26</t>
        </is>
      </c>
    </row>
    <row r="300">
      <c r="A300" s="28">
        <v>46223</v>
      </c>
      <c r="B300" s="29">
        <v>1395.99</v>
      </c>
      <c r="C300" s="29">
        <v>3384.74</v>
      </c>
      <c r="D300" s="29">
        <v>7.27</v>
      </c>
      <c r="E300" s="29">
        <v>5.23</v>
      </c>
      <c r="F300" s="29">
        <v>1753.28</v>
      </c>
      <c r="G300" s="29">
        <v>1104.56</v>
      </c>
      <c r="H300" s="29">
        <v>376.45</v>
      </c>
      <c r="I300" s="27" t="inlineStr">
        <is>
          <t xml:space="preserve">dez/26</t>
        </is>
      </c>
      <c r="J300" s="29">
        <v>173371.35</v>
      </c>
      <c r="K300" s="30">
        <v>5106.0</v>
      </c>
      <c r="L300" s="27" t="inlineStr">
        <is>
          <t xml:space="preserve">ago/26</t>
        </is>
      </c>
      <c r="M300" s="29">
        <v>349.55</v>
      </c>
      <c r="N300" s="27" t="inlineStr">
        <is>
          <t xml:space="preserve">ago/26</t>
        </is>
      </c>
      <c r="O300" s="29">
        <v>69.46</v>
      </c>
      <c r="P300" s="27" t="inlineStr">
        <is>
          <t xml:space="preserve">set/26</t>
        </is>
      </c>
      <c r="Q300" s="29">
        <v>27.0</v>
      </c>
      <c r="R300" s="27" t="inlineStr">
        <is>
          <t xml:space="preserve">nov/26</t>
        </is>
      </c>
      <c r="S300" s="30">
        <v>12.26</v>
      </c>
      <c r="T300" s="27" t="inlineStr">
        <is>
          <t xml:space="preserve">ago/26</t>
        </is>
      </c>
      <c r="U300" s="30">
        <v>4.495</v>
      </c>
      <c r="V300" s="27" t="inlineStr">
        <is>
          <t xml:space="preserve">set/26</t>
        </is>
      </c>
      <c r="W300" s="29">
        <v>323.5</v>
      </c>
      <c r="X300" s="27" t="inlineStr">
        <is>
          <t xml:space="preserve">ago/26</t>
        </is>
      </c>
      <c r="Y300" s="30">
        <v>0.7468</v>
      </c>
      <c r="Z300" s="27" t="inlineStr">
        <is>
          <t xml:space="preserve">ago/26</t>
        </is>
      </c>
      <c r="AA300" s="29">
        <v>408.15</v>
      </c>
      <c r="AB300" s="29">
        <v>92.23</v>
      </c>
      <c r="AL300" s="29">
        <v>5.52</v>
      </c>
      <c r="AM300" s="29">
        <v>4.83</v>
      </c>
      <c r="AN300" s="29">
        <v>4.94</v>
      </c>
      <c r="AO300" s="29">
        <v>4.97</v>
      </c>
      <c r="AP300" s="29">
        <v>7.29</v>
      </c>
      <c r="AQ300" s="29">
        <v>128.37</v>
      </c>
      <c r="AR300" s="29">
        <v>141.66</v>
      </c>
      <c r="BH300" s="29">
        <v>1304.61</v>
      </c>
      <c r="BI300" s="29">
        <v>64.26</v>
      </c>
      <c r="BK300" s="29">
        <v>339.75</v>
      </c>
      <c r="BL300" s="29">
        <v>311.31</v>
      </c>
      <c r="BM300" s="29">
        <v>313.36</v>
      </c>
      <c r="BO300" s="29">
        <v>219.13</v>
      </c>
      <c r="BP300" s="29">
        <v>243.17</v>
      </c>
      <c r="BQ300" s="29">
        <v>209.9</v>
      </c>
      <c r="BR300" s="29">
        <v>206.67</v>
      </c>
      <c r="BX300" s="29">
        <v>45.0</v>
      </c>
      <c r="BY300" s="29">
        <v>50.0</v>
      </c>
      <c r="BZ300" s="29">
        <v>43.83</v>
      </c>
      <c r="CA300" s="29">
        <v>43.2</v>
      </c>
      <c r="CD300" s="29">
        <v>31.41</v>
      </c>
      <c r="CE300" s="29">
        <v>33.06</v>
      </c>
      <c r="CI300" s="29">
        <v>5520.0</v>
      </c>
      <c r="CJ300" s="27" t="inlineStr">
        <is>
          <t xml:space="preserve">set/26</t>
        </is>
      </c>
    </row>
    <row r="301">
      <c r="A301" s="28">
        <v>46224</v>
      </c>
      <c r="B301" s="29">
        <v>1411.6</v>
      </c>
      <c r="C301" s="29">
        <v>3394.05</v>
      </c>
      <c r="D301" s="29">
        <v>7.27</v>
      </c>
      <c r="E301" s="29">
        <v>5.25</v>
      </c>
      <c r="F301" s="29">
        <v>1732.75</v>
      </c>
      <c r="G301" s="29">
        <v>1102.56</v>
      </c>
      <c r="H301" s="29">
        <v>375.55</v>
      </c>
      <c r="I301" s="27" t="inlineStr">
        <is>
          <t xml:space="preserve">dez/26</t>
        </is>
      </c>
      <c r="J301" s="29">
        <v>173325.65</v>
      </c>
      <c r="K301" s="30">
        <v>5088.0</v>
      </c>
      <c r="L301" s="27" t="inlineStr">
        <is>
          <t xml:space="preserve">ago/26</t>
        </is>
      </c>
      <c r="M301" s="29">
        <v>353.4</v>
      </c>
      <c r="N301" s="27" t="inlineStr">
        <is>
          <t xml:space="preserve">ago/26</t>
        </is>
      </c>
      <c r="O301" s="29">
        <v>69.12</v>
      </c>
      <c r="P301" s="27" t="inlineStr">
        <is>
          <t xml:space="preserve">set/26</t>
        </is>
      </c>
      <c r="Q301" s="29">
        <v>26.93</v>
      </c>
      <c r="R301" s="27" t="inlineStr">
        <is>
          <t xml:space="preserve">nov/26</t>
        </is>
      </c>
      <c r="S301" s="30">
        <v>12.195</v>
      </c>
      <c r="T301" s="27" t="inlineStr">
        <is>
          <t xml:space="preserve">ago/26</t>
        </is>
      </c>
      <c r="U301" s="30">
        <v>4.5275</v>
      </c>
      <c r="V301" s="27" t="inlineStr">
        <is>
          <t xml:space="preserve">set/26</t>
        </is>
      </c>
      <c r="W301" s="29">
        <v>326.7</v>
      </c>
      <c r="X301" s="27" t="inlineStr">
        <is>
          <t xml:space="preserve">ago/26</t>
        </is>
      </c>
      <c r="Y301" s="30">
        <v>0.743</v>
      </c>
      <c r="Z301" s="27" t="inlineStr">
        <is>
          <t xml:space="preserve">ago/26</t>
        </is>
      </c>
      <c r="AA301" s="29">
        <v>402.37</v>
      </c>
      <c r="AB301" s="29">
        <v>91.13</v>
      </c>
      <c r="AC301" s="29">
        <v>341.02</v>
      </c>
      <c r="AD301" s="29">
        <v>333.71</v>
      </c>
      <c r="AE301" s="29">
        <v>322.95</v>
      </c>
      <c r="AG301" s="29">
        <v>323.0</v>
      </c>
      <c r="AH301" s="29">
        <v>314.72</v>
      </c>
      <c r="AI301" s="29">
        <v>325.62</v>
      </c>
      <c r="AJ301" s="29">
        <v>314.44</v>
      </c>
      <c r="AK301" s="29">
        <v>306.57</v>
      </c>
      <c r="AL301" s="29">
        <v>5.47</v>
      </c>
      <c r="AM301" s="29">
        <v>4.81</v>
      </c>
      <c r="AN301" s="29">
        <v>4.91</v>
      </c>
      <c r="AO301" s="29">
        <v>4.96</v>
      </c>
      <c r="AP301" s="29">
        <v>7.29</v>
      </c>
      <c r="AQ301" s="29">
        <v>128.52</v>
      </c>
      <c r="AR301" s="29">
        <v>141.66</v>
      </c>
      <c r="BH301" s="29">
        <v>1304.86</v>
      </c>
      <c r="BI301" s="29">
        <v>65.59</v>
      </c>
      <c r="BK301" s="29">
        <v>322.02</v>
      </c>
      <c r="BL301" s="29">
        <v>295.53</v>
      </c>
      <c r="BM301" s="29">
        <v>294.04</v>
      </c>
      <c r="BN301" s="29">
        <v>271.87</v>
      </c>
      <c r="BO301" s="29">
        <v>219.13</v>
      </c>
      <c r="BP301" s="29">
        <v>243.17</v>
      </c>
      <c r="BQ301" s="29">
        <v>212.07</v>
      </c>
      <c r="BR301" s="29">
        <v>205.63</v>
      </c>
      <c r="BX301" s="29">
        <v>45.0</v>
      </c>
      <c r="BY301" s="29">
        <v>50.0</v>
      </c>
      <c r="BZ301" s="29">
        <v>43.83</v>
      </c>
      <c r="CA301" s="29">
        <v>43.2</v>
      </c>
      <c r="CD301" s="29">
        <v>31.41</v>
      </c>
      <c r="CE301" s="29">
        <v>34.92</v>
      </c>
      <c r="CI301" s="29">
        <v>5607.0</v>
      </c>
      <c r="CJ301" s="27" t="inlineStr">
        <is>
          <t xml:space="preserve">set/26</t>
        </is>
      </c>
    </row>
    <row r="302">
      <c r="A302" s="28">
        <v>46225</v>
      </c>
      <c r="B302" s="29">
        <v>1410.38</v>
      </c>
      <c r="C302" s="29">
        <v>3392.59</v>
      </c>
      <c r="D302" s="29">
        <v>7.17</v>
      </c>
      <c r="E302" s="29">
        <v>5.2</v>
      </c>
      <c r="F302" s="29">
        <v>1701.33</v>
      </c>
      <c r="G302" s="29">
        <v>1082.29</v>
      </c>
      <c r="H302" s="29">
        <v>370.5</v>
      </c>
      <c r="I302" s="27" t="inlineStr">
        <is>
          <t xml:space="preserve">dez/26</t>
        </is>
      </c>
      <c r="J302" s="29">
        <v>177547.57</v>
      </c>
      <c r="K302" s="30">
        <v>5070.0</v>
      </c>
      <c r="L302" s="27" t="inlineStr">
        <is>
          <t xml:space="preserve">ago/26</t>
        </is>
      </c>
      <c r="M302" s="29">
        <v>349.35</v>
      </c>
      <c r="N302" s="27" t="inlineStr">
        <is>
          <t xml:space="preserve">ago/26</t>
        </is>
      </c>
      <c r="O302" s="29">
        <v>70.11</v>
      </c>
      <c r="P302" s="27" t="inlineStr">
        <is>
          <t xml:space="preserve">set/26</t>
        </is>
      </c>
      <c r="Q302" s="29">
        <v>27.32</v>
      </c>
      <c r="R302" s="27" t="inlineStr">
        <is>
          <t xml:space="preserve">nov/26</t>
        </is>
      </c>
      <c r="S302" s="30">
        <v>12.33</v>
      </c>
      <c r="T302" s="27" t="inlineStr">
        <is>
          <t xml:space="preserve">ago/26</t>
        </is>
      </c>
      <c r="U302" s="30">
        <v>4.62</v>
      </c>
      <c r="V302" s="27" t="inlineStr">
        <is>
          <t xml:space="preserve">set/26</t>
        </is>
      </c>
      <c r="W302" s="29">
        <v>331.6</v>
      </c>
      <c r="X302" s="27" t="inlineStr">
        <is>
          <t xml:space="preserve">ago/26</t>
        </is>
      </c>
      <c r="Y302" s="30">
        <v>0.7548</v>
      </c>
      <c r="Z302" s="27" t="inlineStr">
        <is>
          <t xml:space="preserve">ago/26</t>
        </is>
      </c>
      <c r="AA302" s="29">
        <v>404.37</v>
      </c>
      <c r="AB302" s="29">
        <v>91.68</v>
      </c>
      <c r="AC302" s="29">
        <v>343.69</v>
      </c>
      <c r="AD302" s="29">
        <v>331.35</v>
      </c>
      <c r="AE302" s="29">
        <v>325.34</v>
      </c>
      <c r="AG302" s="29">
        <v>323.13</v>
      </c>
      <c r="AH302" s="29">
        <v>314.61</v>
      </c>
      <c r="AI302" s="29">
        <v>324.52</v>
      </c>
      <c r="AJ302" s="29">
        <v>315.29</v>
      </c>
      <c r="AK302" s="29">
        <v>306.6</v>
      </c>
      <c r="AL302" s="29">
        <v>5.44</v>
      </c>
      <c r="AM302" s="29">
        <v>4.74</v>
      </c>
      <c r="AN302" s="29">
        <v>4.85</v>
      </c>
      <c r="AO302" s="29">
        <v>4.93</v>
      </c>
      <c r="AP302" s="29">
        <v>7.19</v>
      </c>
      <c r="AQ302" s="29">
        <v>123.36</v>
      </c>
      <c r="AR302" s="29">
        <v>134.16</v>
      </c>
      <c r="BH302" s="29">
        <v>1306.98</v>
      </c>
      <c r="BI302" s="29">
        <v>66.07</v>
      </c>
      <c r="BK302" s="29">
        <v>322.03</v>
      </c>
      <c r="BL302" s="29">
        <v>289.72</v>
      </c>
      <c r="BM302" s="29">
        <v>291.23</v>
      </c>
      <c r="BN302" s="29">
        <v>274.12</v>
      </c>
      <c r="BO302" s="29">
        <v>217.31</v>
      </c>
      <c r="BP302" s="29">
        <v>237.17</v>
      </c>
      <c r="BQ302" s="29">
        <v>210.63</v>
      </c>
      <c r="BR302" s="29">
        <v>209.5</v>
      </c>
      <c r="BX302" s="29">
        <v>46.0</v>
      </c>
      <c r="BY302" s="29">
        <v>50.0</v>
      </c>
      <c r="BZ302" s="29">
        <v>43.83</v>
      </c>
      <c r="CA302" s="29">
        <v>44.0</v>
      </c>
      <c r="CD302" s="29">
        <v>31.18</v>
      </c>
      <c r="CE302" s="29">
        <v>33.74</v>
      </c>
      <c r="CF302" s="29">
        <v>306.44</v>
      </c>
      <c r="CG302" s="29">
        <v>1225.75</v>
      </c>
      <c r="CH302" s="29">
        <v>16.43</v>
      </c>
      <c r="CI302" s="29">
        <v>5328.0</v>
      </c>
      <c r="CJ302" s="27" t="inlineStr">
        <is>
          <t xml:space="preserve">set/26</t>
        </is>
      </c>
    </row>
    <row r="303">
      <c r="A303" s="28">
        <v>46226</v>
      </c>
      <c r="B303" s="29">
        <v>1394.69</v>
      </c>
      <c r="C303" s="29">
        <v>3395.4</v>
      </c>
      <c r="D303" s="29">
        <v>7.17</v>
      </c>
      <c r="E303" s="29">
        <v>5.2</v>
      </c>
      <c r="F303" s="29">
        <v>1692.59</v>
      </c>
      <c r="G303" s="29">
        <v>1066.24</v>
      </c>
      <c r="H303" s="29">
        <v>360.95</v>
      </c>
      <c r="I303" s="27" t="inlineStr">
        <is>
          <t xml:space="preserve">dez/26</t>
        </is>
      </c>
      <c r="J303" s="29">
        <v>176723.62</v>
      </c>
      <c r="K303" s="30">
        <v>5091.0</v>
      </c>
      <c r="L303" s="27" t="inlineStr">
        <is>
          <t xml:space="preserve">ago/26</t>
        </is>
      </c>
      <c r="M303" s="29">
        <v>346.3</v>
      </c>
      <c r="N303" s="27" t="inlineStr">
        <is>
          <t xml:space="preserve">ago/26</t>
        </is>
      </c>
      <c r="O303" s="29">
        <v>70.78</v>
      </c>
      <c r="P303" s="27" t="inlineStr">
        <is>
          <t xml:space="preserve">set/26</t>
        </is>
      </c>
      <c r="Q303" s="29">
        <v>27.4</v>
      </c>
      <c r="R303" s="27" t="inlineStr">
        <is>
          <t xml:space="preserve">nov/26</t>
        </is>
      </c>
      <c r="S303" s="30">
        <v>12.375</v>
      </c>
      <c r="T303" s="27" t="inlineStr">
        <is>
          <t xml:space="preserve">ago/26</t>
        </is>
      </c>
      <c r="U303" s="30">
        <v>4.64</v>
      </c>
      <c r="V303" s="27" t="inlineStr">
        <is>
          <t xml:space="preserve">set/26</t>
        </is>
      </c>
      <c r="W303" s="29">
        <v>329.9</v>
      </c>
      <c r="X303" s="27" t="inlineStr">
        <is>
          <t xml:space="preserve">ago/26</t>
        </is>
      </c>
      <c r="Y303" s="30">
        <v>0.7559</v>
      </c>
      <c r="Z303" s="27" t="inlineStr">
        <is>
          <t xml:space="preserve">ago/26</t>
        </is>
      </c>
      <c r="AA303" s="29">
        <v>408.25</v>
      </c>
      <c r="AB303" s="29">
        <v>91.49</v>
      </c>
      <c r="AC303" s="29">
        <v>343.36</v>
      </c>
      <c r="AD303" s="29">
        <v>332.01</v>
      </c>
      <c r="AE303" s="29">
        <v>325.71</v>
      </c>
      <c r="AG303" s="29">
        <v>322.89</v>
      </c>
      <c r="AH303" s="29">
        <v>314.97</v>
      </c>
      <c r="AI303" s="29">
        <v>327.2</v>
      </c>
      <c r="AJ303" s="29">
        <v>317.39</v>
      </c>
      <c r="AK303" s="29">
        <v>306.6</v>
      </c>
      <c r="AL303" s="29">
        <v>5.44</v>
      </c>
      <c r="AM303" s="29">
        <v>4.75</v>
      </c>
      <c r="AN303" s="29">
        <v>4.83</v>
      </c>
      <c r="AO303" s="29">
        <v>4.94</v>
      </c>
      <c r="AP303" s="29">
        <v>7.19</v>
      </c>
      <c r="AQ303" s="29">
        <v>122.76</v>
      </c>
      <c r="AR303" s="29">
        <v>133.52</v>
      </c>
      <c r="BH303" s="29">
        <v>1321.59</v>
      </c>
      <c r="BI303" s="29">
        <v>66.72</v>
      </c>
      <c r="BK303" s="29">
        <v>321.58</v>
      </c>
      <c r="BL303" s="29">
        <v>292.34</v>
      </c>
      <c r="BM303" s="29">
        <v>290.71</v>
      </c>
      <c r="BN303" s="29">
        <v>274.12</v>
      </c>
      <c r="BO303" s="29">
        <v>215.49</v>
      </c>
      <c r="BP303" s="29">
        <v>239.4</v>
      </c>
      <c r="BQ303" s="29">
        <v>209.59</v>
      </c>
      <c r="BR303" s="29">
        <v>206.07</v>
      </c>
      <c r="BX303" s="29">
        <v>46.0</v>
      </c>
      <c r="BY303" s="29">
        <v>50.0</v>
      </c>
      <c r="BZ303" s="29">
        <v>43.83</v>
      </c>
      <c r="CA303" s="29">
        <v>44.8</v>
      </c>
      <c r="CD303" s="29">
        <v>30.67</v>
      </c>
      <c r="CE303" s="29">
        <v>31.54</v>
      </c>
      <c r="CF303" s="29">
        <v>306.17</v>
      </c>
      <c r="CG303" s="29">
        <v>1224.69</v>
      </c>
      <c r="CH303" s="29">
        <v>16.41</v>
      </c>
      <c r="CI303" s="29">
        <v>5301.0</v>
      </c>
      <c r="CJ303" s="27" t="inlineStr">
        <is>
          <t xml:space="preserve">set/26</t>
        </is>
      </c>
    </row>
    <row r="304">
      <c r="A304" s="28">
        <v>46227</v>
      </c>
      <c r="B304" s="29">
        <v>1403.24</v>
      </c>
      <c r="C304" s="29">
        <v>3388.21</v>
      </c>
      <c r="D304" s="29">
        <v>7.15</v>
      </c>
      <c r="E304" s="29">
        <v>5.16</v>
      </c>
      <c r="F304" s="29">
        <v>1676.28</v>
      </c>
      <c r="G304" s="29">
        <v>1070.72</v>
      </c>
      <c r="H304" s="29">
        <v>362.3</v>
      </c>
      <c r="I304" s="27" t="inlineStr">
        <is>
          <t xml:space="preserve">dez/26</t>
        </is>
      </c>
      <c r="J304" s="29">
        <v>174041.95</v>
      </c>
      <c r="K304" s="30">
        <v>5099.0</v>
      </c>
      <c r="L304" s="27" t="inlineStr">
        <is>
          <t xml:space="preserve">ago/26</t>
        </is>
      </c>
      <c r="M304" s="29">
        <v>344.7</v>
      </c>
      <c r="N304" s="27" t="inlineStr">
        <is>
          <t xml:space="preserve">ago/26</t>
        </is>
      </c>
      <c r="O304" s="29">
        <v>70.61</v>
      </c>
      <c r="P304" s="27" t="inlineStr">
        <is>
          <t xml:space="preserve">set/26</t>
        </is>
      </c>
      <c r="Q304" s="29">
        <v>27.64</v>
      </c>
      <c r="R304" s="27" t="inlineStr">
        <is>
          <t xml:space="preserve">nov/26</t>
        </is>
      </c>
      <c r="S304" s="30">
        <v>12.48</v>
      </c>
      <c r="T304" s="27" t="inlineStr">
        <is>
          <t xml:space="preserve">ago/26</t>
        </is>
      </c>
      <c r="U304" s="30">
        <v>4.6425</v>
      </c>
      <c r="V304" s="27" t="inlineStr">
        <is>
          <t xml:space="preserve">set/26</t>
        </is>
      </c>
      <c r="W304" s="29">
        <v>331.3</v>
      </c>
      <c r="X304" s="27" t="inlineStr">
        <is>
          <t xml:space="preserve">ago/26</t>
        </is>
      </c>
      <c r="Y304" s="30">
        <v>0.7433</v>
      </c>
      <c r="Z304" s="27" t="inlineStr">
        <is>
          <t xml:space="preserve">ago/26</t>
        </is>
      </c>
      <c r="AA304" s="29">
        <v>410.73</v>
      </c>
      <c r="AB304" s="29">
        <v>93.3</v>
      </c>
      <c r="AC304" s="29">
        <v>344.59</v>
      </c>
      <c r="AD304" s="29">
        <v>332.76</v>
      </c>
      <c r="AE304" s="29">
        <v>324.49</v>
      </c>
      <c r="AG304" s="29">
        <v>320.58</v>
      </c>
      <c r="AH304" s="29">
        <v>315.24</v>
      </c>
      <c r="AI304" s="29">
        <v>325.08</v>
      </c>
      <c r="AJ304" s="29">
        <v>319.17</v>
      </c>
      <c r="AK304" s="29">
        <v>310.42</v>
      </c>
      <c r="AL304" s="29">
        <v>5.44</v>
      </c>
      <c r="AM304" s="29">
        <v>4.75</v>
      </c>
      <c r="AN304" s="29">
        <v>4.85</v>
      </c>
      <c r="AO304" s="29">
        <v>4.92</v>
      </c>
      <c r="AP304" s="29">
        <v>7.16</v>
      </c>
      <c r="AQ304" s="29">
        <v>122.88</v>
      </c>
      <c r="AR304" s="29">
        <v>131.85</v>
      </c>
      <c r="BC304" s="29">
        <v>9.76</v>
      </c>
      <c r="BD304" s="29">
        <v>9.42</v>
      </c>
      <c r="BE304" s="29">
        <v>10.26</v>
      </c>
      <c r="BF304" s="29">
        <v>8.69</v>
      </c>
      <c r="BG304" s="29">
        <v>9.99</v>
      </c>
      <c r="BH304" s="29">
        <v>1324.66</v>
      </c>
      <c r="BI304" s="29">
        <v>66.98</v>
      </c>
      <c r="BK304" s="29">
        <v>321.74</v>
      </c>
      <c r="BL304" s="29">
        <v>291.56</v>
      </c>
      <c r="BM304" s="29">
        <v>291.15</v>
      </c>
      <c r="BN304" s="29">
        <v>274.18</v>
      </c>
      <c r="BO304" s="29">
        <v>215.49</v>
      </c>
      <c r="BP304" s="29">
        <v>239.4</v>
      </c>
      <c r="BQ304" s="29">
        <v>208.59</v>
      </c>
      <c r="BR304" s="29">
        <v>204.69</v>
      </c>
      <c r="BS304" s="30">
        <v>2.0764</v>
      </c>
      <c r="BT304" s="30">
        <v>2.3786</v>
      </c>
      <c r="BU304" s="29">
        <v>502.64</v>
      </c>
      <c r="BV304" s="29">
        <v>392.19</v>
      </c>
      <c r="BW304" s="29">
        <v>483.39</v>
      </c>
      <c r="BX304" s="29">
        <v>46.0</v>
      </c>
      <c r="BY304" s="29">
        <v>50.0</v>
      </c>
      <c r="BZ304" s="29">
        <v>43.83</v>
      </c>
      <c r="CA304" s="29">
        <v>45.6</v>
      </c>
      <c r="CD304" s="29">
        <v>30.67</v>
      </c>
      <c r="CE304" s="29">
        <v>31.54</v>
      </c>
      <c r="CF304" s="29">
        <v>312.4</v>
      </c>
      <c r="CG304" s="29">
        <v>1249.6</v>
      </c>
      <c r="CH304" s="29">
        <v>15.83</v>
      </c>
      <c r="CI304" s="29">
        <v>5376.0</v>
      </c>
      <c r="CJ304" s="27" t="inlineStr">
        <is>
          <t xml:space="preserve">set/26</t>
        </is>
      </c>
    </row>
    <row r="305">
      <c r="A305" s="28">
        <v>46230</v>
      </c>
      <c r="B305" s="29">
        <v>1403.44</v>
      </c>
      <c r="C305" s="29">
        <v>3391.09</v>
      </c>
      <c r="D305" s="29">
        <v>7.15</v>
      </c>
      <c r="E305" s="29">
        <v>5.09</v>
      </c>
      <c r="F305" s="29">
        <v>1725.66</v>
      </c>
      <c r="G305" s="29">
        <v>1087.34</v>
      </c>
      <c r="J305" s="29">
        <v>175334.46</v>
      </c>
      <c r="K305" s="30">
        <v>5119.0</v>
      </c>
      <c r="L305" s="27" t="inlineStr">
        <is>
          <t xml:space="preserve">ago/26</t>
        </is>
      </c>
      <c r="S305" s="30">
        <v>12.085</v>
      </c>
      <c r="T305" s="27" t="inlineStr">
        <is>
          <t xml:space="preserve">ago/26</t>
        </is>
      </c>
      <c r="U305" s="30">
        <v>4.5175</v>
      </c>
      <c r="V305" s="27" t="inlineStr">
        <is>
          <t xml:space="preserve">set/26</t>
        </is>
      </c>
      <c r="W305" s="29">
        <v>320.8</v>
      </c>
      <c r="X305" s="27" t="inlineStr">
        <is>
          <t xml:space="preserve">ago/26</t>
        </is>
      </c>
      <c r="Y305" s="30">
        <v>0.7146</v>
      </c>
      <c r="Z305" s="27" t="inlineStr">
        <is>
          <t xml:space="preserve">ago/26</t>
        </is>
      </c>
      <c r="AA305" s="29">
        <v>412.07</v>
      </c>
      <c r="AB305" s="29">
        <v>92.75</v>
      </c>
      <c r="AC305" s="29">
        <v>344.01</v>
      </c>
      <c r="AD305" s="29">
        <v>331.84</v>
      </c>
      <c r="AE305" s="29">
        <v>323.28</v>
      </c>
      <c r="AG305" s="29">
        <v>325.58</v>
      </c>
      <c r="AH305" s="29">
        <v>315.53</v>
      </c>
      <c r="AI305" s="29">
        <v>325.54</v>
      </c>
      <c r="AJ305" s="29">
        <v>320.82</v>
      </c>
      <c r="AK305" s="29">
        <v>310.57</v>
      </c>
      <c r="AL305" s="29">
        <v>5.36</v>
      </c>
      <c r="AM305" s="29">
        <v>4.63</v>
      </c>
      <c r="AN305" s="29">
        <v>4.73</v>
      </c>
      <c r="AO305" s="29">
        <v>4.77</v>
      </c>
      <c r="AP305" s="29">
        <v>7.16</v>
      </c>
      <c r="AQ305" s="29">
        <v>122.94</v>
      </c>
      <c r="AR305" s="29">
        <v>132.0</v>
      </c>
      <c r="BH305" s="29">
        <v>1324.39</v>
      </c>
      <c r="BI305" s="29">
        <v>67.17</v>
      </c>
      <c r="BK305" s="29">
        <v>315.68</v>
      </c>
      <c r="BL305" s="29">
        <v>286.7</v>
      </c>
      <c r="BM305" s="29">
        <v>290.36</v>
      </c>
      <c r="BN305" s="29">
        <v>272.9</v>
      </c>
      <c r="BO305" s="29">
        <v>213.54</v>
      </c>
      <c r="BP305" s="29">
        <v>237.98</v>
      </c>
      <c r="BQ305" s="29">
        <v>212.47</v>
      </c>
      <c r="BR305" s="29">
        <v>206.92</v>
      </c>
      <c r="BX305" s="29">
        <v>46.0</v>
      </c>
      <c r="BY305" s="29">
        <v>50.0</v>
      </c>
      <c r="BZ305" s="29">
        <v>43.83</v>
      </c>
      <c r="CA305" s="29">
        <v>45.6</v>
      </c>
      <c r="CD305" s="29">
        <v>30.67</v>
      </c>
      <c r="CE305" s="29">
        <v>29.76</v>
      </c>
      <c r="CF305" s="29">
        <v>292.34</v>
      </c>
      <c r="CG305" s="29">
        <v>1169.37</v>
      </c>
      <c r="CH305" s="29">
        <v>14.49</v>
      </c>
      <c r="CI305" s="29">
        <v>5100.0</v>
      </c>
      <c r="CJ305" s="27" t="inlineStr">
        <is>
          <t xml:space="preserve">set/26</t>
        </is>
      </c>
    </row>
    <row r="306">
      <c r="A306" s="28">
        <v>46231</v>
      </c>
      <c r="B306" s="29">
        <v>1410.28</v>
      </c>
      <c r="C306" s="29">
        <v>3386.98</v>
      </c>
      <c r="D306" s="29">
        <v>7.15</v>
      </c>
      <c r="E306" s="29">
        <v>5.07</v>
      </c>
      <c r="F306" s="29">
        <v>1782.18</v>
      </c>
      <c r="G306" s="29">
        <v>1114.0</v>
      </c>
      <c r="H306" s="29">
        <v>386.95</v>
      </c>
      <c r="I306" s="27" t="inlineStr">
        <is>
          <t xml:space="preserve">dez/26</t>
        </is>
      </c>
      <c r="J306" s="29">
        <v>176564.75</v>
      </c>
      <c r="K306" s="30">
        <v>5131.5</v>
      </c>
      <c r="L306" s="27" t="inlineStr">
        <is>
          <t xml:space="preserve">ago/26</t>
        </is>
      </c>
      <c r="M306" s="29">
        <v>350.25</v>
      </c>
      <c r="N306" s="27" t="inlineStr">
        <is>
          <t xml:space="preserve">ago/26</t>
        </is>
      </c>
      <c r="O306" s="29">
        <v>70.41</v>
      </c>
      <c r="P306" s="27" t="inlineStr">
        <is>
          <t xml:space="preserve">set/26</t>
        </is>
      </c>
      <c r="Q306" s="29">
        <v>26.89</v>
      </c>
      <c r="R306" s="27" t="inlineStr">
        <is>
          <t xml:space="preserve">nov/26</t>
        </is>
      </c>
      <c r="S306" s="30">
        <v>12.12</v>
      </c>
      <c r="T306" s="27" t="inlineStr">
        <is>
          <t xml:space="preserve">ago/26</t>
        </is>
      </c>
      <c r="U306" s="30">
        <v>4.585</v>
      </c>
      <c r="V306" s="27" t="inlineStr">
        <is>
          <t xml:space="preserve">set/26</t>
        </is>
      </c>
      <c r="W306" s="29">
        <v>320.3</v>
      </c>
      <c r="X306" s="27" t="inlineStr">
        <is>
          <t xml:space="preserve">ago/26</t>
        </is>
      </c>
      <c r="Y306" s="30">
        <v>0.7076</v>
      </c>
      <c r="Z306" s="27" t="inlineStr">
        <is>
          <t xml:space="preserve">ago/26</t>
        </is>
      </c>
      <c r="AA306" s="29">
        <v>416.26</v>
      </c>
      <c r="AB306" s="29">
        <v>92.39</v>
      </c>
      <c r="AL306" s="29">
        <v>5.27</v>
      </c>
      <c r="AM306" s="29">
        <v>4.63</v>
      </c>
      <c r="AN306" s="29">
        <v>4.72</v>
      </c>
      <c r="AO306" s="29">
        <v>4.79</v>
      </c>
      <c r="AP306" s="29">
        <v>7.16</v>
      </c>
      <c r="AQ306" s="29">
        <v>122.75</v>
      </c>
      <c r="AR306" s="29">
        <v>131.64</v>
      </c>
      <c r="BH306" s="29">
        <v>1330.99</v>
      </c>
      <c r="BI306" s="29">
        <v>67.52</v>
      </c>
      <c r="BJ306" s="29">
        <v>328.75</v>
      </c>
      <c r="BK306" s="29">
        <v>319.99</v>
      </c>
      <c r="BL306" s="29">
        <v>287.89</v>
      </c>
      <c r="BM306" s="29">
        <v>288.95</v>
      </c>
      <c r="BN306" s="29">
        <v>266.85</v>
      </c>
      <c r="BO306" s="29">
        <v>211.63</v>
      </c>
      <c r="BP306" s="29">
        <v>243.14</v>
      </c>
      <c r="BQ306" s="29">
        <v>211.45</v>
      </c>
      <c r="BR306" s="29">
        <v>207.27</v>
      </c>
      <c r="BX306" s="29">
        <v>46.0</v>
      </c>
      <c r="BY306" s="29">
        <v>50.0</v>
      </c>
      <c r="BZ306" s="29">
        <v>43.33</v>
      </c>
      <c r="CA306" s="29">
        <v>46.4</v>
      </c>
      <c r="CD306" s="29">
        <v>30.67</v>
      </c>
      <c r="CE306" s="29">
        <v>32.07</v>
      </c>
      <c r="CI306" s="29">
        <v>5201.0</v>
      </c>
      <c r="CJ306" s="27" t="inlineStr">
        <is>
          <t xml:space="preserve">set/26</t>
        </is>
      </c>
    </row>
    <row r="307">
      <c r="A307" s="28">
        <v>46232</v>
      </c>
      <c r="B307" s="29">
        <v>1405.86</v>
      </c>
      <c r="C307" s="29">
        <v>3371.46</v>
      </c>
      <c r="D307" s="29">
        <v>7.15</v>
      </c>
      <c r="E307" s="29">
        <v>5.07</v>
      </c>
      <c r="F307" s="29">
        <v>1761.96</v>
      </c>
      <c r="G307" s="29">
        <v>1079.57</v>
      </c>
      <c r="J307" s="29">
        <v>173885.34</v>
      </c>
      <c r="K307" s="30">
        <v>5121.0</v>
      </c>
      <c r="L307" s="27" t="inlineStr">
        <is>
          <t xml:space="preserve">ago/26</t>
        </is>
      </c>
      <c r="M307" s="29">
        <v>351.95</v>
      </c>
      <c r="N307" s="27" t="inlineStr">
        <is>
          <t xml:space="preserve">ago/26</t>
        </is>
      </c>
      <c r="O307" s="29">
        <v>70.34</v>
      </c>
      <c r="P307" s="27" t="inlineStr">
        <is>
          <t xml:space="preserve">set/26</t>
        </is>
      </c>
      <c r="Q307" s="29">
        <v>26.3</v>
      </c>
      <c r="R307" s="27" t="inlineStr">
        <is>
          <t xml:space="preserve">nov/26</t>
        </is>
      </c>
      <c r="S307" s="30">
        <v>11.78</v>
      </c>
      <c r="T307" s="27" t="inlineStr">
        <is>
          <t xml:space="preserve">ago/26</t>
        </is>
      </c>
      <c r="U307" s="30">
        <v>4.49</v>
      </c>
      <c r="V307" s="27" t="inlineStr">
        <is>
          <t xml:space="preserve">set/26</t>
        </is>
      </c>
      <c r="W307" s="29">
        <v>315.3</v>
      </c>
      <c r="X307" s="27" t="inlineStr">
        <is>
          <t xml:space="preserve">ago/26</t>
        </is>
      </c>
      <c r="Y307" s="30">
        <v>0.6917</v>
      </c>
      <c r="Z307" s="27" t="inlineStr">
        <is>
          <t xml:space="preserve">ago/26</t>
        </is>
      </c>
      <c r="AA307" s="29">
        <v>414.77</v>
      </c>
      <c r="AB307" s="29">
        <v>92.93</v>
      </c>
      <c r="AC307" s="29">
        <v>346.55</v>
      </c>
      <c r="AD307" s="29">
        <v>333.98</v>
      </c>
      <c r="AE307" s="29">
        <v>327.46</v>
      </c>
      <c r="AG307" s="29">
        <v>328.27</v>
      </c>
      <c r="AH307" s="29">
        <v>324.4</v>
      </c>
      <c r="AI307" s="29">
        <v>325.19</v>
      </c>
      <c r="AJ307" s="29">
        <v>325.81</v>
      </c>
      <c r="AK307" s="29">
        <v>310.34</v>
      </c>
      <c r="AL307" s="29">
        <v>5.26</v>
      </c>
      <c r="AM307" s="29">
        <v>4.6</v>
      </c>
      <c r="AN307" s="29">
        <v>4.74</v>
      </c>
      <c r="AO307" s="29">
        <v>4.77</v>
      </c>
      <c r="AP307" s="29">
        <v>7.16</v>
      </c>
      <c r="AQ307" s="29">
        <v>122.75</v>
      </c>
      <c r="AR307" s="29">
        <v>131.64</v>
      </c>
      <c r="BH307" s="29">
        <v>1334.69</v>
      </c>
      <c r="BI307" s="29">
        <v>68.32</v>
      </c>
      <c r="BJ307" s="29">
        <v>327.0</v>
      </c>
      <c r="BK307" s="29">
        <v>315.68</v>
      </c>
      <c r="BL307" s="29">
        <v>282.97</v>
      </c>
      <c r="BM307" s="29">
        <v>287.24</v>
      </c>
      <c r="BN307" s="29">
        <v>264.37</v>
      </c>
      <c r="BO307" s="29">
        <v>214.97</v>
      </c>
      <c r="BP307" s="29">
        <v>241.26</v>
      </c>
      <c r="BQ307" s="29">
        <v>210.5</v>
      </c>
      <c r="BR307" s="29">
        <v>207.86</v>
      </c>
      <c r="BX307" s="29">
        <v>46.0</v>
      </c>
      <c r="BY307" s="29">
        <v>50.0</v>
      </c>
      <c r="BZ307" s="29">
        <v>43.33</v>
      </c>
      <c r="CA307" s="29">
        <v>46.4</v>
      </c>
      <c r="CD307" s="29">
        <v>30.67</v>
      </c>
      <c r="CE307" s="29">
        <v>32.8</v>
      </c>
      <c r="CF307" s="29">
        <v>295.44</v>
      </c>
      <c r="CG307" s="29">
        <v>1181.75</v>
      </c>
      <c r="CH307" s="29">
        <v>14.7</v>
      </c>
      <c r="CI307" s="29">
        <v>5185.0</v>
      </c>
      <c r="CJ307" s="27" t="inlineStr">
        <is>
          <t xml:space="preserve">set/26</t>
        </is>
      </c>
    </row>
    <row r="308">
      <c r="A308" s="28">
        <v>46233</v>
      </c>
      <c r="B308" s="29">
        <v>1405.91</v>
      </c>
      <c r="C308" s="29">
        <v>3377.68</v>
      </c>
      <c r="D308" s="29">
        <v>7.14</v>
      </c>
      <c r="E308" s="29">
        <v>5.06</v>
      </c>
      <c r="F308" s="29">
        <v>1746.47</v>
      </c>
      <c r="G308" s="29">
        <v>1080.81</v>
      </c>
      <c r="H308" s="29">
        <v>369.65</v>
      </c>
      <c r="I308" s="27" t="inlineStr">
        <is>
          <t xml:space="preserve">dez/26</t>
        </is>
      </c>
      <c r="J308" s="29">
        <v>177158.86</v>
      </c>
      <c r="K308" s="30">
        <v>5065.0</v>
      </c>
      <c r="L308" s="27" t="inlineStr">
        <is>
          <t xml:space="preserve">ago/26</t>
        </is>
      </c>
      <c r="M308" s="29">
        <v>350.0</v>
      </c>
      <c r="N308" s="27" t="inlineStr">
        <is>
          <t xml:space="preserve">ago/26</t>
        </is>
      </c>
      <c r="O308" s="29">
        <v>69.7</v>
      </c>
      <c r="P308" s="27" t="inlineStr">
        <is>
          <t xml:space="preserve">set/26</t>
        </is>
      </c>
      <c r="Q308" s="29">
        <v>26.23</v>
      </c>
      <c r="R308" s="27" t="inlineStr">
        <is>
          <t xml:space="preserve">nov/26</t>
        </is>
      </c>
      <c r="S308" s="30">
        <v>11.7725</v>
      </c>
      <c r="T308" s="27" t="inlineStr">
        <is>
          <t xml:space="preserve">ago/26</t>
        </is>
      </c>
      <c r="U308" s="30">
        <v>4.4575</v>
      </c>
      <c r="V308" s="27" t="inlineStr">
        <is>
          <t xml:space="preserve">set/26</t>
        </is>
      </c>
      <c r="W308" s="29">
        <v>314.1</v>
      </c>
      <c r="X308" s="27" t="inlineStr">
        <is>
          <t xml:space="preserve">ago/26</t>
        </is>
      </c>
      <c r="Y308" s="30">
        <v>0.6835</v>
      </c>
      <c r="Z308" s="27" t="inlineStr">
        <is>
          <t xml:space="preserve">ago/26</t>
        </is>
      </c>
      <c r="AA308" s="29">
        <v>420.09</v>
      </c>
      <c r="AB308" s="29">
        <v>92.4</v>
      </c>
      <c r="AC308" s="29">
        <v>346.17</v>
      </c>
      <c r="AD308" s="29">
        <v>334.0</v>
      </c>
      <c r="AE308" s="29">
        <v>328.7</v>
      </c>
      <c r="AG308" s="29">
        <v>331.12</v>
      </c>
      <c r="AH308" s="29">
        <v>329.21</v>
      </c>
      <c r="AI308" s="29">
        <v>324.0</v>
      </c>
      <c r="AJ308" s="29">
        <v>326.71</v>
      </c>
      <c r="AK308" s="29">
        <v>310.43</v>
      </c>
      <c r="AL308" s="29">
        <v>5.27</v>
      </c>
      <c r="AM308" s="29">
        <v>4.59</v>
      </c>
      <c r="AN308" s="29">
        <v>4.74</v>
      </c>
      <c r="AO308" s="29">
        <v>4.78</v>
      </c>
      <c r="AP308" s="29">
        <v>7.16</v>
      </c>
      <c r="AQ308" s="29">
        <v>123.03</v>
      </c>
      <c r="AR308" s="29">
        <v>131.84</v>
      </c>
      <c r="BH308" s="29">
        <v>1321.88</v>
      </c>
      <c r="BI308" s="29">
        <v>68.47</v>
      </c>
      <c r="BJ308" s="29">
        <v>327.0</v>
      </c>
      <c r="BK308" s="29">
        <v>313.88</v>
      </c>
      <c r="BL308" s="29">
        <v>276.26</v>
      </c>
      <c r="BM308" s="29">
        <v>282.26</v>
      </c>
      <c r="BN308" s="29">
        <v>249.2</v>
      </c>
      <c r="BO308" s="29">
        <v>214.25</v>
      </c>
      <c r="BP308" s="29">
        <v>241.26</v>
      </c>
      <c r="BQ308" s="29">
        <v>210.08</v>
      </c>
      <c r="BR308" s="29">
        <v>208.85</v>
      </c>
      <c r="BX308" s="29">
        <v>46.0</v>
      </c>
      <c r="BY308" s="29">
        <v>50.0</v>
      </c>
      <c r="BZ308" s="29">
        <v>43.33</v>
      </c>
      <c r="CA308" s="29">
        <v>46.4</v>
      </c>
      <c r="CD308" s="29">
        <v>30.57</v>
      </c>
      <c r="CE308" s="29">
        <v>33.68</v>
      </c>
      <c r="CF308" s="29">
        <v>290.7</v>
      </c>
      <c r="CG308" s="29">
        <v>1162.79</v>
      </c>
      <c r="CH308" s="29">
        <v>14.38</v>
      </c>
      <c r="CI308" s="29">
        <v>5112.0</v>
      </c>
      <c r="CJ308" s="27" t="inlineStr">
        <is>
          <t xml:space="preserve">set/26</t>
        </is>
      </c>
    </row>
    <row r="309">
      <c r="A309" s="28">
        <v>46234</v>
      </c>
      <c r="B309" s="29">
        <v>1405.92</v>
      </c>
      <c r="C309" s="29">
        <v>3377.23</v>
      </c>
      <c r="D309" s="29">
        <v>7.14</v>
      </c>
      <c r="E309" s="29">
        <v>5.1</v>
      </c>
      <c r="F309" s="29">
        <v>1744.18</v>
      </c>
      <c r="G309" s="29">
        <v>1092.56</v>
      </c>
      <c r="H309" s="29">
        <v>379.0</v>
      </c>
      <c r="I309" s="27" t="inlineStr">
        <is>
          <t xml:space="preserve">dez/26</t>
        </is>
      </c>
      <c r="J309" s="29">
        <v>177999.0</v>
      </c>
      <c r="K309" s="30">
        <v>5077.0</v>
      </c>
      <c r="L309" s="27" t="inlineStr">
        <is>
          <t xml:space="preserve">ago/26</t>
        </is>
      </c>
      <c r="M309" s="29">
        <v>347.55</v>
      </c>
      <c r="N309" s="27" t="inlineStr">
        <is>
          <t xml:space="preserve">ago/26</t>
        </is>
      </c>
      <c r="O309" s="29">
        <v>69.2</v>
      </c>
      <c r="P309" s="27" t="inlineStr">
        <is>
          <t xml:space="preserve">set/26</t>
        </is>
      </c>
      <c r="Q309" s="29">
        <v>26.19</v>
      </c>
      <c r="R309" s="27" t="inlineStr">
        <is>
          <t xml:space="preserve">nov/26</t>
        </is>
      </c>
      <c r="S309" s="30">
        <v>11.72</v>
      </c>
      <c r="T309" s="27" t="inlineStr">
        <is>
          <t xml:space="preserve">ago/26</t>
        </is>
      </c>
      <c r="U309" s="30">
        <v>4.4075</v>
      </c>
      <c r="V309" s="27" t="inlineStr">
        <is>
          <t xml:space="preserve">set/26</t>
        </is>
      </c>
      <c r="W309" s="29">
        <v>312.2</v>
      </c>
      <c r="X309" s="27" t="inlineStr">
        <is>
          <t xml:space="preserve">ago/26</t>
        </is>
      </c>
      <c r="Y309" s="30">
        <v>0.6712</v>
      </c>
      <c r="Z309" s="27" t="inlineStr">
        <is>
          <t xml:space="preserve">ago/26</t>
        </is>
      </c>
      <c r="AA309" s="29">
        <v>420.39</v>
      </c>
      <c r="AB309" s="29">
        <v>91.5</v>
      </c>
      <c r="AC309" s="29">
        <v>345.29</v>
      </c>
      <c r="AD309" s="29">
        <v>332.53</v>
      </c>
      <c r="AE309" s="29">
        <v>329.49</v>
      </c>
      <c r="AG309" s="29">
        <v>330.7</v>
      </c>
      <c r="AH309" s="29">
        <v>330.84</v>
      </c>
      <c r="AI309" s="29">
        <v>325.76</v>
      </c>
      <c r="AJ309" s="29">
        <v>327.55</v>
      </c>
      <c r="AK309" s="29">
        <v>310.78</v>
      </c>
      <c r="AL309" s="29">
        <v>5.27</v>
      </c>
      <c r="AM309" s="29">
        <v>4.65</v>
      </c>
      <c r="AN309" s="29">
        <v>4.76</v>
      </c>
      <c r="AO309" s="29">
        <v>4.85</v>
      </c>
      <c r="AP309" s="29">
        <v>7.15</v>
      </c>
      <c r="AQ309" s="29">
        <v>134.38</v>
      </c>
      <c r="AR309" s="29">
        <v>147.01</v>
      </c>
      <c r="BC309" s="29">
        <v>9.71</v>
      </c>
      <c r="BD309" s="29">
        <v>9.4</v>
      </c>
      <c r="BE309" s="29">
        <v>10.21</v>
      </c>
      <c r="BF309" s="29">
        <v>8.69</v>
      </c>
      <c r="BG309" s="29">
        <v>9.91</v>
      </c>
      <c r="BH309" s="29">
        <v>1321.88</v>
      </c>
      <c r="BI309" s="29">
        <v>68.63</v>
      </c>
      <c r="BJ309" s="29">
        <v>327.0</v>
      </c>
      <c r="BK309" s="29">
        <v>309.44</v>
      </c>
      <c r="BL309" s="29">
        <v>274.98</v>
      </c>
      <c r="BM309" s="29">
        <v>278.89</v>
      </c>
      <c r="BN309" s="29">
        <v>245.68</v>
      </c>
      <c r="BO309" s="29">
        <v>215.88</v>
      </c>
      <c r="BP309" s="29">
        <v>241.26</v>
      </c>
      <c r="BQ309" s="29">
        <v>209.71</v>
      </c>
      <c r="BR309" s="29">
        <v>202.73</v>
      </c>
      <c r="BS309" s="30">
        <v>2.0454</v>
      </c>
      <c r="BT309" s="30">
        <v>2.3141</v>
      </c>
      <c r="BU309" s="29">
        <v>517.65</v>
      </c>
      <c r="BV309" s="29">
        <v>404.03</v>
      </c>
      <c r="BW309" s="29">
        <v>493.96</v>
      </c>
      <c r="BX309" s="29">
        <v>46.0</v>
      </c>
      <c r="BY309" s="29">
        <v>50.0</v>
      </c>
      <c r="BZ309" s="29">
        <v>43.5</v>
      </c>
      <c r="CA309" s="29">
        <v>46.4</v>
      </c>
      <c r="CD309" s="29">
        <v>30.57</v>
      </c>
      <c r="CE309" s="29">
        <v>32.99</v>
      </c>
      <c r="CF309" s="29">
        <v>318.34</v>
      </c>
      <c r="CG309" s="29">
        <v>1273.37</v>
      </c>
      <c r="CH309" s="29">
        <v>16.22</v>
      </c>
      <c r="CI309" s="29">
        <v>5397.0</v>
      </c>
      <c r="CJ309" s="27" t="inlineStr">
        <is>
          <t xml:space="preserve">set/26</t>
        </is>
      </c>
    </row>
    <row r="310">
      <c r="A310" s="28">
        <v>46235</v>
      </c>
      <c r="AS310" s="30">
        <v>2.8869</v>
      </c>
      <c r="AT310" s="30">
        <v>3.0446</v>
      </c>
      <c r="AU310" s="30">
        <v>2.9692</v>
      </c>
      <c r="AV310" s="30">
        <v>2.976</v>
      </c>
      <c r="AW310" s="30">
        <v>2.9235</v>
      </c>
      <c r="AX310" s="30">
        <v>2.7758</v>
      </c>
      <c r="AY310" s="30">
        <v>2.6545</v>
      </c>
      <c r="AZ310" s="30">
        <v>2.8707</v>
      </c>
      <c r="BA310" s="30">
        <v>2.851</v>
      </c>
      <c r="BB310" s="30">
        <v>2.8622</v>
      </c>
    </row>
    <row r="311">
      <c r="A311" s="28">
        <v>46237</v>
      </c>
      <c r="B311" s="29">
        <v>1406.32</v>
      </c>
      <c r="C311" s="29">
        <v>3368.3</v>
      </c>
      <c r="D311" s="29">
        <v>6.87</v>
      </c>
      <c r="E311" s="29">
        <v>5.06</v>
      </c>
      <c r="F311" s="29">
        <v>1712.28</v>
      </c>
      <c r="G311" s="29">
        <v>1087.68</v>
      </c>
      <c r="H311" s="29">
        <v>368.4</v>
      </c>
      <c r="I311" s="27" t="inlineStr">
        <is>
          <t xml:space="preserve">dez/26</t>
        </is>
      </c>
      <c r="J311" s="29">
        <v>178000.24</v>
      </c>
      <c r="K311" s="30">
        <v>5121.0</v>
      </c>
      <c r="L311" s="27" t="inlineStr">
        <is>
          <t xml:space="preserve">set/26</t>
        </is>
      </c>
      <c r="M311" s="29">
        <v>341.8</v>
      </c>
      <c r="N311" s="27" t="inlineStr">
        <is>
          <t xml:space="preserve">set/26</t>
        </is>
      </c>
      <c r="O311" s="29">
        <v>68.73</v>
      </c>
      <c r="P311" s="27" t="inlineStr">
        <is>
          <t xml:space="preserve">set/26</t>
        </is>
      </c>
      <c r="Q311" s="29">
        <v>26.3</v>
      </c>
      <c r="R311" s="27" t="inlineStr">
        <is>
          <t xml:space="preserve">nov/26</t>
        </is>
      </c>
      <c r="S311" s="30">
        <v>11.7375</v>
      </c>
      <c r="T311" s="27" t="inlineStr">
        <is>
          <t xml:space="preserve">set/26</t>
        </is>
      </c>
      <c r="U311" s="30">
        <v>4.4925</v>
      </c>
      <c r="V311" s="27" t="inlineStr">
        <is>
          <t xml:space="preserve">set/26</t>
        </is>
      </c>
      <c r="W311" s="29">
        <v>315.4</v>
      </c>
      <c r="X311" s="27" t="inlineStr">
        <is>
          <t xml:space="preserve">set/26</t>
        </is>
      </c>
      <c r="Y311" s="30">
        <v>0.6879</v>
      </c>
      <c r="Z311" s="27" t="inlineStr">
        <is>
          <t xml:space="preserve">set/26</t>
        </is>
      </c>
      <c r="AA311" s="29">
        <v>418.69</v>
      </c>
      <c r="AB311" s="29">
        <v>90.82</v>
      </c>
      <c r="AC311" s="29">
        <v>347.03</v>
      </c>
      <c r="AD311" s="29">
        <v>334.01</v>
      </c>
      <c r="AE311" s="29">
        <v>328.01</v>
      </c>
      <c r="AG311" s="29">
        <v>327.69</v>
      </c>
      <c r="AH311" s="29">
        <v>328.93</v>
      </c>
      <c r="AI311" s="29">
        <v>330.77</v>
      </c>
      <c r="AJ311" s="29">
        <v>327.57</v>
      </c>
      <c r="AK311" s="29">
        <v>316.79</v>
      </c>
      <c r="AL311" s="29">
        <v>5.26</v>
      </c>
      <c r="AM311" s="29">
        <v>4.64</v>
      </c>
      <c r="AN311" s="29">
        <v>4.72</v>
      </c>
      <c r="AO311" s="29">
        <v>4.7</v>
      </c>
      <c r="AP311" s="29">
        <v>6.89</v>
      </c>
      <c r="AQ311" s="29">
        <v>134.41</v>
      </c>
      <c r="AR311" s="29">
        <v>146.79</v>
      </c>
      <c r="BH311" s="29">
        <v>1325.69</v>
      </c>
      <c r="BI311" s="29">
        <v>68.65</v>
      </c>
      <c r="BK311" s="29">
        <v>303.02</v>
      </c>
      <c r="BL311" s="29">
        <v>274.09</v>
      </c>
      <c r="BM311" s="29">
        <v>278.04</v>
      </c>
      <c r="BN311" s="29">
        <v>239.13</v>
      </c>
      <c r="BO311" s="29">
        <v>214.41</v>
      </c>
      <c r="BP311" s="29">
        <v>237.64</v>
      </c>
      <c r="BQ311" s="29">
        <v>211.03</v>
      </c>
      <c r="BR311" s="29">
        <v>206.67</v>
      </c>
      <c r="BX311" s="29">
        <v>46.0</v>
      </c>
      <c r="BY311" s="29">
        <v>50.0</v>
      </c>
      <c r="BZ311" s="29">
        <v>43.67</v>
      </c>
      <c r="CA311" s="29">
        <v>46.4</v>
      </c>
      <c r="CD311" s="29">
        <v>31.0</v>
      </c>
      <c r="CE311" s="29">
        <v>32.25</v>
      </c>
      <c r="CF311" s="29">
        <v>345.77</v>
      </c>
      <c r="CG311" s="29">
        <v>1383.08</v>
      </c>
      <c r="CH311" s="29">
        <v>18.05</v>
      </c>
      <c r="CI311" s="29">
        <v>5939.0</v>
      </c>
      <c r="CJ311" s="27" t="inlineStr">
        <is>
          <t xml:space="preserve">set/26</t>
        </is>
      </c>
    </row>
    <row r="312">
      <c r="A312" s="28">
        <v>46238</v>
      </c>
      <c r="B312" s="29">
        <v>1413.21</v>
      </c>
      <c r="C312" s="29">
        <v>3369.17</v>
      </c>
      <c r="D312" s="29">
        <v>6.88</v>
      </c>
      <c r="E312" s="29">
        <v>5.07</v>
      </c>
      <c r="F312" s="29">
        <v>1729.84</v>
      </c>
      <c r="G312" s="29">
        <v>1095.15</v>
      </c>
      <c r="H312" s="29">
        <v>372.5</v>
      </c>
      <c r="I312" s="27" t="inlineStr">
        <is>
          <t xml:space="preserve">dez/26</t>
        </is>
      </c>
      <c r="J312" s="29">
        <v>177894.97</v>
      </c>
      <c r="K312" s="30">
        <v>5157.5</v>
      </c>
      <c r="L312" s="27" t="inlineStr">
        <is>
          <t xml:space="preserve">set/26</t>
        </is>
      </c>
      <c r="M312" s="29">
        <v>346.75</v>
      </c>
      <c r="N312" s="27" t="inlineStr">
        <is>
          <t xml:space="preserve">set/26</t>
        </is>
      </c>
      <c r="O312" s="29">
        <v>68.65</v>
      </c>
      <c r="P312" s="27" t="inlineStr">
        <is>
          <t xml:space="preserve">set/26</t>
        </is>
      </c>
      <c r="Q312" s="29">
        <v>25.97</v>
      </c>
      <c r="R312" s="27" t="inlineStr">
        <is>
          <t xml:space="preserve">nov/26</t>
        </is>
      </c>
      <c r="S312" s="30">
        <v>11.5875</v>
      </c>
      <c r="T312" s="27" t="inlineStr">
        <is>
          <t xml:space="preserve">set/26</t>
        </is>
      </c>
      <c r="U312" s="30">
        <v>4.4225</v>
      </c>
      <c r="V312" s="27" t="inlineStr">
        <is>
          <t xml:space="preserve">set/26</t>
        </is>
      </c>
      <c r="W312" s="29">
        <v>312.7</v>
      </c>
      <c r="X312" s="27" t="inlineStr">
        <is>
          <t xml:space="preserve">set/26</t>
        </is>
      </c>
      <c r="Y312" s="30">
        <v>0.682</v>
      </c>
      <c r="Z312" s="27" t="inlineStr">
        <is>
          <t xml:space="preserve">set/26</t>
        </is>
      </c>
      <c r="AA312" s="29">
        <v>419.86</v>
      </c>
      <c r="AB312" s="29">
        <v>91.89</v>
      </c>
      <c r="AC312" s="29">
        <v>350.39</v>
      </c>
      <c r="AD312" s="29">
        <v>337.72</v>
      </c>
      <c r="AE312" s="29">
        <v>328.08</v>
      </c>
      <c r="AG312" s="29">
        <v>328.11</v>
      </c>
      <c r="AH312" s="29">
        <v>335.48</v>
      </c>
      <c r="AI312" s="29">
        <v>332.97</v>
      </c>
      <c r="AJ312" s="29">
        <v>327.9</v>
      </c>
      <c r="AK312" s="29">
        <v>316.35</v>
      </c>
      <c r="AL312" s="29">
        <v>5.2</v>
      </c>
      <c r="AM312" s="29">
        <v>4.64</v>
      </c>
      <c r="AN312" s="29">
        <v>4.71</v>
      </c>
      <c r="AO312" s="29">
        <v>4.61</v>
      </c>
      <c r="AP312" s="29">
        <v>6.9</v>
      </c>
      <c r="AQ312" s="29">
        <v>134.4</v>
      </c>
      <c r="AR312" s="29">
        <v>146.71</v>
      </c>
      <c r="BH312" s="29">
        <v>1324.52</v>
      </c>
      <c r="BI312" s="29">
        <v>70.0</v>
      </c>
      <c r="BK312" s="29">
        <v>301.93</v>
      </c>
      <c r="BL312" s="29">
        <v>271.59</v>
      </c>
      <c r="BM312" s="29">
        <v>268.71</v>
      </c>
      <c r="BN312" s="29">
        <v>238.43</v>
      </c>
      <c r="BO312" s="29">
        <v>216.19</v>
      </c>
      <c r="BP312" s="29">
        <v>234.73</v>
      </c>
      <c r="BQ312" s="29">
        <v>208.67</v>
      </c>
      <c r="BR312" s="29">
        <v>208.0</v>
      </c>
      <c r="BX312" s="29">
        <v>46.0</v>
      </c>
      <c r="BY312" s="29">
        <v>50.0</v>
      </c>
      <c r="BZ312" s="29">
        <v>43.67</v>
      </c>
      <c r="CA312" s="29">
        <v>46.4</v>
      </c>
      <c r="CD312" s="29">
        <v>31.0</v>
      </c>
      <c r="CE312" s="29">
        <v>31.3</v>
      </c>
      <c r="CF312" s="29">
        <v>351.64</v>
      </c>
      <c r="CG312" s="29">
        <v>1406.57</v>
      </c>
      <c r="CH312" s="29">
        <v>18.44</v>
      </c>
      <c r="CI312" s="29">
        <v>5924.0</v>
      </c>
      <c r="CJ312" s="27" t="inlineStr">
        <is>
          <t xml:space="preserve">set/26</t>
        </is>
      </c>
    </row>
    <row r="313">
      <c r="A313" s="28">
        <v>46239</v>
      </c>
      <c r="B313" s="29">
        <v>1417.12</v>
      </c>
      <c r="C313" s="29">
        <v>3364.48</v>
      </c>
      <c r="D313" s="29">
        <v>7.13</v>
      </c>
      <c r="E313" s="29">
        <v>5.08</v>
      </c>
      <c r="F313" s="29">
        <v>1730.24</v>
      </c>
      <c r="G313" s="29">
        <v>1111.86</v>
      </c>
      <c r="H313" s="29">
        <v>374.55</v>
      </c>
      <c r="I313" s="27" t="inlineStr">
        <is>
          <t xml:space="preserve">dez/26</t>
        </is>
      </c>
      <c r="J313" s="29">
        <v>177726.17</v>
      </c>
      <c r="K313" s="30">
        <v>5151.5</v>
      </c>
      <c r="L313" s="27" t="inlineStr">
        <is>
          <t xml:space="preserve">set/26</t>
        </is>
      </c>
      <c r="M313" s="29">
        <v>348.3</v>
      </c>
      <c r="N313" s="27" t="inlineStr">
        <is>
          <t xml:space="preserve">set/26</t>
        </is>
      </c>
      <c r="O313" s="29">
        <v>68.3</v>
      </c>
      <c r="P313" s="27" t="inlineStr">
        <is>
          <t xml:space="preserve">set/26</t>
        </is>
      </c>
      <c r="Q313" s="29">
        <v>25.9</v>
      </c>
      <c r="R313" s="27" t="inlineStr">
        <is>
          <t xml:space="preserve">nov/26</t>
        </is>
      </c>
      <c r="S313" s="30">
        <v>11.565</v>
      </c>
      <c r="T313" s="27" t="inlineStr">
        <is>
          <t xml:space="preserve">set/26</t>
        </is>
      </c>
      <c r="U313" s="30">
        <v>4.3675</v>
      </c>
      <c r="V313" s="27" t="inlineStr">
        <is>
          <t xml:space="preserve">set/26</t>
        </is>
      </c>
      <c r="W313" s="29">
        <v>310.2</v>
      </c>
      <c r="X313" s="27" t="inlineStr">
        <is>
          <t xml:space="preserve">set/26</t>
        </is>
      </c>
      <c r="Y313" s="30">
        <v>0.6772</v>
      </c>
      <c r="Z313" s="27" t="inlineStr">
        <is>
          <t xml:space="preserve">set/26</t>
        </is>
      </c>
      <c r="AA313" s="29">
        <v>422.76</v>
      </c>
      <c r="AB313" s="29">
        <v>92.47</v>
      </c>
      <c r="AC313" s="29">
        <v>348.89</v>
      </c>
      <c r="AD313" s="29">
        <v>338.52</v>
      </c>
      <c r="AE313" s="29">
        <v>328.44</v>
      </c>
      <c r="AG313" s="29">
        <v>327.22</v>
      </c>
      <c r="AH313" s="29">
        <v>336.52</v>
      </c>
      <c r="AI313" s="29">
        <v>331.69</v>
      </c>
      <c r="AJ313" s="29">
        <v>328.03</v>
      </c>
      <c r="AK313" s="29">
        <v>314.14</v>
      </c>
      <c r="AL313" s="29">
        <v>5.07</v>
      </c>
      <c r="AM313" s="29">
        <v>4.53</v>
      </c>
      <c r="AN313" s="29">
        <v>4.63</v>
      </c>
      <c r="AO313" s="29">
        <v>4.5</v>
      </c>
      <c r="AP313" s="29">
        <v>7.15</v>
      </c>
      <c r="AQ313" s="29">
        <v>134.4</v>
      </c>
      <c r="AR313" s="29">
        <v>146.71</v>
      </c>
      <c r="BH313" s="29">
        <v>1325.22</v>
      </c>
      <c r="BI313" s="29">
        <v>70.9</v>
      </c>
      <c r="BK313" s="29">
        <v>290.1</v>
      </c>
      <c r="BL313" s="29">
        <v>268.96</v>
      </c>
      <c r="BM313" s="29">
        <v>260.07</v>
      </c>
      <c r="BN313" s="29">
        <v>231.89</v>
      </c>
      <c r="BO313" s="29">
        <v>219.82</v>
      </c>
      <c r="BP313" s="29">
        <v>236.87</v>
      </c>
      <c r="BQ313" s="29">
        <v>208.81</v>
      </c>
      <c r="BR313" s="29">
        <v>216.67</v>
      </c>
      <c r="BX313" s="29">
        <v>46.0</v>
      </c>
      <c r="BY313" s="29">
        <v>50.0</v>
      </c>
      <c r="BZ313" s="29">
        <v>43.67</v>
      </c>
      <c r="CA313" s="29">
        <v>46.4</v>
      </c>
      <c r="CD313" s="29">
        <v>30.93</v>
      </c>
      <c r="CE313" s="29">
        <v>31.38</v>
      </c>
      <c r="CF313" s="29">
        <v>352.31</v>
      </c>
      <c r="CG313" s="29">
        <v>1409.24</v>
      </c>
      <c r="CH313" s="29">
        <v>18.49</v>
      </c>
      <c r="CI313" s="29">
        <v>5882.0</v>
      </c>
      <c r="CJ313" s="27" t="inlineStr">
        <is>
          <t xml:space="preserve">set/26</t>
        </is>
      </c>
    </row>
    <row r="314">
      <c r="A314" s="28">
        <v>46240</v>
      </c>
      <c r="B314" s="29">
        <v>1414.2</v>
      </c>
      <c r="C314" s="29">
        <v>3356.8</v>
      </c>
      <c r="D314" s="29">
        <v>7.13</v>
      </c>
      <c r="E314" s="29">
        <v>5.08</v>
      </c>
      <c r="F314" s="29">
        <v>1727.89</v>
      </c>
      <c r="G314" s="29">
        <v>1090.51</v>
      </c>
      <c r="H314" s="29">
        <v>373.05</v>
      </c>
      <c r="I314" s="27" t="inlineStr">
        <is>
          <t xml:space="preserve">dez/26</t>
        </is>
      </c>
      <c r="J314" s="29">
        <v>175546.36</v>
      </c>
      <c r="K314" s="30">
        <v>5141.0</v>
      </c>
      <c r="L314" s="27" t="inlineStr">
        <is>
          <t xml:space="preserve">set/26</t>
        </is>
      </c>
      <c r="M314" s="29">
        <v>348.65</v>
      </c>
      <c r="N314" s="27" t="inlineStr">
        <is>
          <t xml:space="preserve">set/26</t>
        </is>
      </c>
      <c r="O314" s="29">
        <v>68.42</v>
      </c>
      <c r="P314" s="27" t="inlineStr">
        <is>
          <t xml:space="preserve">set/26</t>
        </is>
      </c>
      <c r="Q314" s="29">
        <v>25.98</v>
      </c>
      <c r="R314" s="27" t="inlineStr">
        <is>
          <t xml:space="preserve">nov/26</t>
        </is>
      </c>
      <c r="S314" s="30">
        <v>11.6</v>
      </c>
      <c r="T314" s="27" t="inlineStr">
        <is>
          <t xml:space="preserve">set/26</t>
        </is>
      </c>
      <c r="U314" s="30">
        <v>4.39</v>
      </c>
      <c r="V314" s="27" t="inlineStr">
        <is>
          <t xml:space="preserve">set/26</t>
        </is>
      </c>
      <c r="W314" s="29">
        <v>311.6</v>
      </c>
      <c r="X314" s="27" t="inlineStr">
        <is>
          <t xml:space="preserve">set/26</t>
        </is>
      </c>
      <c r="Y314" s="30">
        <v>0.6774</v>
      </c>
      <c r="Z314" s="27" t="inlineStr">
        <is>
          <t xml:space="preserve">set/26</t>
        </is>
      </c>
      <c r="AA314" s="29">
        <v>417.18</v>
      </c>
      <c r="AB314" s="29">
        <v>93.88</v>
      </c>
      <c r="AC314" s="29">
        <v>348.63</v>
      </c>
      <c r="AD314" s="29">
        <v>339.17</v>
      </c>
      <c r="AE314" s="29">
        <v>330.91</v>
      </c>
      <c r="AG314" s="29">
        <v>324.57</v>
      </c>
      <c r="AH314" s="29">
        <v>335.7</v>
      </c>
      <c r="AI314" s="29">
        <v>331.47</v>
      </c>
      <c r="AJ314" s="29">
        <v>330.76</v>
      </c>
      <c r="AK314" s="29">
        <v>315.41</v>
      </c>
      <c r="AL314" s="29">
        <v>5.05</v>
      </c>
      <c r="AM314" s="29">
        <v>4.53</v>
      </c>
      <c r="AN314" s="29">
        <v>4.63</v>
      </c>
      <c r="AO314" s="29">
        <v>4.48</v>
      </c>
      <c r="AP314" s="29">
        <v>7.15</v>
      </c>
      <c r="AQ314" s="29">
        <v>134.4</v>
      </c>
      <c r="AR314" s="29">
        <v>147.87</v>
      </c>
      <c r="BH314" s="29">
        <v>1314.4</v>
      </c>
      <c r="BI314" s="29">
        <v>71.38</v>
      </c>
      <c r="BK314" s="29">
        <v>283.52</v>
      </c>
      <c r="BL314" s="29">
        <v>251.1</v>
      </c>
      <c r="BM314" s="29">
        <v>253.64</v>
      </c>
      <c r="BN314" s="29">
        <v>226.39</v>
      </c>
      <c r="BO314" s="29">
        <v>220.07</v>
      </c>
      <c r="BP314" s="29">
        <v>238.84</v>
      </c>
      <c r="BQ314" s="29">
        <v>209.25</v>
      </c>
      <c r="BR314" s="29">
        <v>217.78</v>
      </c>
      <c r="BX314" s="29">
        <v>47.0</v>
      </c>
      <c r="BY314" s="29">
        <v>50.0</v>
      </c>
      <c r="BZ314" s="29">
        <v>43.67</v>
      </c>
      <c r="CA314" s="29">
        <v>46.4</v>
      </c>
      <c r="CD314" s="29">
        <v>31.08</v>
      </c>
      <c r="CE314" s="29">
        <v>31.67</v>
      </c>
      <c r="CF314" s="29">
        <v>323.9</v>
      </c>
      <c r="CG314" s="29">
        <v>1295.58</v>
      </c>
      <c r="CH314" s="29">
        <v>16.59</v>
      </c>
      <c r="CI314" s="29">
        <v>5776.0</v>
      </c>
      <c r="CJ314" s="27" t="inlineStr">
        <is>
          <t xml:space="preserve">set/26</t>
        </is>
      </c>
    </row>
    <row r="315">
      <c r="A315" s="28">
        <v>46241</v>
      </c>
      <c r="B315" s="29">
        <v>1414.46</v>
      </c>
      <c r="C315" s="29">
        <v>3354.35</v>
      </c>
      <c r="D315" s="29">
        <v>7.16</v>
      </c>
      <c r="E315" s="29">
        <v>5.06</v>
      </c>
      <c r="F315" s="29">
        <v>1732.12</v>
      </c>
      <c r="G315" s="29">
        <v>1089.15</v>
      </c>
      <c r="H315" s="29">
        <v>384.0</v>
      </c>
      <c r="I315" s="27" t="inlineStr">
        <is>
          <t xml:space="preserve">dez/26</t>
        </is>
      </c>
      <c r="J315" s="29">
        <v>172513.42</v>
      </c>
      <c r="K315" s="30">
        <v>5111.0</v>
      </c>
      <c r="L315" s="27" t="inlineStr">
        <is>
          <t xml:space="preserve">set/26</t>
        </is>
      </c>
      <c r="M315" s="29">
        <v>348.8</v>
      </c>
      <c r="N315" s="27" t="inlineStr">
        <is>
          <t xml:space="preserve">set/26</t>
        </is>
      </c>
      <c r="O315" s="29">
        <v>68.8</v>
      </c>
      <c r="P315" s="27" t="inlineStr">
        <is>
          <t xml:space="preserve">set/26</t>
        </is>
      </c>
      <c r="Q315" s="29">
        <v>25.94</v>
      </c>
      <c r="R315" s="27" t="inlineStr">
        <is>
          <t xml:space="preserve">nov/26</t>
        </is>
      </c>
      <c r="S315" s="30">
        <v>11.59</v>
      </c>
      <c r="T315" s="27" t="inlineStr">
        <is>
          <t xml:space="preserve">set/26</t>
        </is>
      </c>
      <c r="U315" s="30">
        <v>4.39</v>
      </c>
      <c r="V315" s="27" t="inlineStr">
        <is>
          <t xml:space="preserve">set/26</t>
        </is>
      </c>
      <c r="W315" s="29">
        <v>308.9</v>
      </c>
      <c r="X315" s="27" t="inlineStr">
        <is>
          <t xml:space="preserve">set/26</t>
        </is>
      </c>
      <c r="Y315" s="30">
        <v>0.6824</v>
      </c>
      <c r="Z315" s="27" t="inlineStr">
        <is>
          <t xml:space="preserve">set/26</t>
        </is>
      </c>
      <c r="AA315" s="29">
        <v>421.63</v>
      </c>
      <c r="AB315" s="29">
        <v>96.02</v>
      </c>
      <c r="AC315" s="29">
        <v>347.11</v>
      </c>
      <c r="AD315" s="29">
        <v>339.56</v>
      </c>
      <c r="AE315" s="29">
        <v>330.37</v>
      </c>
      <c r="AG315" s="29">
        <v>326.53</v>
      </c>
      <c r="AH315" s="29">
        <v>334.79</v>
      </c>
      <c r="AI315" s="29">
        <v>331.26</v>
      </c>
      <c r="AJ315" s="29">
        <v>330.97</v>
      </c>
      <c r="AK315" s="29">
        <v>314.02</v>
      </c>
      <c r="AL315" s="29">
        <v>5.04</v>
      </c>
      <c r="AM315" s="29">
        <v>4.51</v>
      </c>
      <c r="AN315" s="29">
        <v>4.61</v>
      </c>
      <c r="AO315" s="29">
        <v>4.48</v>
      </c>
      <c r="AP315" s="29">
        <v>7.18</v>
      </c>
      <c r="AQ315" s="29">
        <v>134.42</v>
      </c>
      <c r="AR315" s="29">
        <v>148.56</v>
      </c>
      <c r="BC315" s="29">
        <v>9.6</v>
      </c>
      <c r="BD315" s="29">
        <v>9.35</v>
      </c>
      <c r="BE315" s="29">
        <v>10.19</v>
      </c>
      <c r="BF315" s="29">
        <v>8.68</v>
      </c>
      <c r="BG315" s="29">
        <v>9.8</v>
      </c>
      <c r="BH315" s="29">
        <v>1314.61</v>
      </c>
      <c r="BI315" s="29">
        <v>71.32</v>
      </c>
      <c r="BK315" s="29">
        <v>283.52</v>
      </c>
      <c r="BL315" s="29">
        <v>251.63</v>
      </c>
      <c r="BM315" s="29">
        <v>251.69</v>
      </c>
      <c r="BN315" s="29">
        <v>224.1</v>
      </c>
      <c r="BO315" s="29">
        <v>215.4</v>
      </c>
      <c r="BP315" s="29">
        <v>238.85</v>
      </c>
      <c r="BQ315" s="29">
        <v>210.07</v>
      </c>
      <c r="BR315" s="29">
        <v>217.5</v>
      </c>
      <c r="BS315" s="30">
        <v>2.0457</v>
      </c>
      <c r="BT315" s="30">
        <v>2.3091</v>
      </c>
      <c r="BU315" s="29">
        <v>548.34</v>
      </c>
      <c r="BV315" s="29">
        <v>424.36</v>
      </c>
      <c r="BW315" s="29">
        <v>518.75</v>
      </c>
      <c r="BX315" s="29">
        <v>48.0</v>
      </c>
      <c r="BY315" s="29">
        <v>50.0</v>
      </c>
      <c r="BZ315" s="29">
        <v>43.67</v>
      </c>
      <c r="CA315" s="29">
        <v>46.4</v>
      </c>
      <c r="CD315" s="29">
        <v>31.08</v>
      </c>
      <c r="CE315" s="29">
        <v>31.61</v>
      </c>
      <c r="CF315" s="29">
        <v>333.47</v>
      </c>
      <c r="CG315" s="29">
        <v>1333.9</v>
      </c>
      <c r="CH315" s="29">
        <v>17.23</v>
      </c>
      <c r="CI315" s="29">
        <v>5782.0</v>
      </c>
      <c r="CJ315" s="27" t="inlineStr">
        <is>
          <t xml:space="preserve">set/26</t>
        </is>
      </c>
    </row>
    <row r="316">
      <c r="A316" s="28">
        <v>46244</v>
      </c>
      <c r="B316" s="29">
        <v>1414.49</v>
      </c>
      <c r="C316" s="29">
        <v>3368.01</v>
      </c>
      <c r="D316" s="29">
        <v>7.19</v>
      </c>
      <c r="E316" s="29">
        <v>5.06</v>
      </c>
      <c r="F316" s="29">
        <v>1750.23</v>
      </c>
      <c r="G316" s="29">
        <v>1092.38</v>
      </c>
      <c r="H316" s="29">
        <v>384.0</v>
      </c>
      <c r="I316" s="27" t="inlineStr">
        <is>
          <t xml:space="preserve">dez/26</t>
        </is>
      </c>
      <c r="J316" s="29">
        <v>172179.93</v>
      </c>
      <c r="K316" s="30">
        <v>5133.0</v>
      </c>
      <c r="L316" s="27" t="inlineStr">
        <is>
          <t xml:space="preserve">set/26</t>
        </is>
      </c>
      <c r="M316" s="29">
        <v>349.8</v>
      </c>
      <c r="N316" s="27" t="inlineStr">
        <is>
          <t xml:space="preserve">set/26</t>
        </is>
      </c>
      <c r="O316" s="29">
        <v>69.9</v>
      </c>
      <c r="P316" s="27" t="inlineStr">
        <is>
          <t xml:space="preserve">set/26</t>
        </is>
      </c>
      <c r="Q316" s="29">
        <v>26.02</v>
      </c>
      <c r="R316" s="27" t="inlineStr">
        <is>
          <t xml:space="preserve">nov/26</t>
        </is>
      </c>
      <c r="S316" s="30">
        <v>11.6175</v>
      </c>
      <c r="T316" s="27" t="inlineStr">
        <is>
          <t xml:space="preserve">set/26</t>
        </is>
      </c>
      <c r="U316" s="30">
        <v>4.3825</v>
      </c>
      <c r="V316" s="27" t="inlineStr">
        <is>
          <t xml:space="preserve">set/26</t>
        </is>
      </c>
      <c r="W316" s="29">
        <v>305.5</v>
      </c>
      <c r="X316" s="27" t="inlineStr">
        <is>
          <t xml:space="preserve">set/26</t>
        </is>
      </c>
      <c r="Y316" s="30">
        <v>0.6953</v>
      </c>
      <c r="Z316" s="27" t="inlineStr">
        <is>
          <t xml:space="preserve">set/26</t>
        </is>
      </c>
      <c r="AA316" s="29">
        <v>422.36</v>
      </c>
      <c r="AB316" s="29">
        <v>97.51</v>
      </c>
      <c r="AC316" s="29">
        <v>346.49</v>
      </c>
      <c r="AD316" s="29">
        <v>339.68</v>
      </c>
      <c r="AE316" s="29">
        <v>333.65</v>
      </c>
      <c r="AG316" s="29">
        <v>328.41</v>
      </c>
      <c r="AH316" s="29">
        <v>334.6</v>
      </c>
      <c r="AI316" s="29">
        <v>331.45</v>
      </c>
      <c r="AJ316" s="29">
        <v>332.1</v>
      </c>
      <c r="AK316" s="29">
        <v>323.39</v>
      </c>
      <c r="AL316" s="29">
        <v>5.06</v>
      </c>
      <c r="AM316" s="29">
        <v>4.5</v>
      </c>
      <c r="AN316" s="29">
        <v>4.62</v>
      </c>
      <c r="AO316" s="29">
        <v>4.48</v>
      </c>
      <c r="AP316" s="29">
        <v>7.21</v>
      </c>
      <c r="AQ316" s="29">
        <v>134.43</v>
      </c>
      <c r="AR316" s="29">
        <v>148.56</v>
      </c>
      <c r="BH316" s="29">
        <v>1310.28</v>
      </c>
      <c r="BI316" s="29">
        <v>71.26</v>
      </c>
      <c r="BK316" s="29">
        <v>281.35</v>
      </c>
      <c r="BL316" s="29">
        <v>254.38</v>
      </c>
      <c r="BM316" s="29">
        <v>251.1</v>
      </c>
      <c r="BN316" s="29">
        <v>223.1</v>
      </c>
      <c r="BO316" s="29">
        <v>215.36</v>
      </c>
      <c r="BP316" s="29">
        <v>238.85</v>
      </c>
      <c r="BQ316" s="29">
        <v>209.98</v>
      </c>
      <c r="BR316" s="29">
        <v>217.22</v>
      </c>
      <c r="BX316" s="29">
        <v>48.0</v>
      </c>
      <c r="BY316" s="29">
        <v>50.0</v>
      </c>
      <c r="BZ316" s="29">
        <v>43.67</v>
      </c>
      <c r="CA316" s="29">
        <v>46.4</v>
      </c>
      <c r="CD316" s="29">
        <v>31.08</v>
      </c>
      <c r="CE316" s="29">
        <v>31.85</v>
      </c>
      <c r="CF316" s="29">
        <v>340.08</v>
      </c>
      <c r="CG316" s="29">
        <v>1360.31</v>
      </c>
      <c r="CH316" s="29">
        <v>17.67</v>
      </c>
      <c r="CI316" s="29">
        <v>5821.0</v>
      </c>
      <c r="CJ316" s="27" t="inlineStr">
        <is>
          <t xml:space="preserve">set/26</t>
        </is>
      </c>
    </row>
    <row r="317">
      <c r="A317" s="28">
        <v>46245</v>
      </c>
      <c r="B317" s="29">
        <v>1415.09</v>
      </c>
      <c r="C317" s="29">
        <v>3376.12</v>
      </c>
      <c r="D317" s="29">
        <v>7.19</v>
      </c>
      <c r="E317" s="29">
        <v>5.1</v>
      </c>
      <c r="F317" s="29">
        <v>1762.44</v>
      </c>
      <c r="G317" s="29">
        <v>1086.88</v>
      </c>
      <c r="H317" s="29">
        <v>381.0</v>
      </c>
      <c r="I317" s="27" t="inlineStr">
        <is>
          <t xml:space="preserve">dez/26</t>
        </is>
      </c>
      <c r="J317" s="29">
        <v>167874.64</v>
      </c>
      <c r="K317" s="30">
        <v>5182.5</v>
      </c>
      <c r="L317" s="27" t="inlineStr">
        <is>
          <t xml:space="preserve">set/26</t>
        </is>
      </c>
      <c r="M317" s="29">
        <v>351.65</v>
      </c>
      <c r="N317" s="27" t="inlineStr">
        <is>
          <t xml:space="preserve">set/26</t>
        </is>
      </c>
      <c r="O317" s="29">
        <v>69.84</v>
      </c>
      <c r="P317" s="27" t="inlineStr">
        <is>
          <t xml:space="preserve">set/26</t>
        </is>
      </c>
      <c r="Q317" s="29">
        <v>25.77</v>
      </c>
      <c r="R317" s="27" t="inlineStr">
        <is>
          <t xml:space="preserve">nov/26</t>
        </is>
      </c>
      <c r="S317" s="30">
        <v>11.515</v>
      </c>
      <c r="T317" s="27" t="inlineStr">
        <is>
          <t xml:space="preserve">set/26</t>
        </is>
      </c>
      <c r="U317" s="30">
        <v>4.3675</v>
      </c>
      <c r="V317" s="27" t="inlineStr">
        <is>
          <t xml:space="preserve">set/26</t>
        </is>
      </c>
      <c r="W317" s="29">
        <v>305.0</v>
      </c>
      <c r="X317" s="27" t="inlineStr">
        <is>
          <t xml:space="preserve">set/26</t>
        </is>
      </c>
      <c r="Y317" s="30">
        <v>0.6857</v>
      </c>
      <c r="Z317" s="27" t="inlineStr">
        <is>
          <t xml:space="preserve">set/26</t>
        </is>
      </c>
      <c r="AA317" s="29">
        <v>422.8</v>
      </c>
      <c r="AB317" s="29">
        <v>96.94</v>
      </c>
      <c r="AC317" s="29">
        <v>348.86</v>
      </c>
      <c r="AD317" s="29">
        <v>341.01</v>
      </c>
      <c r="AE317" s="29">
        <v>334.83</v>
      </c>
      <c r="AG317" s="29">
        <v>327.18</v>
      </c>
      <c r="AH317" s="29">
        <v>336.39</v>
      </c>
      <c r="AI317" s="29">
        <v>338.79</v>
      </c>
      <c r="AJ317" s="29">
        <v>331.31</v>
      </c>
      <c r="AK317" s="29">
        <v>322.2</v>
      </c>
      <c r="AL317" s="29">
        <v>5.03</v>
      </c>
      <c r="AM317" s="29">
        <v>4.54</v>
      </c>
      <c r="AN317" s="29">
        <v>4.7</v>
      </c>
      <c r="AO317" s="29">
        <v>4.58</v>
      </c>
      <c r="AP317" s="29">
        <v>7.21</v>
      </c>
      <c r="AQ317" s="29">
        <v>134.44</v>
      </c>
      <c r="AR317" s="29">
        <v>148.56</v>
      </c>
      <c r="BH317" s="29">
        <v>1310.28</v>
      </c>
      <c r="BI317" s="29">
        <v>72.81</v>
      </c>
      <c r="BK317" s="29">
        <v>278.54</v>
      </c>
      <c r="BL317" s="29">
        <v>250.33</v>
      </c>
      <c r="BM317" s="29">
        <v>249.95</v>
      </c>
      <c r="BN317" s="29">
        <v>218.16</v>
      </c>
      <c r="BO317" s="29">
        <v>217.86</v>
      </c>
      <c r="BP317" s="29">
        <v>238.3</v>
      </c>
      <c r="BQ317" s="29">
        <v>209.65</v>
      </c>
      <c r="BR317" s="29">
        <v>217.5</v>
      </c>
      <c r="BX317" s="29">
        <v>48.0</v>
      </c>
      <c r="BY317" s="29">
        <v>50.0</v>
      </c>
      <c r="BZ317" s="29">
        <v>43.67</v>
      </c>
      <c r="CA317" s="29">
        <v>46.4</v>
      </c>
      <c r="CD317" s="29">
        <v>31.08</v>
      </c>
      <c r="CE317" s="29">
        <v>31.62</v>
      </c>
      <c r="CF317" s="29">
        <v>321.36</v>
      </c>
      <c r="CG317" s="29">
        <v>1285.46</v>
      </c>
      <c r="CH317" s="29">
        <v>13.42</v>
      </c>
      <c r="CI317" s="29">
        <v>5543.0</v>
      </c>
      <c r="CJ317" s="27" t="inlineStr">
        <is>
          <t xml:space="preserve">set/26</t>
        </is>
      </c>
    </row>
    <row r="318">
      <c r="A318" s="28">
        <v>46246</v>
      </c>
      <c r="B318" s="29">
        <v>1414.35</v>
      </c>
      <c r="C318" s="29">
        <v>3375.82</v>
      </c>
      <c r="D318" s="29">
        <v>7.19</v>
      </c>
      <c r="E318" s="29">
        <v>5.1</v>
      </c>
      <c r="F318" s="29">
        <v>1771.09</v>
      </c>
      <c r="G318" s="29">
        <v>1077.11</v>
      </c>
      <c r="H318" s="29">
        <v>386.75</v>
      </c>
      <c r="I318" s="27" t="inlineStr">
        <is>
          <t xml:space="preserve">dez/26</t>
        </is>
      </c>
      <c r="J318" s="29">
        <v>167491.07</v>
      </c>
      <c r="K318" s="30">
        <v>5215.0</v>
      </c>
      <c r="L318" s="27" t="inlineStr">
        <is>
          <t xml:space="preserve">set/26</t>
        </is>
      </c>
      <c r="M318" s="29">
        <v>351.45</v>
      </c>
      <c r="N318" s="27" t="inlineStr">
        <is>
          <t xml:space="preserve">set/26</t>
        </is>
      </c>
      <c r="O318" s="29">
        <v>70.34</v>
      </c>
      <c r="P318" s="27" t="inlineStr">
        <is>
          <t xml:space="preserve">set/26</t>
        </is>
      </c>
      <c r="Q318" s="29">
        <v>26.09</v>
      </c>
      <c r="R318" s="27" t="inlineStr">
        <is>
          <t xml:space="preserve">nov/26</t>
        </is>
      </c>
      <c r="S318" s="30">
        <v>11.6525</v>
      </c>
      <c r="T318" s="27" t="inlineStr">
        <is>
          <t xml:space="preserve">set/26</t>
        </is>
      </c>
      <c r="U318" s="30">
        <v>4.57</v>
      </c>
      <c r="V318" s="27" t="inlineStr">
        <is>
          <t xml:space="preserve">set/26</t>
        </is>
      </c>
      <c r="W318" s="29">
        <v>308.5</v>
      </c>
      <c r="X318" s="27" t="inlineStr">
        <is>
          <t xml:space="preserve">set/26</t>
        </is>
      </c>
      <c r="Y318" s="30">
        <v>0.6916</v>
      </c>
      <c r="Z318" s="27" t="inlineStr">
        <is>
          <t xml:space="preserve">set/26</t>
        </is>
      </c>
      <c r="AA318" s="29">
        <v>424.64</v>
      </c>
      <c r="AB318" s="29">
        <v>97.41</v>
      </c>
      <c r="AC318" s="29">
        <v>346.89</v>
      </c>
      <c r="AD318" s="29">
        <v>340.31</v>
      </c>
      <c r="AE318" s="29">
        <v>338.17</v>
      </c>
      <c r="AG318" s="29">
        <v>339.51</v>
      </c>
      <c r="AH318" s="29">
        <v>337.1</v>
      </c>
      <c r="AI318" s="29">
        <v>338.13</v>
      </c>
      <c r="AJ318" s="29">
        <v>330.91</v>
      </c>
      <c r="AK318" s="29">
        <v>321.81</v>
      </c>
      <c r="AL318" s="29">
        <v>4.95</v>
      </c>
      <c r="AM318" s="29">
        <v>4.55</v>
      </c>
      <c r="AN318" s="29">
        <v>4.7</v>
      </c>
      <c r="AO318" s="29">
        <v>4.56</v>
      </c>
      <c r="AP318" s="29">
        <v>7.21</v>
      </c>
      <c r="AQ318" s="29">
        <v>134.45</v>
      </c>
      <c r="AR318" s="29">
        <v>149.21</v>
      </c>
      <c r="BH318" s="29">
        <v>1321.52</v>
      </c>
      <c r="BI318" s="29">
        <v>73.37</v>
      </c>
      <c r="BK318" s="29">
        <v>272.6</v>
      </c>
      <c r="BL318" s="29">
        <v>245.29</v>
      </c>
      <c r="BM318" s="29">
        <v>250.39</v>
      </c>
      <c r="BN318" s="29">
        <v>214.26</v>
      </c>
      <c r="BO318" s="29">
        <v>218.71</v>
      </c>
      <c r="BP318" s="29">
        <v>234.73</v>
      </c>
      <c r="BQ318" s="29">
        <v>209.81</v>
      </c>
      <c r="BR318" s="29">
        <v>213.0</v>
      </c>
      <c r="BX318" s="29">
        <v>48.0</v>
      </c>
      <c r="BY318" s="29">
        <v>50.0</v>
      </c>
      <c r="BZ318" s="29">
        <v>44.0</v>
      </c>
      <c r="CA318" s="29">
        <v>46.4</v>
      </c>
      <c r="CD318" s="29">
        <v>30.8</v>
      </c>
      <c r="CE318" s="29">
        <v>31.29</v>
      </c>
      <c r="CF318" s="29">
        <v>327.09</v>
      </c>
      <c r="CG318" s="29">
        <v>1308.36</v>
      </c>
      <c r="CH318" s="29">
        <v>13.81</v>
      </c>
      <c r="CI318" s="29">
        <v>5619.0</v>
      </c>
      <c r="CJ318" s="27" t="inlineStr">
        <is>
          <t xml:space="preserve">set/26</t>
        </is>
      </c>
    </row>
    <row r="319">
      <c r="A319" s="28">
        <v>46247</v>
      </c>
      <c r="B319" s="29">
        <v>1416.1</v>
      </c>
      <c r="C319" s="29">
        <v>3377.1</v>
      </c>
      <c r="D319" s="29">
        <v>7.2</v>
      </c>
      <c r="E319" s="29">
        <v>5.11</v>
      </c>
      <c r="F319" s="29">
        <v>1779.4</v>
      </c>
      <c r="G319" s="29">
        <v>1064.62</v>
      </c>
      <c r="H319" s="29">
        <v>384.9</v>
      </c>
      <c r="I319" s="27" t="inlineStr">
        <is>
          <t xml:space="preserve">dez/26</t>
        </is>
      </c>
      <c r="J319" s="29">
        <v>167100.95</v>
      </c>
      <c r="K319" s="30">
        <v>5210.0</v>
      </c>
      <c r="L319" s="27" t="inlineStr">
        <is>
          <t xml:space="preserve">set/26</t>
        </is>
      </c>
      <c r="M319" s="29">
        <v>349.55</v>
      </c>
      <c r="N319" s="27" t="inlineStr">
        <is>
          <t xml:space="preserve">set/26</t>
        </is>
      </c>
      <c r="O319" s="29">
        <v>69.43</v>
      </c>
      <c r="P319" s="27" t="inlineStr">
        <is>
          <t xml:space="preserve">set/26</t>
        </is>
      </c>
      <c r="Q319" s="29">
        <v>26.03</v>
      </c>
      <c r="R319" s="27" t="inlineStr">
        <is>
          <t xml:space="preserve">nov/26</t>
        </is>
      </c>
      <c r="S319" s="30">
        <v>11.66</v>
      </c>
      <c r="T319" s="27" t="inlineStr">
        <is>
          <t xml:space="preserve">set/26</t>
        </is>
      </c>
      <c r="U319" s="30">
        <v>4.48</v>
      </c>
      <c r="V319" s="27" t="inlineStr">
        <is>
          <t xml:space="preserve">set/26</t>
        </is>
      </c>
      <c r="W319" s="29">
        <v>307.4</v>
      </c>
      <c r="X319" s="27" t="inlineStr">
        <is>
          <t xml:space="preserve">set/26</t>
        </is>
      </c>
      <c r="Y319" s="30">
        <v>0.6879</v>
      </c>
      <c r="Z319" s="27" t="inlineStr">
        <is>
          <t xml:space="preserve">set/26</t>
        </is>
      </c>
      <c r="AA319" s="29">
        <v>418.89</v>
      </c>
      <c r="AB319" s="29">
        <v>98.31</v>
      </c>
      <c r="AL319" s="29">
        <v>4.95</v>
      </c>
      <c r="AM319" s="29">
        <v>4.55</v>
      </c>
      <c r="AN319" s="29">
        <v>4.7</v>
      </c>
      <c r="AO319" s="29">
        <v>4.53</v>
      </c>
      <c r="AP319" s="29">
        <v>7.21</v>
      </c>
      <c r="AQ319" s="29">
        <v>134.45</v>
      </c>
      <c r="AR319" s="29">
        <v>149.21</v>
      </c>
      <c r="BH319" s="29">
        <v>1321.52</v>
      </c>
      <c r="BI319" s="29">
        <v>73.6</v>
      </c>
      <c r="BJ319" s="29">
        <v>283.33</v>
      </c>
      <c r="BK319" s="29">
        <v>275.44</v>
      </c>
      <c r="BL319" s="29">
        <v>248.26</v>
      </c>
      <c r="BM319" s="29">
        <v>252.37</v>
      </c>
      <c r="BN319" s="29">
        <v>218.97</v>
      </c>
      <c r="BO319" s="29">
        <v>220.84</v>
      </c>
      <c r="BP319" s="29">
        <v>236.35</v>
      </c>
      <c r="BQ319" s="29">
        <v>208.13</v>
      </c>
      <c r="BR319" s="29">
        <v>215.0</v>
      </c>
      <c r="BX319" s="29">
        <v>48.0</v>
      </c>
      <c r="BY319" s="29">
        <v>50.0</v>
      </c>
      <c r="BZ319" s="29">
        <v>44.0</v>
      </c>
      <c r="CA319" s="29">
        <v>46.4</v>
      </c>
      <c r="CD319" s="29">
        <v>30.8</v>
      </c>
      <c r="CE319" s="29">
        <v>30.53</v>
      </c>
      <c r="CF319" s="29">
        <v>328.89</v>
      </c>
      <c r="CG319" s="29">
        <v>1315.54</v>
      </c>
      <c r="CH319" s="29">
        <v>13.93</v>
      </c>
      <c r="CI319" s="29">
        <v>5648.0</v>
      </c>
      <c r="CJ319" s="27" t="inlineStr">
        <is>
          <t xml:space="preserve">set/26</t>
        </is>
      </c>
    </row>
    <row r="320">
      <c r="A320" s="28">
        <v>46248</v>
      </c>
      <c r="B320" s="29">
        <v>1421.62</v>
      </c>
      <c r="C320" s="29">
        <v>3384.96</v>
      </c>
      <c r="D320" s="29">
        <v>7.19</v>
      </c>
      <c r="E320" s="29">
        <v>5.06</v>
      </c>
      <c r="F320" s="29">
        <v>1794.15</v>
      </c>
      <c r="G320" s="29">
        <v>1049.17</v>
      </c>
      <c r="H320" s="29">
        <v>381.45</v>
      </c>
      <c r="I320" s="27" t="inlineStr">
        <is>
          <t xml:space="preserve">dez/26</t>
        </is>
      </c>
      <c r="J320" s="29">
        <v>166934.2</v>
      </c>
      <c r="K320" s="30">
        <v>5236.0</v>
      </c>
      <c r="L320" s="27" t="inlineStr">
        <is>
          <t xml:space="preserve">set/26</t>
        </is>
      </c>
      <c r="M320" s="29">
        <v>348.3</v>
      </c>
      <c r="N320" s="27" t="inlineStr">
        <is>
          <t xml:space="preserve">set/26</t>
        </is>
      </c>
      <c r="O320" s="29">
        <v>70.29</v>
      </c>
      <c r="P320" s="27" t="inlineStr">
        <is>
          <t xml:space="preserve">set/26</t>
        </is>
      </c>
      <c r="Q320" s="29">
        <v>26.26</v>
      </c>
      <c r="R320" s="27" t="inlineStr">
        <is>
          <t xml:space="preserve">nov/26</t>
        </is>
      </c>
      <c r="S320" s="30">
        <v>11.7775</v>
      </c>
      <c r="T320" s="27" t="inlineStr">
        <is>
          <t xml:space="preserve">set/26</t>
        </is>
      </c>
      <c r="U320" s="30">
        <v>4.59</v>
      </c>
      <c r="V320" s="27" t="inlineStr">
        <is>
          <t xml:space="preserve">set/26</t>
        </is>
      </c>
      <c r="W320" s="29">
        <v>310.2</v>
      </c>
      <c r="X320" s="27" t="inlineStr">
        <is>
          <t xml:space="preserve">set/26</t>
        </is>
      </c>
      <c r="Y320" s="30">
        <v>0.6944</v>
      </c>
      <c r="Z320" s="27" t="inlineStr">
        <is>
          <t xml:space="preserve">set/26</t>
        </is>
      </c>
      <c r="AA320" s="29">
        <v>419.0</v>
      </c>
      <c r="AB320" s="29">
        <v>97.9</v>
      </c>
      <c r="AC320" s="29">
        <v>346.34</v>
      </c>
      <c r="AD320" s="29">
        <v>338.86</v>
      </c>
      <c r="AE320" s="29">
        <v>337.93</v>
      </c>
      <c r="AG320" s="29">
        <v>341.85</v>
      </c>
      <c r="AH320" s="29">
        <v>337.19</v>
      </c>
      <c r="AI320" s="29">
        <v>332.97</v>
      </c>
      <c r="AJ320" s="29">
        <v>329.83</v>
      </c>
      <c r="AK320" s="29">
        <v>320.08</v>
      </c>
      <c r="AL320" s="29">
        <v>5.02</v>
      </c>
      <c r="AM320" s="29">
        <v>4.63</v>
      </c>
      <c r="AN320" s="29">
        <v>4.69</v>
      </c>
      <c r="AO320" s="29">
        <v>4.52</v>
      </c>
      <c r="AP320" s="29">
        <v>7.2</v>
      </c>
      <c r="AQ320" s="29">
        <v>134.45</v>
      </c>
      <c r="AR320" s="29">
        <v>149.21</v>
      </c>
      <c r="BC320" s="29">
        <v>9.51</v>
      </c>
      <c r="BD320" s="29">
        <v>9.32</v>
      </c>
      <c r="BE320" s="29">
        <v>10.18</v>
      </c>
      <c r="BF320" s="29">
        <v>8.67</v>
      </c>
      <c r="BG320" s="29">
        <v>9.66</v>
      </c>
      <c r="BH320" s="29">
        <v>1319.86</v>
      </c>
      <c r="BI320" s="29">
        <v>73.63</v>
      </c>
      <c r="BJ320" s="29">
        <v>287.86</v>
      </c>
      <c r="BK320" s="29">
        <v>287.4</v>
      </c>
      <c r="BL320" s="29">
        <v>251.3</v>
      </c>
      <c r="BM320" s="29">
        <v>260.5</v>
      </c>
      <c r="BN320" s="29">
        <v>222.13</v>
      </c>
      <c r="BO320" s="29">
        <v>222.77</v>
      </c>
      <c r="BP320" s="29">
        <v>228.75</v>
      </c>
      <c r="BQ320" s="29">
        <v>207.22</v>
      </c>
      <c r="BR320" s="29">
        <v>216.0</v>
      </c>
      <c r="BS320" s="30">
        <v>2.1939</v>
      </c>
      <c r="BT320" s="30">
        <v>2.4319</v>
      </c>
      <c r="BU320" s="29">
        <v>564.77</v>
      </c>
      <c r="BV320" s="29">
        <v>444.31</v>
      </c>
      <c r="BW320" s="29">
        <v>556.86</v>
      </c>
      <c r="BX320" s="29">
        <v>49.0</v>
      </c>
      <c r="BY320" s="29">
        <v>50.0</v>
      </c>
      <c r="BZ320" s="29">
        <v>44.0</v>
      </c>
      <c r="CA320" s="29">
        <v>46.4</v>
      </c>
      <c r="CD320" s="29">
        <v>30.8</v>
      </c>
      <c r="CE320" s="29">
        <v>30.85</v>
      </c>
      <c r="CF320" s="29">
        <v>336.38</v>
      </c>
      <c r="CG320" s="29">
        <v>1345.51</v>
      </c>
      <c r="CH320" s="29">
        <v>14.43</v>
      </c>
      <c r="CI320" s="29">
        <v>5734.0</v>
      </c>
      <c r="CJ320" s="27" t="inlineStr">
        <is>
          <t xml:space="preserve">set/26</t>
        </is>
      </c>
    </row>
    <row r="321">
      <c r="A321" s="28">
        <v>46251</v>
      </c>
      <c r="B321" s="29">
        <v>1419.11</v>
      </c>
      <c r="C321" s="29">
        <v>3390.21</v>
      </c>
      <c r="D321" s="29">
        <v>7.17</v>
      </c>
      <c r="E321" s="29">
        <v>4.97</v>
      </c>
      <c r="F321" s="29">
        <v>1784.82</v>
      </c>
      <c r="G321" s="29">
        <v>1052.95</v>
      </c>
      <c r="H321" s="29">
        <v>388.0</v>
      </c>
      <c r="I321" s="27" t="inlineStr">
        <is>
          <t xml:space="preserve">dez/26</t>
        </is>
      </c>
      <c r="J321" s="29">
        <v>166783.57</v>
      </c>
      <c r="K321" s="30">
        <v>5222.5</v>
      </c>
      <c r="L321" s="27" t="inlineStr">
        <is>
          <t xml:space="preserve">set/26</t>
        </is>
      </c>
      <c r="M321" s="29">
        <v>350.3</v>
      </c>
      <c r="N321" s="27" t="inlineStr">
        <is>
          <t xml:space="preserve">set/26</t>
        </is>
      </c>
      <c r="O321" s="29">
        <v>70.57</v>
      </c>
      <c r="P321" s="27" t="inlineStr">
        <is>
          <t xml:space="preserve">set/26</t>
        </is>
      </c>
      <c r="Q321" s="29">
        <v>26.82</v>
      </c>
      <c r="R321" s="27" t="inlineStr">
        <is>
          <t xml:space="preserve">nov/26</t>
        </is>
      </c>
      <c r="S321" s="30">
        <v>12.01</v>
      </c>
      <c r="T321" s="27" t="inlineStr">
        <is>
          <t xml:space="preserve">set/26</t>
        </is>
      </c>
      <c r="U321" s="30">
        <v>4.65</v>
      </c>
      <c r="V321" s="27" t="inlineStr">
        <is>
          <t xml:space="preserve">set/26</t>
        </is>
      </c>
      <c r="W321" s="29">
        <v>312.1</v>
      </c>
      <c r="X321" s="27" t="inlineStr">
        <is>
          <t xml:space="preserve">set/26</t>
        </is>
      </c>
      <c r="Y321" s="30">
        <v>0.7144</v>
      </c>
      <c r="Z321" s="27" t="inlineStr">
        <is>
          <t xml:space="preserve">set/26</t>
        </is>
      </c>
      <c r="AA321" s="29">
        <v>421.71</v>
      </c>
      <c r="AB321" s="29">
        <v>99.94</v>
      </c>
      <c r="AC321" s="29">
        <v>345.58</v>
      </c>
      <c r="AD321" s="29">
        <v>340.09</v>
      </c>
      <c r="AE321" s="29">
        <v>338.85</v>
      </c>
      <c r="AG321" s="29">
        <v>340.91</v>
      </c>
      <c r="AH321" s="29">
        <v>337.85</v>
      </c>
      <c r="AI321" s="29">
        <v>332.87</v>
      </c>
      <c r="AJ321" s="29">
        <v>329.56</v>
      </c>
      <c r="AK321" s="29">
        <v>325.81</v>
      </c>
      <c r="AL321" s="29">
        <v>5.0</v>
      </c>
      <c r="AM321" s="29">
        <v>4.67</v>
      </c>
      <c r="AN321" s="29">
        <v>4.69</v>
      </c>
      <c r="AO321" s="29">
        <v>4.6</v>
      </c>
      <c r="AP321" s="29">
        <v>7.18</v>
      </c>
      <c r="AQ321" s="29">
        <v>134.39</v>
      </c>
      <c r="AR321" s="29">
        <v>148.67</v>
      </c>
      <c r="BH321" s="29">
        <v>1318.09</v>
      </c>
      <c r="BI321" s="29">
        <v>73.81</v>
      </c>
      <c r="BJ321" s="29">
        <v>312.0</v>
      </c>
      <c r="BK321" s="29">
        <v>295.71</v>
      </c>
      <c r="BL321" s="29">
        <v>270.47</v>
      </c>
      <c r="BM321" s="29">
        <v>274.4</v>
      </c>
      <c r="BN321" s="29">
        <v>224.6</v>
      </c>
      <c r="BO321" s="29">
        <v>221.96</v>
      </c>
      <c r="BP321" s="29">
        <v>232.57</v>
      </c>
      <c r="BQ321" s="29">
        <v>208.26</v>
      </c>
      <c r="BR321" s="29">
        <v>216.67</v>
      </c>
      <c r="BX321" s="29">
        <v>49.0</v>
      </c>
      <c r="BY321" s="29">
        <v>50.0</v>
      </c>
      <c r="BZ321" s="29">
        <v>45.67</v>
      </c>
      <c r="CA321" s="29">
        <v>46.4</v>
      </c>
      <c r="CD321" s="29">
        <v>30.8</v>
      </c>
      <c r="CE321" s="29">
        <v>30.94</v>
      </c>
      <c r="CF321" s="29">
        <v>331.83</v>
      </c>
      <c r="CG321" s="29">
        <v>1327.32</v>
      </c>
      <c r="CH321" s="29">
        <v>14.12</v>
      </c>
      <c r="CI321" s="29">
        <v>6044.0</v>
      </c>
      <c r="CJ321" s="27" t="inlineStr">
        <is>
          <t xml:space="preserve">set/26</t>
        </is>
      </c>
    </row>
    <row r="322">
      <c r="A322" s="28">
        <v>46252</v>
      </c>
      <c r="B322" s="29">
        <v>1419.12</v>
      </c>
      <c r="C322" s="29">
        <v>3385.31</v>
      </c>
      <c r="D322" s="29">
        <v>7.17</v>
      </c>
      <c r="E322" s="29">
        <v>4.95</v>
      </c>
      <c r="F322" s="29">
        <v>1815.45</v>
      </c>
      <c r="G322" s="29">
        <v>1075.11</v>
      </c>
      <c r="H322" s="29">
        <v>402.35</v>
      </c>
      <c r="I322" s="27" t="inlineStr">
        <is>
          <t xml:space="preserve">dez/26</t>
        </is>
      </c>
      <c r="J322" s="29">
        <v>166334.86</v>
      </c>
      <c r="K322" s="30">
        <v>5229.5</v>
      </c>
      <c r="L322" s="27" t="inlineStr">
        <is>
          <t xml:space="preserve">set/26</t>
        </is>
      </c>
      <c r="M322" s="29">
        <v>353.65</v>
      </c>
      <c r="N322" s="27" t="inlineStr">
        <is>
          <t xml:space="preserve">set/26</t>
        </is>
      </c>
      <c r="O322" s="29">
        <v>71.48</v>
      </c>
      <c r="P322" s="27" t="inlineStr">
        <is>
          <t xml:space="preserve">set/26</t>
        </is>
      </c>
      <c r="Q322" s="29">
        <v>26.8</v>
      </c>
      <c r="R322" s="27" t="inlineStr">
        <is>
          <t xml:space="preserve">nov/26</t>
        </is>
      </c>
      <c r="S322" s="30">
        <v>12.0075</v>
      </c>
      <c r="T322" s="27" t="inlineStr">
        <is>
          <t xml:space="preserve">set/26</t>
        </is>
      </c>
      <c r="U322" s="30">
        <v>4.6325</v>
      </c>
      <c r="V322" s="27" t="inlineStr">
        <is>
          <t xml:space="preserve">set/26</t>
        </is>
      </c>
      <c r="W322" s="29">
        <v>313.0</v>
      </c>
      <c r="X322" s="27" t="inlineStr">
        <is>
          <t xml:space="preserve">set/26</t>
        </is>
      </c>
      <c r="Y322" s="30">
        <v>0.6969</v>
      </c>
      <c r="Z322" s="27" t="inlineStr">
        <is>
          <t xml:space="preserve">set/26</t>
        </is>
      </c>
      <c r="AA322" s="29">
        <v>423.93</v>
      </c>
      <c r="AB322" s="29">
        <v>102.27</v>
      </c>
      <c r="AC322" s="29">
        <v>344.13</v>
      </c>
      <c r="AD322" s="29">
        <v>339.92</v>
      </c>
      <c r="AE322" s="29">
        <v>338.05</v>
      </c>
      <c r="AG322" s="29">
        <v>340.01</v>
      </c>
      <c r="AH322" s="29">
        <v>335.14</v>
      </c>
      <c r="AI322" s="29">
        <v>332.42</v>
      </c>
      <c r="AJ322" s="29">
        <v>328.52</v>
      </c>
      <c r="AK322" s="29">
        <v>326.13</v>
      </c>
      <c r="AL322" s="29">
        <v>5.02</v>
      </c>
      <c r="AM322" s="29">
        <v>4.66</v>
      </c>
      <c r="AN322" s="29">
        <v>4.7</v>
      </c>
      <c r="AO322" s="29">
        <v>4.61</v>
      </c>
      <c r="AP322" s="29">
        <v>7.18</v>
      </c>
      <c r="AQ322" s="29">
        <v>134.39</v>
      </c>
      <c r="AR322" s="29">
        <v>148.67</v>
      </c>
      <c r="BH322" s="29">
        <v>1320.04</v>
      </c>
      <c r="BI322" s="29">
        <v>75.96</v>
      </c>
      <c r="BJ322" s="29">
        <v>312.0</v>
      </c>
      <c r="BK322" s="29">
        <v>309.47</v>
      </c>
      <c r="BL322" s="29">
        <v>280.33</v>
      </c>
      <c r="BM322" s="29">
        <v>284.94</v>
      </c>
      <c r="BN322" s="29">
        <v>251.73</v>
      </c>
      <c r="BO322" s="29">
        <v>219.63</v>
      </c>
      <c r="BP322" s="29">
        <v>232.9</v>
      </c>
      <c r="BQ322" s="29">
        <v>209.25</v>
      </c>
      <c r="BR322" s="29">
        <v>218.57</v>
      </c>
      <c r="BX322" s="29">
        <v>50.0</v>
      </c>
      <c r="BY322" s="29">
        <v>50.0</v>
      </c>
      <c r="BZ322" s="29">
        <v>45.67</v>
      </c>
      <c r="CA322" s="29">
        <v>46.4</v>
      </c>
      <c r="CD322" s="29">
        <v>30.8</v>
      </c>
      <c r="CE322" s="29">
        <v>31.31</v>
      </c>
      <c r="CF322" s="29">
        <v>337.85</v>
      </c>
      <c r="CG322" s="29">
        <v>1351.4</v>
      </c>
      <c r="CH322" s="29">
        <v>14.52</v>
      </c>
      <c r="CI322" s="29">
        <v>5905.0</v>
      </c>
      <c r="CJ322" s="27" t="inlineStr">
        <is>
          <t xml:space="preserve">set/26</t>
        </is>
      </c>
    </row>
    <row r="323">
      <c r="A323" s="28">
        <v>46253</v>
      </c>
      <c r="B323" s="29">
        <v>1444.01</v>
      </c>
      <c r="C323" s="29">
        <v>3389.33</v>
      </c>
      <c r="D323" s="29">
        <v>7.17</v>
      </c>
      <c r="E323" s="29">
        <v>4.95</v>
      </c>
      <c r="F323" s="29">
        <v>1804.65</v>
      </c>
      <c r="G323" s="29">
        <v>1062.69</v>
      </c>
      <c r="H323" s="29">
        <v>402.0</v>
      </c>
      <c r="I323" s="27" t="inlineStr">
        <is>
          <t xml:space="preserve">dez/26</t>
        </is>
      </c>
      <c r="J323" s="29">
        <v>167830.27</v>
      </c>
      <c r="K323" s="30">
        <v>5192.5</v>
      </c>
      <c r="L323" s="27" t="inlineStr">
        <is>
          <t xml:space="preserve">set/26</t>
        </is>
      </c>
      <c r="M323" s="29">
        <v>355.75</v>
      </c>
      <c r="N323" s="27" t="inlineStr">
        <is>
          <t xml:space="preserve">set/26</t>
        </is>
      </c>
      <c r="O323" s="29">
        <v>70.95</v>
      </c>
      <c r="P323" s="27" t="inlineStr">
        <is>
          <t xml:space="preserve">set/26</t>
        </is>
      </c>
      <c r="Q323" s="29">
        <v>27.25</v>
      </c>
      <c r="R323" s="27" t="inlineStr">
        <is>
          <t xml:space="preserve">nov/26</t>
        </is>
      </c>
      <c r="S323" s="30">
        <v>12.2225</v>
      </c>
      <c r="T323" s="27" t="inlineStr">
        <is>
          <t xml:space="preserve">set/26</t>
        </is>
      </c>
      <c r="U323" s="30">
        <v>4.73</v>
      </c>
      <c r="V323" s="27" t="inlineStr">
        <is>
          <t xml:space="preserve">set/26</t>
        </is>
      </c>
      <c r="W323" s="29">
        <v>318.9</v>
      </c>
      <c r="X323" s="27" t="inlineStr">
        <is>
          <t xml:space="preserve">set/26</t>
        </is>
      </c>
      <c r="Y323" s="30">
        <v>0.6986</v>
      </c>
      <c r="Z323" s="27" t="inlineStr">
        <is>
          <t xml:space="preserve">set/26</t>
        </is>
      </c>
      <c r="AA323" s="29">
        <v>420.68</v>
      </c>
      <c r="AB323" s="29">
        <v>102.49</v>
      </c>
      <c r="AC323" s="29">
        <v>343.74</v>
      </c>
      <c r="AD323" s="29">
        <v>339.96</v>
      </c>
      <c r="AE323" s="29">
        <v>339.13</v>
      </c>
      <c r="AG323" s="29">
        <v>335.07</v>
      </c>
      <c r="AH323" s="29">
        <v>334.81</v>
      </c>
      <c r="AI323" s="29">
        <v>333.82</v>
      </c>
      <c r="AJ323" s="29">
        <v>328.68</v>
      </c>
      <c r="AK323" s="29">
        <v>321.17</v>
      </c>
      <c r="AL323" s="29">
        <v>5.05</v>
      </c>
      <c r="AM323" s="29">
        <v>4.67</v>
      </c>
      <c r="AN323" s="29">
        <v>4.7</v>
      </c>
      <c r="AO323" s="29">
        <v>4.61</v>
      </c>
      <c r="AP323" s="29">
        <v>7.18</v>
      </c>
      <c r="AQ323" s="29">
        <v>129.96</v>
      </c>
      <c r="AR323" s="29">
        <v>144.26</v>
      </c>
      <c r="BH323" s="29">
        <v>1321.69</v>
      </c>
      <c r="BI323" s="29">
        <v>76.08</v>
      </c>
      <c r="BJ323" s="29">
        <v>319.0</v>
      </c>
      <c r="BK323" s="29">
        <v>322.18</v>
      </c>
      <c r="BL323" s="29">
        <v>287.24</v>
      </c>
      <c r="BM323" s="29">
        <v>289.66</v>
      </c>
      <c r="BN323" s="29">
        <v>254.08</v>
      </c>
      <c r="BO323" s="29">
        <v>222.31</v>
      </c>
      <c r="BP323" s="29">
        <v>229.32</v>
      </c>
      <c r="BQ323" s="29">
        <v>208.29</v>
      </c>
      <c r="BR323" s="29">
        <v>218.57</v>
      </c>
      <c r="BX323" s="29">
        <v>50.0</v>
      </c>
      <c r="BY323" s="29">
        <v>50.0</v>
      </c>
      <c r="BZ323" s="29">
        <v>46.0</v>
      </c>
      <c r="CA323" s="29">
        <v>46.4</v>
      </c>
      <c r="CD323" s="29">
        <v>30.8</v>
      </c>
      <c r="CE323" s="29">
        <v>30.66</v>
      </c>
      <c r="CF323" s="29">
        <v>349.73</v>
      </c>
      <c r="CG323" s="29">
        <v>1398.92</v>
      </c>
      <c r="CH323" s="29">
        <v>15.32</v>
      </c>
      <c r="CI323" s="29">
        <v>6046.0</v>
      </c>
      <c r="CJ323" s="27" t="inlineStr">
        <is>
          <t xml:space="preserve">set/26</t>
        </is>
      </c>
    </row>
    <row r="324">
      <c r="A324" s="28">
        <v>46254</v>
      </c>
      <c r="B324" s="29">
        <v>1444.03</v>
      </c>
      <c r="C324" s="29">
        <v>3396.06</v>
      </c>
      <c r="D324" s="29">
        <v>7.17</v>
      </c>
      <c r="E324" s="29">
        <v>4.95</v>
      </c>
      <c r="F324" s="29">
        <v>1821.66</v>
      </c>
      <c r="G324" s="29">
        <v>1066.15</v>
      </c>
      <c r="H324" s="29">
        <v>407.5</v>
      </c>
      <c r="I324" s="27" t="inlineStr">
        <is>
          <t xml:space="preserve">dez/26</t>
        </is>
      </c>
      <c r="J324" s="29">
        <v>167927.15</v>
      </c>
      <c r="K324" s="30">
        <v>5207.5</v>
      </c>
      <c r="L324" s="27" t="inlineStr">
        <is>
          <t xml:space="preserve">set/26</t>
        </is>
      </c>
      <c r="M324" s="29">
        <v>354.5</v>
      </c>
      <c r="N324" s="27" t="inlineStr">
        <is>
          <t xml:space="preserve">set/26</t>
        </is>
      </c>
      <c r="O324" s="29">
        <v>71.31</v>
      </c>
      <c r="P324" s="27" t="inlineStr">
        <is>
          <t xml:space="preserve">set/26</t>
        </is>
      </c>
      <c r="Q324" s="29">
        <v>27.25</v>
      </c>
      <c r="R324" s="27" t="inlineStr">
        <is>
          <t xml:space="preserve">nov/26</t>
        </is>
      </c>
      <c r="S324" s="30">
        <v>12.2075</v>
      </c>
      <c r="T324" s="27" t="inlineStr">
        <is>
          <t xml:space="preserve">set/26</t>
        </is>
      </c>
      <c r="U324" s="30">
        <v>4.7875</v>
      </c>
      <c r="V324" s="27" t="inlineStr">
        <is>
          <t xml:space="preserve">set/26</t>
        </is>
      </c>
      <c r="W324" s="29">
        <v>315.7</v>
      </c>
      <c r="X324" s="27" t="inlineStr">
        <is>
          <t xml:space="preserve">set/26</t>
        </is>
      </c>
      <c r="Y324" s="30">
        <v>0.7118</v>
      </c>
      <c r="Z324" s="27" t="inlineStr">
        <is>
          <t xml:space="preserve">set/26</t>
        </is>
      </c>
      <c r="AA324" s="29">
        <v>421.0</v>
      </c>
      <c r="AB324" s="29">
        <v>104.37</v>
      </c>
      <c r="AC324" s="29">
        <v>344.41</v>
      </c>
      <c r="AD324" s="29">
        <v>340.09</v>
      </c>
      <c r="AE324" s="29">
        <v>339.71</v>
      </c>
      <c r="AG324" s="29">
        <v>340.2</v>
      </c>
      <c r="AH324" s="29">
        <v>335.09</v>
      </c>
      <c r="AI324" s="29">
        <v>332.72</v>
      </c>
      <c r="AJ324" s="29">
        <v>328.18</v>
      </c>
      <c r="AK324" s="29">
        <v>319.56</v>
      </c>
      <c r="AL324" s="29">
        <v>5.05</v>
      </c>
      <c r="AM324" s="29">
        <v>4.67</v>
      </c>
      <c r="AN324" s="29">
        <v>4.7</v>
      </c>
      <c r="AO324" s="29">
        <v>4.65</v>
      </c>
      <c r="AP324" s="29">
        <v>7.18</v>
      </c>
      <c r="AQ324" s="29">
        <v>129.51</v>
      </c>
      <c r="AR324" s="29">
        <v>141.14</v>
      </c>
      <c r="BH324" s="29">
        <v>1326.73</v>
      </c>
      <c r="BI324" s="29">
        <v>76.2</v>
      </c>
      <c r="BK324" s="29">
        <v>326.76</v>
      </c>
      <c r="BL324" s="29">
        <v>295.37</v>
      </c>
      <c r="BM324" s="29">
        <v>295.11</v>
      </c>
      <c r="BN324" s="29">
        <v>254.08</v>
      </c>
      <c r="BO324" s="29">
        <v>219.37</v>
      </c>
      <c r="BP324" s="29">
        <v>228.52</v>
      </c>
      <c r="BQ324" s="29">
        <v>208.13</v>
      </c>
      <c r="BR324" s="29">
        <v>216.0</v>
      </c>
      <c r="BX324" s="29">
        <v>50.5</v>
      </c>
      <c r="BY324" s="29">
        <v>50.0</v>
      </c>
      <c r="BZ324" s="29">
        <v>46.0</v>
      </c>
      <c r="CA324" s="29">
        <v>46.4</v>
      </c>
      <c r="CD324" s="29">
        <v>31.18</v>
      </c>
      <c r="CE324" s="29">
        <v>31.53</v>
      </c>
      <c r="CF324" s="29">
        <v>348.97</v>
      </c>
      <c r="CG324" s="29">
        <v>1395.87</v>
      </c>
      <c r="CH324" s="29">
        <v>15.26</v>
      </c>
      <c r="CI324" s="29">
        <v>6088.0</v>
      </c>
      <c r="CJ324" s="27" t="inlineStr">
        <is>
          <t xml:space="preserve">set/26</t>
        </is>
      </c>
    </row>
    <row r="325">
      <c r="A325" s="28">
        <v>46255</v>
      </c>
      <c r="B325" s="29">
        <v>1446.76</v>
      </c>
      <c r="C325" s="29">
        <v>3393.02</v>
      </c>
      <c r="D325" s="29">
        <v>7.22</v>
      </c>
      <c r="E325" s="29">
        <v>4.94</v>
      </c>
      <c r="F325" s="29">
        <v>1803.76</v>
      </c>
      <c r="G325" s="29">
        <v>1051.93</v>
      </c>
      <c r="H325" s="29">
        <v>398.2</v>
      </c>
      <c r="I325" s="27" t="inlineStr">
        <is>
          <t xml:space="preserve">dez/26</t>
        </is>
      </c>
      <c r="J325" s="29">
        <v>171031.73</v>
      </c>
      <c r="K325" s="30">
        <v>5154.5</v>
      </c>
      <c r="L325" s="27" t="inlineStr">
        <is>
          <t xml:space="preserve">set/26</t>
        </is>
      </c>
      <c r="M325" s="29">
        <v>355.8</v>
      </c>
      <c r="N325" s="27" t="inlineStr">
        <is>
          <t xml:space="preserve">set/26</t>
        </is>
      </c>
      <c r="O325" s="29">
        <v>71.3</v>
      </c>
      <c r="P325" s="27" t="inlineStr">
        <is>
          <t xml:space="preserve">set/26</t>
        </is>
      </c>
      <c r="Q325" s="29">
        <v>27.32</v>
      </c>
      <c r="R325" s="27" t="inlineStr">
        <is>
          <t xml:space="preserve">nov/26</t>
        </is>
      </c>
      <c r="S325" s="30">
        <v>12.25</v>
      </c>
      <c r="T325" s="27" t="inlineStr">
        <is>
          <t xml:space="preserve">set/26</t>
        </is>
      </c>
      <c r="U325" s="30">
        <v>4.8375</v>
      </c>
      <c r="V325" s="27" t="inlineStr">
        <is>
          <t xml:space="preserve">set/26</t>
        </is>
      </c>
      <c r="W325" s="29">
        <v>317.7</v>
      </c>
      <c r="X325" s="27" t="inlineStr">
        <is>
          <t xml:space="preserve">set/26</t>
        </is>
      </c>
      <c r="Y325" s="30">
        <v>0.6935</v>
      </c>
      <c r="Z325" s="27" t="inlineStr">
        <is>
          <t xml:space="preserve">set/26</t>
        </is>
      </c>
      <c r="AA325" s="29">
        <v>427.46</v>
      </c>
      <c r="AB325" s="29">
        <v>104.37</v>
      </c>
      <c r="AC325" s="29">
        <v>343.7</v>
      </c>
      <c r="AD325" s="29">
        <v>339.89</v>
      </c>
      <c r="AE325" s="29">
        <v>339.41</v>
      </c>
      <c r="AG325" s="29">
        <v>339.8</v>
      </c>
      <c r="AH325" s="29">
        <v>335.2</v>
      </c>
      <c r="AI325" s="29">
        <v>330.6</v>
      </c>
      <c r="AJ325" s="29">
        <v>327.26</v>
      </c>
      <c r="AK325" s="29">
        <v>318.67</v>
      </c>
      <c r="AL325" s="29">
        <v>5.05</v>
      </c>
      <c r="AM325" s="29">
        <v>4.67</v>
      </c>
      <c r="AN325" s="29">
        <v>4.7</v>
      </c>
      <c r="AO325" s="29">
        <v>4.65</v>
      </c>
      <c r="AP325" s="29">
        <v>7.24</v>
      </c>
      <c r="AQ325" s="29">
        <v>123.87</v>
      </c>
      <c r="AR325" s="29">
        <v>134.31</v>
      </c>
      <c r="BC325" s="29">
        <v>9.49</v>
      </c>
      <c r="BD325" s="29">
        <v>9.3</v>
      </c>
      <c r="BE325" s="29">
        <v>10.17</v>
      </c>
      <c r="BF325" s="29">
        <v>8.67</v>
      </c>
      <c r="BG325" s="29">
        <v>9.56</v>
      </c>
      <c r="BH325" s="29">
        <v>1326.73</v>
      </c>
      <c r="BI325" s="29">
        <v>76.17</v>
      </c>
      <c r="BK325" s="29">
        <v>327.89</v>
      </c>
      <c r="BL325" s="29">
        <v>298.44</v>
      </c>
      <c r="BM325" s="29">
        <v>298.34</v>
      </c>
      <c r="BN325" s="29">
        <v>251.1</v>
      </c>
      <c r="BO325" s="29">
        <v>219.37</v>
      </c>
      <c r="BP325" s="29">
        <v>228.52</v>
      </c>
      <c r="BQ325" s="29">
        <v>212.64</v>
      </c>
      <c r="BR325" s="29">
        <v>211.25</v>
      </c>
      <c r="BS325" s="30">
        <v>2.2566</v>
      </c>
      <c r="BT325" s="30">
        <v>2.5546</v>
      </c>
      <c r="BU325" s="29">
        <v>585.25</v>
      </c>
      <c r="BV325" s="29">
        <v>452.59</v>
      </c>
      <c r="BW325" s="29">
        <v>553.32</v>
      </c>
      <c r="BX325" s="29">
        <v>50.5</v>
      </c>
      <c r="BY325" s="29">
        <v>50.0</v>
      </c>
      <c r="BZ325" s="29">
        <v>48.33</v>
      </c>
      <c r="CA325" s="29">
        <v>46.4</v>
      </c>
      <c r="CD325" s="29">
        <v>31.18</v>
      </c>
      <c r="CE325" s="29">
        <v>31.53</v>
      </c>
      <c r="CF325" s="29">
        <v>346.15</v>
      </c>
      <c r="CG325" s="29">
        <v>1384.61</v>
      </c>
      <c r="CH325" s="29">
        <v>15.08</v>
      </c>
      <c r="CI325" s="29">
        <v>5990.0</v>
      </c>
      <c r="CJ325" s="27" t="inlineStr">
        <is>
          <t xml:space="preserve">set/26</t>
        </is>
      </c>
    </row>
    <row r="326">
      <c r="A326" s="28">
        <v>46258</v>
      </c>
      <c r="B326" s="29">
        <v>1438.99</v>
      </c>
      <c r="C326" s="29">
        <v>3393.49</v>
      </c>
      <c r="D326" s="29">
        <v>7.29</v>
      </c>
      <c r="E326" s="29">
        <v>4.9</v>
      </c>
      <c r="F326" s="29">
        <v>1826.58</v>
      </c>
      <c r="G326" s="29">
        <v>1058.71</v>
      </c>
      <c r="H326" s="29">
        <v>417.0</v>
      </c>
      <c r="I326" s="27" t="inlineStr">
        <is>
          <t xml:space="preserve">dez/26</t>
        </is>
      </c>
      <c r="J326" s="29">
        <v>171906.72</v>
      </c>
      <c r="K326" s="30">
        <v>5165.0</v>
      </c>
      <c r="L326" s="27" t="inlineStr">
        <is>
          <t xml:space="preserve">set/26</t>
        </is>
      </c>
      <c r="M326" s="29">
        <v>355.35</v>
      </c>
      <c r="N326" s="27" t="inlineStr">
        <is>
          <t xml:space="preserve">set/26</t>
        </is>
      </c>
      <c r="O326" s="29">
        <v>71.88</v>
      </c>
      <c r="P326" s="27" t="inlineStr">
        <is>
          <t xml:space="preserve">set/26</t>
        </is>
      </c>
      <c r="Q326" s="29">
        <v>27.0</v>
      </c>
      <c r="R326" s="27" t="inlineStr">
        <is>
          <t xml:space="preserve">nov/26</t>
        </is>
      </c>
      <c r="S326" s="30">
        <v>12.16</v>
      </c>
      <c r="T326" s="27" t="inlineStr">
        <is>
          <t xml:space="preserve">set/26</t>
        </is>
      </c>
      <c r="U326" s="30">
        <v>4.915</v>
      </c>
      <c r="V326" s="27" t="inlineStr">
        <is>
          <t xml:space="preserve">set/26</t>
        </is>
      </c>
      <c r="W326" s="29">
        <v>320.3</v>
      </c>
      <c r="X326" s="27" t="inlineStr">
        <is>
          <t xml:space="preserve">set/26</t>
        </is>
      </c>
      <c r="Y326" s="30">
        <v>0.6713</v>
      </c>
      <c r="Z326" s="27" t="inlineStr">
        <is>
          <t xml:space="preserve">set/26</t>
        </is>
      </c>
      <c r="AA326" s="29">
        <v>428.5</v>
      </c>
      <c r="AB326" s="29">
        <v>105.51</v>
      </c>
      <c r="AC326" s="29">
        <v>342.06</v>
      </c>
      <c r="AD326" s="29">
        <v>338.93</v>
      </c>
      <c r="AE326" s="29">
        <v>340.3</v>
      </c>
      <c r="AG326" s="29">
        <v>338.09</v>
      </c>
      <c r="AH326" s="29">
        <v>335.72</v>
      </c>
      <c r="AI326" s="29">
        <v>331.34</v>
      </c>
      <c r="AJ326" s="29">
        <v>326.2</v>
      </c>
      <c r="AK326" s="29">
        <v>320.34</v>
      </c>
      <c r="AL326" s="29">
        <v>5.02</v>
      </c>
      <c r="AM326" s="29">
        <v>4.6</v>
      </c>
      <c r="AN326" s="29">
        <v>4.7</v>
      </c>
      <c r="AO326" s="29">
        <v>4.69</v>
      </c>
      <c r="AP326" s="29">
        <v>7.26</v>
      </c>
      <c r="AQ326" s="29">
        <v>124.02</v>
      </c>
      <c r="AR326" s="29">
        <v>134.46</v>
      </c>
      <c r="BH326" s="29">
        <v>1323.93</v>
      </c>
      <c r="BI326" s="29">
        <v>76.14</v>
      </c>
      <c r="BK326" s="29">
        <v>332.89</v>
      </c>
      <c r="BL326" s="29">
        <v>300.8</v>
      </c>
      <c r="BM326" s="29">
        <v>300.42</v>
      </c>
      <c r="BN326" s="29">
        <v>268.54</v>
      </c>
      <c r="BO326" s="29">
        <v>223.52</v>
      </c>
      <c r="BP326" s="29">
        <v>229.74</v>
      </c>
      <c r="BQ326" s="29">
        <v>212.57</v>
      </c>
      <c r="BR326" s="29">
        <v>211.25</v>
      </c>
      <c r="BX326" s="29">
        <v>51.0</v>
      </c>
      <c r="BY326" s="29">
        <v>50.0</v>
      </c>
      <c r="BZ326" s="29">
        <v>45.33</v>
      </c>
      <c r="CA326" s="29">
        <v>47.2</v>
      </c>
      <c r="CD326" s="29">
        <v>31.18</v>
      </c>
      <c r="CE326" s="29">
        <v>31.8</v>
      </c>
      <c r="CF326" s="29">
        <v>336.1</v>
      </c>
      <c r="CG326" s="29">
        <v>1344.41</v>
      </c>
      <c r="CH326" s="29">
        <v>14.41</v>
      </c>
      <c r="CI326" s="29">
        <v>5820.0</v>
      </c>
      <c r="CJ326" s="27" t="inlineStr">
        <is>
          <t xml:space="preserve">set/26</t>
        </is>
      </c>
    </row>
    <row r="327">
      <c r="A327" s="28">
        <v>46259</v>
      </c>
      <c r="B327" s="29">
        <v>1442.46</v>
      </c>
      <c r="C327" s="29">
        <v>3389.51</v>
      </c>
      <c r="D327" s="29">
        <v>7.29</v>
      </c>
      <c r="E327" s="29">
        <v>4.86</v>
      </c>
      <c r="F327" s="29">
        <v>1821.25</v>
      </c>
      <c r="G327" s="29">
        <v>1048.71</v>
      </c>
      <c r="H327" s="29">
        <v>410.5</v>
      </c>
      <c r="I327" s="27" t="inlineStr">
        <is>
          <t xml:space="preserve">dez/26</t>
        </is>
      </c>
      <c r="J327" s="29">
        <v>174576.8</v>
      </c>
      <c r="K327" s="30">
        <v>5154.0</v>
      </c>
      <c r="L327" s="27" t="inlineStr">
        <is>
          <t xml:space="preserve">set/26</t>
        </is>
      </c>
      <c r="M327" s="29">
        <v>355.25</v>
      </c>
      <c r="N327" s="27" t="inlineStr">
        <is>
          <t xml:space="preserve">set/26</t>
        </is>
      </c>
      <c r="O327" s="29">
        <v>71.69</v>
      </c>
      <c r="P327" s="27" t="inlineStr">
        <is>
          <t xml:space="preserve">set/26</t>
        </is>
      </c>
      <c r="Q327" s="29">
        <v>27.28</v>
      </c>
      <c r="R327" s="27" t="inlineStr">
        <is>
          <t xml:space="preserve">nov/26</t>
        </is>
      </c>
      <c r="S327" s="30">
        <v>12.28</v>
      </c>
      <c r="T327" s="27" t="inlineStr">
        <is>
          <t xml:space="preserve">set/26</t>
        </is>
      </c>
      <c r="U327" s="30">
        <v>5.005</v>
      </c>
      <c r="V327" s="27" t="inlineStr">
        <is>
          <t xml:space="preserve">set/26</t>
        </is>
      </c>
      <c r="W327" s="29">
        <v>320.3</v>
      </c>
      <c r="X327" s="27" t="inlineStr">
        <is>
          <t xml:space="preserve">set/26</t>
        </is>
      </c>
      <c r="Y327" s="30">
        <v>0.6752</v>
      </c>
      <c r="Z327" s="27" t="inlineStr">
        <is>
          <t xml:space="preserve">set/26</t>
        </is>
      </c>
      <c r="AA327" s="29">
        <v>428.09</v>
      </c>
      <c r="AB327" s="29">
        <v>106.52</v>
      </c>
      <c r="AC327" s="29">
        <v>341.41</v>
      </c>
      <c r="AD327" s="29">
        <v>338.43</v>
      </c>
      <c r="AE327" s="29">
        <v>341.54</v>
      </c>
      <c r="AG327" s="29">
        <v>336.29</v>
      </c>
      <c r="AH327" s="29">
        <v>334.5</v>
      </c>
      <c r="AI327" s="29">
        <v>330.67</v>
      </c>
      <c r="AJ327" s="29">
        <v>325.48</v>
      </c>
      <c r="AK327" s="29">
        <v>320.86</v>
      </c>
      <c r="AL327" s="29">
        <v>5.02</v>
      </c>
      <c r="AM327" s="29">
        <v>4.6</v>
      </c>
      <c r="AN327" s="29">
        <v>4.68</v>
      </c>
      <c r="AO327" s="29">
        <v>4.69</v>
      </c>
      <c r="AP327" s="29">
        <v>7.26</v>
      </c>
      <c r="AQ327" s="29">
        <v>123.2</v>
      </c>
      <c r="AR327" s="29">
        <v>133.35</v>
      </c>
      <c r="BH327" s="29">
        <v>1336.93</v>
      </c>
      <c r="BI327" s="29">
        <v>76.84</v>
      </c>
      <c r="BK327" s="29">
        <v>334.44</v>
      </c>
      <c r="BL327" s="29">
        <v>300.06</v>
      </c>
      <c r="BM327" s="29">
        <v>303.37</v>
      </c>
      <c r="BN327" s="29">
        <v>274.51</v>
      </c>
      <c r="BO327" s="29">
        <v>227.41</v>
      </c>
      <c r="BP327" s="29">
        <v>234.03</v>
      </c>
      <c r="BQ327" s="29">
        <v>212.98</v>
      </c>
      <c r="BR327" s="29">
        <v>220.0</v>
      </c>
      <c r="BX327" s="29">
        <v>51.0</v>
      </c>
      <c r="BY327" s="29">
        <v>50.0</v>
      </c>
      <c r="BZ327" s="29">
        <v>45.33</v>
      </c>
      <c r="CA327" s="29">
        <v>47.2</v>
      </c>
      <c r="CD327" s="29">
        <v>31.18</v>
      </c>
      <c r="CE327" s="29">
        <v>31.53</v>
      </c>
      <c r="CF327" s="29">
        <v>337.22</v>
      </c>
      <c r="CG327" s="29">
        <v>1348.87</v>
      </c>
      <c r="CH327" s="29">
        <v>14.48</v>
      </c>
      <c r="CI327" s="29">
        <v>5759.0</v>
      </c>
      <c r="CJ327" s="27" t="inlineStr">
        <is>
          <t xml:space="preserve">set/26</t>
        </is>
      </c>
    </row>
    <row r="328">
      <c r="A328" s="28">
        <v>46260</v>
      </c>
      <c r="B328" s="29">
        <v>1454.12</v>
      </c>
      <c r="C328" s="29">
        <v>3394.43</v>
      </c>
      <c r="D328" s="29">
        <v>7.3</v>
      </c>
      <c r="E328" s="29">
        <v>4.86</v>
      </c>
      <c r="F328" s="29">
        <v>1800.79</v>
      </c>
      <c r="G328" s="29">
        <v>1036.13</v>
      </c>
      <c r="H328" s="29">
        <v>410.5</v>
      </c>
      <c r="I328" s="27" t="inlineStr">
        <is>
          <t xml:space="preserve">dez/26</t>
        </is>
      </c>
      <c r="J328" s="29">
        <v>174586.26</v>
      </c>
      <c r="K328" s="30">
        <v>5151.5</v>
      </c>
      <c r="L328" s="27" t="inlineStr">
        <is>
          <t xml:space="preserve">set/26</t>
        </is>
      </c>
      <c r="M328" s="29">
        <v>353.3</v>
      </c>
      <c r="N328" s="27" t="inlineStr">
        <is>
          <t xml:space="preserve">set/26</t>
        </is>
      </c>
      <c r="O328" s="29">
        <v>72.0</v>
      </c>
      <c r="P328" s="27" t="inlineStr">
        <is>
          <t xml:space="preserve">set/26</t>
        </is>
      </c>
      <c r="Q328" s="29">
        <v>27.84</v>
      </c>
      <c r="R328" s="27" t="inlineStr">
        <is>
          <t xml:space="preserve">nov/26</t>
        </is>
      </c>
      <c r="S328" s="30">
        <v>12.5425</v>
      </c>
      <c r="T328" s="27" t="inlineStr">
        <is>
          <t xml:space="preserve">set/26</t>
        </is>
      </c>
      <c r="U328" s="30">
        <v>5.14</v>
      </c>
      <c r="V328" s="27" t="inlineStr">
        <is>
          <t xml:space="preserve">set/26</t>
        </is>
      </c>
      <c r="W328" s="29">
        <v>328.7</v>
      </c>
      <c r="X328" s="27" t="inlineStr">
        <is>
          <t xml:space="preserve">set/26</t>
        </is>
      </c>
      <c r="Y328" s="30">
        <v>0.6722</v>
      </c>
      <c r="Z328" s="27" t="inlineStr">
        <is>
          <t xml:space="preserve">set/26</t>
        </is>
      </c>
      <c r="AA328" s="29">
        <v>428.45</v>
      </c>
      <c r="AB328" s="29">
        <v>107.98</v>
      </c>
      <c r="AC328" s="29">
        <v>342.7</v>
      </c>
      <c r="AD328" s="29">
        <v>337.98</v>
      </c>
      <c r="AE328" s="29">
        <v>340.69</v>
      </c>
      <c r="AG328" s="29">
        <v>337.23</v>
      </c>
      <c r="AH328" s="29">
        <v>334.17</v>
      </c>
      <c r="AI328" s="29">
        <v>328.39</v>
      </c>
      <c r="AJ328" s="29">
        <v>325.72</v>
      </c>
      <c r="AK328" s="29">
        <v>323.67</v>
      </c>
      <c r="AL328" s="29">
        <v>5.02</v>
      </c>
      <c r="AM328" s="29">
        <v>4.53</v>
      </c>
      <c r="AN328" s="29">
        <v>4.62</v>
      </c>
      <c r="AO328" s="29">
        <v>4.56</v>
      </c>
      <c r="AP328" s="29">
        <v>7.27</v>
      </c>
      <c r="AQ328" s="29">
        <v>123.25</v>
      </c>
      <c r="AR328" s="29">
        <v>133.97</v>
      </c>
      <c r="BH328" s="29">
        <v>1340.05</v>
      </c>
      <c r="BI328" s="29">
        <v>76.79</v>
      </c>
      <c r="BK328" s="29">
        <v>334.09</v>
      </c>
      <c r="BL328" s="29">
        <v>299.91</v>
      </c>
      <c r="BM328" s="29">
        <v>302.53</v>
      </c>
      <c r="BN328" s="29">
        <v>278.09</v>
      </c>
      <c r="BO328" s="29">
        <v>227.63</v>
      </c>
      <c r="BP328" s="29">
        <v>237.27</v>
      </c>
      <c r="BQ328" s="29">
        <v>213.14</v>
      </c>
      <c r="BR328" s="29">
        <v>217.5</v>
      </c>
      <c r="BX328" s="29">
        <v>51.0</v>
      </c>
      <c r="BY328" s="29">
        <v>50.0</v>
      </c>
      <c r="BZ328" s="29">
        <v>45.33</v>
      </c>
      <c r="CA328" s="29">
        <v>47.2</v>
      </c>
      <c r="CD328" s="29">
        <v>31.18</v>
      </c>
      <c r="CE328" s="29">
        <v>31.17</v>
      </c>
      <c r="CF328" s="29">
        <v>331.11</v>
      </c>
      <c r="CG328" s="29">
        <v>1324.45</v>
      </c>
      <c r="CH328" s="29">
        <v>14.07</v>
      </c>
      <c r="CI328" s="29">
        <v>5817.0</v>
      </c>
      <c r="CJ328" s="27" t="inlineStr">
        <is>
          <t xml:space="preserve">set/26</t>
        </is>
      </c>
    </row>
    <row r="329">
      <c r="A329" s="28">
        <v>46261</v>
      </c>
      <c r="B329" s="29">
        <v>1449.36</v>
      </c>
      <c r="C329" s="29">
        <v>3399.0</v>
      </c>
      <c r="D329" s="29">
        <v>7.3</v>
      </c>
      <c r="E329" s="29">
        <v>4.86</v>
      </c>
      <c r="F329" s="29">
        <v>1742.74</v>
      </c>
      <c r="G329" s="29">
        <v>1021.9</v>
      </c>
      <c r="H329" s="29">
        <v>381.5</v>
      </c>
      <c r="I329" s="27" t="inlineStr">
        <is>
          <t xml:space="preserve">dez/26</t>
        </is>
      </c>
      <c r="J329" s="29">
        <v>175135.41</v>
      </c>
      <c r="K329" s="30">
        <v>5165.0</v>
      </c>
      <c r="L329" s="27" t="inlineStr">
        <is>
          <t xml:space="preserve">set/26</t>
        </is>
      </c>
      <c r="M329" s="29">
        <v>357.35</v>
      </c>
      <c r="N329" s="27" t="inlineStr">
        <is>
          <t xml:space="preserve">set/26</t>
        </is>
      </c>
      <c r="O329" s="29">
        <v>71.14</v>
      </c>
      <c r="P329" s="27" t="inlineStr">
        <is>
          <t xml:space="preserve">set/26</t>
        </is>
      </c>
      <c r="Q329" s="29">
        <v>27.84</v>
      </c>
      <c r="R329" s="27" t="inlineStr">
        <is>
          <t xml:space="preserve">nov/26</t>
        </is>
      </c>
      <c r="S329" s="30">
        <v>12.565</v>
      </c>
      <c r="T329" s="27" t="inlineStr">
        <is>
          <t xml:space="preserve">set/26</t>
        </is>
      </c>
      <c r="U329" s="30">
        <v>5.1025</v>
      </c>
      <c r="V329" s="27" t="inlineStr">
        <is>
          <t xml:space="preserve">set/26</t>
        </is>
      </c>
      <c r="W329" s="29">
        <v>330.2</v>
      </c>
      <c r="X329" s="27" t="inlineStr">
        <is>
          <t xml:space="preserve">set/26</t>
        </is>
      </c>
      <c r="Y329" s="30">
        <v>0.68</v>
      </c>
      <c r="Z329" s="27" t="inlineStr">
        <is>
          <t xml:space="preserve">set/26</t>
        </is>
      </c>
      <c r="AA329" s="29">
        <v>429.33</v>
      </c>
      <c r="AB329" s="29">
        <v>110.59</v>
      </c>
      <c r="AL329" s="29">
        <v>5.02</v>
      </c>
      <c r="AM329" s="29">
        <v>4.53</v>
      </c>
      <c r="AN329" s="29">
        <v>4.62</v>
      </c>
      <c r="AO329" s="29">
        <v>4.58</v>
      </c>
      <c r="AP329" s="29">
        <v>7.27</v>
      </c>
      <c r="AQ329" s="29">
        <v>123.52</v>
      </c>
      <c r="AR329" s="29">
        <v>134.76</v>
      </c>
      <c r="BH329" s="29">
        <v>1345.65</v>
      </c>
      <c r="BI329" s="29">
        <v>77.84</v>
      </c>
      <c r="BK329" s="29">
        <v>332.73</v>
      </c>
      <c r="BL329" s="29">
        <v>296.86</v>
      </c>
      <c r="BM329" s="29">
        <v>302.42</v>
      </c>
      <c r="BN329" s="29">
        <v>275.01</v>
      </c>
      <c r="BO329" s="29">
        <v>229.39</v>
      </c>
      <c r="BP329" s="29">
        <v>237.27</v>
      </c>
      <c r="BQ329" s="29">
        <v>213.29</v>
      </c>
      <c r="BR329" s="29">
        <v>220.0</v>
      </c>
      <c r="BX329" s="29">
        <v>51.0</v>
      </c>
      <c r="BY329" s="29">
        <v>50.0</v>
      </c>
      <c r="BZ329" s="29">
        <v>45.33</v>
      </c>
      <c r="CA329" s="29">
        <v>47.2</v>
      </c>
      <c r="CD329" s="29">
        <v>31.18</v>
      </c>
      <c r="CE329" s="29">
        <v>31.09</v>
      </c>
      <c r="CF329" s="29">
        <v>329.7</v>
      </c>
      <c r="CG329" s="29">
        <v>1318.81</v>
      </c>
      <c r="CH329" s="29">
        <v>13.98</v>
      </c>
      <c r="CI329" s="29">
        <v>6155.0</v>
      </c>
      <c r="CJ329" s="27" t="inlineStr">
        <is>
          <t xml:space="preserve">set/26</t>
        </is>
      </c>
    </row>
    <row r="330">
      <c r="A330" s="28">
        <v>46262</v>
      </c>
      <c r="B330" s="29">
        <v>1452.55</v>
      </c>
      <c r="C330" s="29">
        <v>3404.58</v>
      </c>
      <c r="D330" s="29">
        <v>7.32</v>
      </c>
      <c r="E330" s="29">
        <v>4.86</v>
      </c>
      <c r="F330" s="29">
        <v>1728.61</v>
      </c>
      <c r="G330" s="29">
        <v>1027.55</v>
      </c>
      <c r="H330" s="29">
        <v>379.5</v>
      </c>
      <c r="I330" s="27" t="inlineStr">
        <is>
          <t xml:space="preserve">dez/26</t>
        </is>
      </c>
      <c r="J330" s="29">
        <v>175664.62</v>
      </c>
      <c r="K330" s="30">
        <v>5188.5</v>
      </c>
      <c r="L330" s="27" t="inlineStr">
        <is>
          <t xml:space="preserve">set/26</t>
        </is>
      </c>
      <c r="M330" s="29">
        <v>358.8</v>
      </c>
      <c r="N330" s="27" t="inlineStr">
        <is>
          <t xml:space="preserve">set/26</t>
        </is>
      </c>
      <c r="O330" s="29">
        <v>71.45</v>
      </c>
      <c r="P330" s="27" t="inlineStr">
        <is>
          <t xml:space="preserve">set/26</t>
        </is>
      </c>
      <c r="Q330" s="29">
        <v>28.42</v>
      </c>
      <c r="R330" s="27" t="inlineStr">
        <is>
          <t xml:space="preserve">nov/26</t>
        </is>
      </c>
      <c r="S330" s="30">
        <v>12.7625</v>
      </c>
      <c r="T330" s="27" t="inlineStr">
        <is>
          <t xml:space="preserve">set/26</t>
        </is>
      </c>
      <c r="U330" s="30">
        <v>5.12</v>
      </c>
      <c r="V330" s="27" t="inlineStr">
        <is>
          <t xml:space="preserve">set/26</t>
        </is>
      </c>
      <c r="W330" s="29">
        <v>338.2</v>
      </c>
      <c r="X330" s="27" t="inlineStr">
        <is>
          <t xml:space="preserve">set/26</t>
        </is>
      </c>
      <c r="Y330" s="30">
        <v>0.7059</v>
      </c>
      <c r="Z330" s="27" t="inlineStr">
        <is>
          <t xml:space="preserve">set/26</t>
        </is>
      </c>
      <c r="AA330" s="29">
        <v>429.05</v>
      </c>
      <c r="AB330" s="29">
        <v>112.06</v>
      </c>
      <c r="AC330" s="29">
        <v>345.35</v>
      </c>
      <c r="AD330" s="29">
        <v>340.96</v>
      </c>
      <c r="AE330" s="29">
        <v>338.06</v>
      </c>
      <c r="AG330" s="29">
        <v>338.83</v>
      </c>
      <c r="AH330" s="29">
        <v>335.4</v>
      </c>
      <c r="AI330" s="29">
        <v>330.8</v>
      </c>
      <c r="AJ330" s="29">
        <v>325.68</v>
      </c>
      <c r="AK330" s="29">
        <v>328.13</v>
      </c>
      <c r="AL330" s="29">
        <v>5.02</v>
      </c>
      <c r="AM330" s="29">
        <v>4.53</v>
      </c>
      <c r="AN330" s="29">
        <v>4.62</v>
      </c>
      <c r="AO330" s="29">
        <v>4.58</v>
      </c>
      <c r="AP330" s="29">
        <v>7.29</v>
      </c>
      <c r="AQ330" s="29">
        <v>123.52</v>
      </c>
      <c r="AR330" s="29">
        <v>134.76</v>
      </c>
      <c r="BC330" s="29">
        <v>9.48</v>
      </c>
      <c r="BD330" s="29">
        <v>9.29</v>
      </c>
      <c r="BE330" s="29">
        <v>10.14</v>
      </c>
      <c r="BF330" s="29">
        <v>8.67</v>
      </c>
      <c r="BG330" s="29">
        <v>9.51</v>
      </c>
      <c r="BH330" s="29">
        <v>1347.35</v>
      </c>
      <c r="BI330" s="29">
        <v>78.06</v>
      </c>
      <c r="BK330" s="29">
        <v>329.73</v>
      </c>
      <c r="BL330" s="29">
        <v>298.8</v>
      </c>
      <c r="BM330" s="29">
        <v>300.83</v>
      </c>
      <c r="BN330" s="29">
        <v>273.94</v>
      </c>
      <c r="BO330" s="29">
        <v>229.39</v>
      </c>
      <c r="BP330" s="29">
        <v>237.27</v>
      </c>
      <c r="BQ330" s="29">
        <v>215.96</v>
      </c>
      <c r="BR330" s="29">
        <v>220.0</v>
      </c>
      <c r="BS330" s="30">
        <v>2.3116</v>
      </c>
      <c r="BT330" s="30">
        <v>2.6046</v>
      </c>
      <c r="BU330" s="29">
        <v>595.24</v>
      </c>
      <c r="BV330" s="29">
        <v>469.19</v>
      </c>
      <c r="BW330" s="29">
        <v>555.12</v>
      </c>
      <c r="BX330" s="29">
        <v>54.0</v>
      </c>
      <c r="BY330" s="29">
        <v>50.0</v>
      </c>
      <c r="BZ330" s="29">
        <v>45.33</v>
      </c>
      <c r="CA330" s="29">
        <v>47.2</v>
      </c>
      <c r="CD330" s="29">
        <v>31.18</v>
      </c>
      <c r="CE330" s="29">
        <v>31.09</v>
      </c>
      <c r="CF330" s="29">
        <v>375.03</v>
      </c>
      <c r="CG330" s="29">
        <v>1576.11</v>
      </c>
      <c r="CH330" s="29">
        <v>18.27</v>
      </c>
      <c r="CI330" s="29">
        <v>6527.0</v>
      </c>
      <c r="CJ330" s="27" t="inlineStr">
        <is>
          <t xml:space="preserve">set/26</t>
        </is>
      </c>
    </row>
    <row r="331">
      <c r="A331" s="28">
        <v>46265</v>
      </c>
      <c r="B331" s="29">
        <v>1456.41</v>
      </c>
      <c r="C331" s="29">
        <v>3403.28</v>
      </c>
      <c r="D331" s="29">
        <v>7.32</v>
      </c>
      <c r="E331" s="29">
        <v>4.83</v>
      </c>
      <c r="F331" s="29">
        <v>1748.44</v>
      </c>
      <c r="G331" s="29">
        <v>1022.13</v>
      </c>
      <c r="H331" s="29">
        <v>381.95</v>
      </c>
      <c r="I331" s="27" t="inlineStr">
        <is>
          <t xml:space="preserve">dez/26</t>
        </is>
      </c>
      <c r="J331" s="29">
        <v>177418.78</v>
      </c>
      <c r="K331" s="30">
        <v>5182.0</v>
      </c>
      <c r="L331" s="27" t="inlineStr">
        <is>
          <t xml:space="preserve">set/26</t>
        </is>
      </c>
      <c r="M331" s="29">
        <v>357.65</v>
      </c>
      <c r="N331" s="27" t="inlineStr">
        <is>
          <t xml:space="preserve">set/26</t>
        </is>
      </c>
      <c r="O331" s="29">
        <v>71.05</v>
      </c>
      <c r="P331" s="27" t="inlineStr">
        <is>
          <t xml:space="preserve">set/26</t>
        </is>
      </c>
      <c r="S331" s="30">
        <v>12.7525</v>
      </c>
      <c r="T331" s="27" t="inlineStr">
        <is>
          <t xml:space="preserve">set/26</t>
        </is>
      </c>
      <c r="U331" s="30">
        <v>5.15</v>
      </c>
      <c r="V331" s="27" t="inlineStr">
        <is>
          <t xml:space="preserve">set/26</t>
        </is>
      </c>
      <c r="W331" s="29">
        <v>334.6</v>
      </c>
      <c r="X331" s="27" t="inlineStr">
        <is>
          <t xml:space="preserve">set/26</t>
        </is>
      </c>
      <c r="Y331" s="30">
        <v>0.705</v>
      </c>
      <c r="Z331" s="27" t="inlineStr">
        <is>
          <t xml:space="preserve">set/26</t>
        </is>
      </c>
      <c r="AA331" s="29">
        <v>436.48</v>
      </c>
      <c r="AB331" s="29">
        <v>113.75</v>
      </c>
      <c r="AL331" s="29">
        <v>5.02</v>
      </c>
      <c r="AM331" s="29">
        <v>4.49</v>
      </c>
      <c r="AN331" s="29">
        <v>4.54</v>
      </c>
      <c r="AO331" s="29">
        <v>4.57</v>
      </c>
      <c r="AP331" s="29">
        <v>7.29</v>
      </c>
      <c r="AQ331" s="29">
        <v>133.96</v>
      </c>
      <c r="AR331" s="29">
        <v>146.11</v>
      </c>
      <c r="BH331" s="29">
        <v>1349.04</v>
      </c>
      <c r="BI331" s="29">
        <v>78.37</v>
      </c>
      <c r="BK331" s="29">
        <v>325.85</v>
      </c>
      <c r="BL331" s="29">
        <v>295.48</v>
      </c>
      <c r="BM331" s="29">
        <v>297.54</v>
      </c>
      <c r="BN331" s="29">
        <v>276.5</v>
      </c>
      <c r="BO331" s="29">
        <v>228.3</v>
      </c>
      <c r="BP331" s="29">
        <v>239.81</v>
      </c>
      <c r="BQ331" s="29">
        <v>218.84</v>
      </c>
      <c r="BR331" s="29">
        <v>220.0</v>
      </c>
      <c r="BX331" s="29">
        <v>55.0</v>
      </c>
      <c r="BY331" s="29">
        <v>50.0</v>
      </c>
      <c r="BZ331" s="29">
        <v>46.67</v>
      </c>
      <c r="CA331" s="29">
        <v>47.2</v>
      </c>
      <c r="CD331" s="29">
        <v>31.18</v>
      </c>
      <c r="CE331" s="29">
        <v>31.43</v>
      </c>
      <c r="CF331" s="29">
        <v>375.0</v>
      </c>
      <c r="CG331" s="29">
        <v>1575.0</v>
      </c>
      <c r="CH331" s="29">
        <v>18.0</v>
      </c>
      <c r="CI331" s="29">
        <v>6650.0</v>
      </c>
      <c r="CJ331" s="27" t="inlineStr">
        <is>
          <t xml:space="preserve">set/26</t>
        </is>
      </c>
    </row>
    <row r="332">
      <c r="A332" s="28">
        <v>46266</v>
      </c>
      <c r="B332" s="29">
        <v>1457.92</v>
      </c>
      <c r="C332" s="29">
        <v>3400.5</v>
      </c>
      <c r="D332" s="29">
        <v>7.42</v>
      </c>
      <c r="E332" s="29">
        <v>4.83</v>
      </c>
      <c r="F332" s="29">
        <v>1730.56</v>
      </c>
      <c r="G332" s="29">
        <v>1007.35</v>
      </c>
      <c r="H332" s="29">
        <v>376.15</v>
      </c>
      <c r="I332" s="27" t="inlineStr">
        <is>
          <t xml:space="preserve">dez/26</t>
        </is>
      </c>
      <c r="J332" s="29">
        <v>179722.48</v>
      </c>
      <c r="K332" s="30">
        <v>5188.0</v>
      </c>
      <c r="L332" s="27" t="inlineStr">
        <is>
          <t xml:space="preserve">out/26</t>
        </is>
      </c>
      <c r="M332" s="29">
        <v>367.9</v>
      </c>
      <c r="N332" s="27" t="inlineStr">
        <is>
          <t xml:space="preserve">out/26</t>
        </is>
      </c>
      <c r="S332" s="30">
        <v>13.1775</v>
      </c>
      <c r="T332" s="27" t="inlineStr">
        <is>
          <t xml:space="preserve">nov/26</t>
        </is>
      </c>
      <c r="U332" s="30">
        <v>5.46</v>
      </c>
      <c r="V332" s="27" t="inlineStr">
        <is>
          <t xml:space="preserve">dez/26</t>
        </is>
      </c>
      <c r="W332" s="29">
        <v>345.7</v>
      </c>
      <c r="X332" s="27" t="inlineStr">
        <is>
          <t xml:space="preserve">out/26</t>
        </is>
      </c>
      <c r="Y332" s="30">
        <v>0.7245</v>
      </c>
      <c r="Z332" s="27" t="inlineStr">
        <is>
          <t xml:space="preserve">out/26</t>
        </is>
      </c>
      <c r="AA332" s="29">
        <v>444.82</v>
      </c>
      <c r="AB332" s="29">
        <v>114.51</v>
      </c>
      <c r="AC332" s="29">
        <v>346.69</v>
      </c>
      <c r="AD332" s="29">
        <v>343.94</v>
      </c>
      <c r="AE332" s="29">
        <v>338.99</v>
      </c>
      <c r="AG332" s="29">
        <v>336.86</v>
      </c>
      <c r="AH332" s="29">
        <v>336.24</v>
      </c>
      <c r="AI332" s="29">
        <v>331.31</v>
      </c>
      <c r="AJ332" s="29">
        <v>328.98</v>
      </c>
      <c r="AK332" s="29">
        <v>331.23</v>
      </c>
      <c r="AL332" s="29">
        <v>5.02</v>
      </c>
      <c r="AM332" s="29">
        <v>4.48</v>
      </c>
      <c r="AN332" s="29">
        <v>4.54</v>
      </c>
      <c r="AO332" s="29">
        <v>4.56</v>
      </c>
      <c r="AP332" s="29">
        <v>7.39</v>
      </c>
      <c r="AQ332" s="29">
        <v>133.96</v>
      </c>
      <c r="AR332" s="29">
        <v>146.11</v>
      </c>
      <c r="BH332" s="29">
        <v>1348.29</v>
      </c>
      <c r="BI332" s="29">
        <v>78.62</v>
      </c>
      <c r="BK332" s="29">
        <v>325.28</v>
      </c>
      <c r="BL332" s="29">
        <v>295.45</v>
      </c>
      <c r="BM332" s="29">
        <v>296.92</v>
      </c>
      <c r="BN332" s="29">
        <v>270.18</v>
      </c>
      <c r="BO332" s="29">
        <v>228.3</v>
      </c>
      <c r="BP332" s="29">
        <v>242.56</v>
      </c>
      <c r="BQ332" s="29">
        <v>220.11</v>
      </c>
      <c r="BR332" s="29">
        <v>221.0</v>
      </c>
      <c r="BX332" s="29">
        <v>55.0</v>
      </c>
      <c r="BY332" s="29">
        <v>50.0</v>
      </c>
      <c r="BZ332" s="29">
        <v>46.67</v>
      </c>
      <c r="CA332" s="29">
        <v>47.2</v>
      </c>
      <c r="CD332" s="29">
        <v>31.18</v>
      </c>
      <c r="CE332" s="29">
        <v>31.14</v>
      </c>
      <c r="CF332" s="29">
        <v>385.0</v>
      </c>
      <c r="CG332" s="29">
        <v>1424.0</v>
      </c>
      <c r="CH332" s="29">
        <v>16.0</v>
      </c>
      <c r="CI332" s="29">
        <v>6571.0</v>
      </c>
      <c r="CJ332" s="27" t="inlineStr">
        <is>
          <t xml:space="preserve">dez/26</t>
        </is>
      </c>
    </row>
    <row r="333">
      <c r="A333" s="28">
        <v>46267</v>
      </c>
      <c r="B333" s="29">
        <v>1453.63</v>
      </c>
      <c r="C333" s="29">
        <v>3395.12</v>
      </c>
      <c r="D333" s="29">
        <v>7.34</v>
      </c>
      <c r="E333" s="29">
        <v>4.83</v>
      </c>
      <c r="F333" s="29">
        <v>1696.62</v>
      </c>
      <c r="G333" s="29">
        <v>991.71</v>
      </c>
      <c r="H333" s="29">
        <v>362.6</v>
      </c>
      <c r="I333" s="27" t="inlineStr">
        <is>
          <t xml:space="preserve">dez/26</t>
        </is>
      </c>
      <c r="J333" s="29">
        <v>185205.09</v>
      </c>
      <c r="K333" s="30">
        <v>5125.0</v>
      </c>
      <c r="L333" s="27" t="inlineStr">
        <is>
          <t xml:space="preserve">out/26</t>
        </is>
      </c>
      <c r="M333" s="29">
        <v>370.4</v>
      </c>
      <c r="N333" s="27" t="inlineStr">
        <is>
          <t xml:space="preserve">out/26</t>
        </is>
      </c>
      <c r="S333" s="30">
        <v>13.1025</v>
      </c>
      <c r="T333" s="27" t="inlineStr">
        <is>
          <t xml:space="preserve">nov/26</t>
        </is>
      </c>
      <c r="U333" s="30">
        <v>5.435</v>
      </c>
      <c r="V333" s="27" t="inlineStr">
        <is>
          <t xml:space="preserve">dez/26</t>
        </is>
      </c>
      <c r="W333" s="29">
        <v>342.9</v>
      </c>
      <c r="X333" s="27" t="inlineStr">
        <is>
          <t xml:space="preserve">out/26</t>
        </is>
      </c>
      <c r="Y333" s="30">
        <v>0.7064</v>
      </c>
      <c r="Z333" s="27" t="inlineStr">
        <is>
          <t xml:space="preserve">out/26</t>
        </is>
      </c>
      <c r="AA333" s="29">
        <v>440.86</v>
      </c>
      <c r="AB333" s="29">
        <v>115.41</v>
      </c>
      <c r="AC333" s="29">
        <v>348.03</v>
      </c>
      <c r="AD333" s="29">
        <v>344.52</v>
      </c>
      <c r="AE333" s="29">
        <v>339.2</v>
      </c>
      <c r="AG333" s="29">
        <v>336.52</v>
      </c>
      <c r="AH333" s="29">
        <v>338.85</v>
      </c>
      <c r="AI333" s="29">
        <v>331.73</v>
      </c>
      <c r="AJ333" s="29">
        <v>329.53</v>
      </c>
      <c r="AK333" s="29">
        <v>329.13</v>
      </c>
      <c r="AL333" s="29">
        <v>5.02</v>
      </c>
      <c r="AM333" s="29">
        <v>4.45</v>
      </c>
      <c r="AN333" s="29">
        <v>4.53</v>
      </c>
      <c r="AO333" s="29">
        <v>4.52</v>
      </c>
      <c r="AP333" s="29">
        <v>7.35</v>
      </c>
      <c r="AQ333" s="29">
        <v>133.95</v>
      </c>
      <c r="AR333" s="29">
        <v>147.0</v>
      </c>
      <c r="BH333" s="29">
        <v>1355.88</v>
      </c>
      <c r="BI333" s="29">
        <v>78.61</v>
      </c>
      <c r="BJ333" s="29">
        <v>335.0</v>
      </c>
      <c r="BK333" s="29">
        <v>323.06</v>
      </c>
      <c r="BL333" s="29">
        <v>293.19</v>
      </c>
      <c r="BM333" s="29">
        <v>293.43</v>
      </c>
      <c r="BN333" s="29">
        <v>264.74</v>
      </c>
      <c r="BO333" s="29">
        <v>224.88</v>
      </c>
      <c r="BP333" s="29">
        <v>241.19</v>
      </c>
      <c r="BQ333" s="29">
        <v>221.13</v>
      </c>
      <c r="BR333" s="29">
        <v>224.17</v>
      </c>
      <c r="BX333" s="29">
        <v>55.0</v>
      </c>
      <c r="BY333" s="29">
        <v>50.0</v>
      </c>
      <c r="BZ333" s="29">
        <v>46.67</v>
      </c>
      <c r="CA333" s="29">
        <v>47.2</v>
      </c>
      <c r="CD333" s="29">
        <v>31.3</v>
      </c>
      <c r="CE333" s="29">
        <v>31.97</v>
      </c>
      <c r="CF333" s="29">
        <v>342.0</v>
      </c>
      <c r="CG333" s="29">
        <v>1253.0</v>
      </c>
      <c r="CH333" s="29">
        <v>13.0</v>
      </c>
      <c r="CI333" s="29">
        <v>6273.0</v>
      </c>
      <c r="CJ333" s="27" t="inlineStr">
        <is>
          <t xml:space="preserve">dez/26</t>
        </is>
      </c>
    </row>
    <row r="334">
      <c r="A334" s="28">
        <v>46268</v>
      </c>
      <c r="B334" s="29">
        <v>1456.52</v>
      </c>
      <c r="C334" s="29">
        <v>3397.58</v>
      </c>
      <c r="D334" s="29">
        <v>7.52</v>
      </c>
      <c r="E334" s="29">
        <v>4.83</v>
      </c>
      <c r="F334" s="29">
        <v>1672.25</v>
      </c>
      <c r="G334" s="29">
        <v>980.05</v>
      </c>
      <c r="H334" s="29">
        <v>358.35</v>
      </c>
      <c r="I334" s="27" t="inlineStr">
        <is>
          <t xml:space="preserve">dez/26</t>
        </is>
      </c>
      <c r="J334" s="29">
        <v>185188.13</v>
      </c>
      <c r="K334" s="30">
        <v>5131.5</v>
      </c>
      <c r="L334" s="27" t="inlineStr">
        <is>
          <t xml:space="preserve">out/26</t>
        </is>
      </c>
      <c r="M334" s="29">
        <v>371.5</v>
      </c>
      <c r="N334" s="27" t="inlineStr">
        <is>
          <t xml:space="preserve">out/26</t>
        </is>
      </c>
      <c r="S334" s="30">
        <v>13.1625</v>
      </c>
      <c r="T334" s="27" t="inlineStr">
        <is>
          <t xml:space="preserve">nov/26</t>
        </is>
      </c>
      <c r="U334" s="30">
        <v>5.4075</v>
      </c>
      <c r="V334" s="27" t="inlineStr">
        <is>
          <t xml:space="preserve">dez/26</t>
        </is>
      </c>
      <c r="W334" s="29">
        <v>348.6</v>
      </c>
      <c r="X334" s="27" t="inlineStr">
        <is>
          <t xml:space="preserve">out/26</t>
        </is>
      </c>
      <c r="Y334" s="30">
        <v>0.6963</v>
      </c>
      <c r="Z334" s="27" t="inlineStr">
        <is>
          <t xml:space="preserve">out/26</t>
        </is>
      </c>
      <c r="AA334" s="29">
        <v>438.05</v>
      </c>
      <c r="AB334" s="29">
        <v>116.11</v>
      </c>
      <c r="AC334" s="29">
        <v>348.2</v>
      </c>
      <c r="AD334" s="29">
        <v>343.21</v>
      </c>
      <c r="AE334" s="29">
        <v>339.04</v>
      </c>
      <c r="AG334" s="29">
        <v>335.82</v>
      </c>
      <c r="AH334" s="29">
        <v>339.17</v>
      </c>
      <c r="AI334" s="29">
        <v>331.38</v>
      </c>
      <c r="AJ334" s="29">
        <v>329.31</v>
      </c>
      <c r="AK334" s="29">
        <v>332.87</v>
      </c>
      <c r="AL334" s="29">
        <v>5.01</v>
      </c>
      <c r="AM334" s="29">
        <v>4.43</v>
      </c>
      <c r="AN334" s="29">
        <v>4.53</v>
      </c>
      <c r="AO334" s="29">
        <v>4.52</v>
      </c>
      <c r="AP334" s="29">
        <v>7.54</v>
      </c>
      <c r="AQ334" s="29">
        <v>134.09</v>
      </c>
      <c r="AR334" s="29">
        <v>148.07</v>
      </c>
      <c r="BH334" s="29">
        <v>1359.38</v>
      </c>
      <c r="BI334" s="29">
        <v>78.97</v>
      </c>
      <c r="BJ334" s="29">
        <v>335.0</v>
      </c>
      <c r="BK334" s="29">
        <v>322.71</v>
      </c>
      <c r="BL334" s="29">
        <v>291.61</v>
      </c>
      <c r="BM334" s="29">
        <v>292.96</v>
      </c>
      <c r="BN334" s="29">
        <v>263.49</v>
      </c>
      <c r="BO334" s="29">
        <v>221.63</v>
      </c>
      <c r="BP334" s="29">
        <v>241.19</v>
      </c>
      <c r="BQ334" s="29">
        <v>223.33</v>
      </c>
      <c r="BR334" s="29">
        <v>233.0</v>
      </c>
      <c r="BX334" s="29">
        <v>55.0</v>
      </c>
      <c r="BY334" s="29">
        <v>50.0</v>
      </c>
      <c r="BZ334" s="29">
        <v>46.67</v>
      </c>
      <c r="CA334" s="29">
        <v>47.2</v>
      </c>
      <c r="CD334" s="29">
        <v>31.3</v>
      </c>
      <c r="CE334" s="29">
        <v>30.97</v>
      </c>
      <c r="CF334" s="29">
        <v>335.0</v>
      </c>
      <c r="CG334" s="29">
        <v>1306.0</v>
      </c>
      <c r="CH334" s="29">
        <v>16.0</v>
      </c>
      <c r="CI334" s="29">
        <v>6174.0</v>
      </c>
      <c r="CJ334" s="27" t="inlineStr">
        <is>
          <t xml:space="preserve">dez/26</t>
        </is>
      </c>
    </row>
    <row r="335">
      <c r="A335" s="28">
        <v>46269</v>
      </c>
      <c r="B335" s="29">
        <v>1457.55</v>
      </c>
      <c r="C335" s="29">
        <v>3397.99</v>
      </c>
      <c r="D335" s="29">
        <v>7.61</v>
      </c>
      <c r="E335" s="29">
        <v>4.83</v>
      </c>
      <c r="F335" s="29">
        <v>1659.93</v>
      </c>
      <c r="G335" s="29">
        <v>976.71</v>
      </c>
      <c r="H335" s="29">
        <v>362.0</v>
      </c>
      <c r="I335" s="27" t="inlineStr">
        <is>
          <t xml:space="preserve">dez/26</t>
        </is>
      </c>
      <c r="J335" s="29">
        <v>185147.15</v>
      </c>
      <c r="K335" s="30">
        <v>5153.5</v>
      </c>
      <c r="L335" s="27" t="inlineStr">
        <is>
          <t xml:space="preserve">out/26</t>
        </is>
      </c>
      <c r="M335" s="29">
        <v>373.95</v>
      </c>
      <c r="N335" s="27" t="inlineStr">
        <is>
          <t xml:space="preserve">out/26</t>
        </is>
      </c>
      <c r="S335" s="30">
        <v>13.0975</v>
      </c>
      <c r="T335" s="27" t="inlineStr">
        <is>
          <t xml:space="preserve">nov/26</t>
        </is>
      </c>
      <c r="U335" s="30">
        <v>5.3675</v>
      </c>
      <c r="V335" s="27" t="inlineStr">
        <is>
          <t xml:space="preserve">dez/26</t>
        </is>
      </c>
      <c r="W335" s="29">
        <v>348.2</v>
      </c>
      <c r="X335" s="27" t="inlineStr">
        <is>
          <t xml:space="preserve">out/26</t>
        </is>
      </c>
      <c r="Y335" s="30">
        <v>0.6889</v>
      </c>
      <c r="Z335" s="27" t="inlineStr">
        <is>
          <t xml:space="preserve">out/26</t>
        </is>
      </c>
      <c r="AA335" s="29">
        <v>439.98</v>
      </c>
      <c r="AB335" s="29">
        <v>116.79</v>
      </c>
      <c r="AC335" s="29">
        <v>348.16</v>
      </c>
      <c r="AD335" s="29">
        <v>344.16</v>
      </c>
      <c r="AE335" s="29">
        <v>338.53</v>
      </c>
      <c r="AG335" s="29">
        <v>336.74</v>
      </c>
      <c r="AH335" s="29">
        <v>338.66</v>
      </c>
      <c r="AI335" s="29">
        <v>330.15</v>
      </c>
      <c r="AJ335" s="29">
        <v>328.76</v>
      </c>
      <c r="AK335" s="29">
        <v>331.42</v>
      </c>
      <c r="AL335" s="29">
        <v>5.01</v>
      </c>
      <c r="AM335" s="29">
        <v>4.42</v>
      </c>
      <c r="AN335" s="29">
        <v>4.53</v>
      </c>
      <c r="AO335" s="29">
        <v>4.48</v>
      </c>
      <c r="AP335" s="29">
        <v>7.61</v>
      </c>
      <c r="AQ335" s="29">
        <v>134.09</v>
      </c>
      <c r="AR335" s="29">
        <v>147.74</v>
      </c>
      <c r="BC335" s="29">
        <v>9.49</v>
      </c>
      <c r="BD335" s="29">
        <v>9.28</v>
      </c>
      <c r="BE335" s="29">
        <v>10.13</v>
      </c>
      <c r="BF335" s="29">
        <v>8.69</v>
      </c>
      <c r="BG335" s="29">
        <v>9.47</v>
      </c>
      <c r="BH335" s="29">
        <v>1355.06</v>
      </c>
      <c r="BI335" s="29">
        <v>79.07</v>
      </c>
      <c r="BJ335" s="29">
        <v>335.0</v>
      </c>
      <c r="BK335" s="29">
        <v>324.75</v>
      </c>
      <c r="BL335" s="29">
        <v>290.48</v>
      </c>
      <c r="BM335" s="29">
        <v>295.25</v>
      </c>
      <c r="BN335" s="29">
        <v>263.49</v>
      </c>
      <c r="BO335" s="29">
        <v>221.63</v>
      </c>
      <c r="BP335" s="29">
        <v>241.19</v>
      </c>
      <c r="BQ335" s="29">
        <v>223.23</v>
      </c>
      <c r="BR335" s="29">
        <v>233.0</v>
      </c>
      <c r="BS335" s="30">
        <v>2.3991</v>
      </c>
      <c r="BT335" s="30">
        <v>2.7829</v>
      </c>
      <c r="BU335" s="29">
        <v>600.57</v>
      </c>
      <c r="BV335" s="29">
        <v>478.52</v>
      </c>
      <c r="BW335" s="29">
        <v>556.89</v>
      </c>
      <c r="BX335" s="29">
        <v>55.0</v>
      </c>
      <c r="BY335" s="29">
        <v>50.0</v>
      </c>
      <c r="BZ335" s="29">
        <v>46.67</v>
      </c>
      <c r="CA335" s="29">
        <v>47.2</v>
      </c>
      <c r="CD335" s="29">
        <v>30.73</v>
      </c>
      <c r="CE335" s="29">
        <v>30.97</v>
      </c>
      <c r="CF335" s="29">
        <v>334.0</v>
      </c>
      <c r="CG335" s="29">
        <v>1304.0</v>
      </c>
      <c r="CH335" s="29">
        <v>16.0</v>
      </c>
      <c r="CI335" s="29">
        <v>6188.0</v>
      </c>
      <c r="CJ335" s="27" t="inlineStr">
        <is>
          <t xml:space="preserve">dez/26</t>
        </is>
      </c>
    </row>
    <row r="336">
      <c r="A336" s="28">
        <v>46273</v>
      </c>
      <c r="B336" s="29">
        <v>1461.42</v>
      </c>
      <c r="C336" s="29">
        <v>3395.82</v>
      </c>
      <c r="D336" s="29">
        <v>7.63</v>
      </c>
      <c r="E336" s="29">
        <v>4.83</v>
      </c>
      <c r="F336" s="29">
        <v>1635.57</v>
      </c>
      <c r="G336" s="29">
        <v>980.78</v>
      </c>
      <c r="H336" s="29">
        <v>351.2</v>
      </c>
      <c r="I336" s="27" t="inlineStr">
        <is>
          <t xml:space="preserve">dez/26</t>
        </is>
      </c>
      <c r="J336" s="29">
        <v>187366.84</v>
      </c>
      <c r="K336" s="30">
        <v>5113.0</v>
      </c>
      <c r="L336" s="27" t="inlineStr">
        <is>
          <t xml:space="preserve">out/26</t>
        </is>
      </c>
      <c r="M336" s="29">
        <v>377.5</v>
      </c>
      <c r="N336" s="27" t="inlineStr">
        <is>
          <t xml:space="preserve">out/26</t>
        </is>
      </c>
      <c r="S336" s="30">
        <v>13.1625</v>
      </c>
      <c r="T336" s="27" t="inlineStr">
        <is>
          <t xml:space="preserve">nov/26</t>
        </is>
      </c>
      <c r="U336" s="30">
        <v>5.335</v>
      </c>
      <c r="V336" s="27" t="inlineStr">
        <is>
          <t xml:space="preserve">dez/26</t>
        </is>
      </c>
      <c r="W336" s="29">
        <v>343.3</v>
      </c>
      <c r="X336" s="27" t="inlineStr">
        <is>
          <t xml:space="preserve">out/26</t>
        </is>
      </c>
      <c r="Y336" s="30">
        <v>0.7022</v>
      </c>
      <c r="Z336" s="27" t="inlineStr">
        <is>
          <t xml:space="preserve">out/26</t>
        </is>
      </c>
      <c r="AA336" s="29">
        <v>439.45</v>
      </c>
      <c r="AB336" s="29">
        <v>117.34</v>
      </c>
      <c r="AL336" s="29">
        <v>5.04</v>
      </c>
      <c r="AM336" s="29">
        <v>4.43</v>
      </c>
      <c r="AN336" s="29">
        <v>4.52</v>
      </c>
      <c r="AO336" s="29">
        <v>4.52</v>
      </c>
      <c r="AP336" s="29">
        <v>7.64</v>
      </c>
      <c r="AQ336" s="29">
        <v>134.17</v>
      </c>
      <c r="AR336" s="29">
        <v>147.61</v>
      </c>
      <c r="BH336" s="29">
        <v>1355.06</v>
      </c>
      <c r="BI336" s="29">
        <v>79.12</v>
      </c>
      <c r="BK336" s="29">
        <v>332.83</v>
      </c>
      <c r="BL336" s="29">
        <v>291.29</v>
      </c>
      <c r="BM336" s="29">
        <v>298.71</v>
      </c>
      <c r="BN336" s="29">
        <v>269.21</v>
      </c>
      <c r="BO336" s="29">
        <v>223.3</v>
      </c>
      <c r="BP336" s="29">
        <v>243.89</v>
      </c>
      <c r="BQ336" s="29">
        <v>222.26</v>
      </c>
      <c r="BR336" s="29">
        <v>236.43</v>
      </c>
      <c r="BX336" s="29">
        <v>56.0</v>
      </c>
      <c r="BY336" s="29">
        <v>50.0</v>
      </c>
      <c r="BZ336" s="29">
        <v>47.0</v>
      </c>
      <c r="CA336" s="29">
        <v>47.2</v>
      </c>
      <c r="CD336" s="29">
        <v>30.64</v>
      </c>
      <c r="CE336" s="29">
        <v>31.43</v>
      </c>
      <c r="CF336" s="29">
        <v>328.0</v>
      </c>
      <c r="CG336" s="29">
        <v>1281.0</v>
      </c>
      <c r="CH336" s="29">
        <v>15.0</v>
      </c>
      <c r="CI336" s="29">
        <v>5913.0</v>
      </c>
      <c r="CJ336" s="27" t="inlineStr">
        <is>
          <t xml:space="preserve">dez/26</t>
        </is>
      </c>
    </row>
    <row r="337">
      <c r="A337" s="28">
        <v>46274</v>
      </c>
      <c r="B337" s="29">
        <v>1462.05</v>
      </c>
      <c r="C337" s="29">
        <v>3393.35</v>
      </c>
      <c r="D337" s="29">
        <v>7.69</v>
      </c>
      <c r="E337" s="29">
        <v>4.83</v>
      </c>
      <c r="F337" s="29">
        <v>1647.29</v>
      </c>
      <c r="G337" s="29">
        <v>996.9</v>
      </c>
      <c r="H337" s="29">
        <v>353.7</v>
      </c>
      <c r="I337" s="27" t="inlineStr">
        <is>
          <t xml:space="preserve">dez/26</t>
        </is>
      </c>
      <c r="J337" s="29">
        <v>185629.04</v>
      </c>
      <c r="K337" s="30">
        <v>5128.0</v>
      </c>
      <c r="L337" s="27" t="inlineStr">
        <is>
          <t xml:space="preserve">out/26</t>
        </is>
      </c>
      <c r="M337" s="29">
        <v>381.05</v>
      </c>
      <c r="N337" s="27" t="inlineStr">
        <is>
          <t xml:space="preserve">out/26</t>
        </is>
      </c>
      <c r="S337" s="30">
        <v>13.095</v>
      </c>
      <c r="T337" s="27" t="inlineStr">
        <is>
          <t xml:space="preserve">nov/26</t>
        </is>
      </c>
      <c r="U337" s="30">
        <v>5.2775</v>
      </c>
      <c r="V337" s="27" t="inlineStr">
        <is>
          <t xml:space="preserve">dez/26</t>
        </is>
      </c>
      <c r="W337" s="29">
        <v>345.1</v>
      </c>
      <c r="X337" s="27" t="inlineStr">
        <is>
          <t xml:space="preserve">out/26</t>
        </is>
      </c>
      <c r="Y337" s="30">
        <v>0.7008</v>
      </c>
      <c r="Z337" s="27" t="inlineStr">
        <is>
          <t xml:space="preserve">out/26</t>
        </is>
      </c>
      <c r="AA337" s="29">
        <v>432.61</v>
      </c>
      <c r="AB337" s="29">
        <v>118.28</v>
      </c>
      <c r="AC337" s="29">
        <v>349.13</v>
      </c>
      <c r="AD337" s="29">
        <v>345.13</v>
      </c>
      <c r="AE337" s="29">
        <v>341.28</v>
      </c>
      <c r="AG337" s="29">
        <v>335.94</v>
      </c>
      <c r="AH337" s="29">
        <v>341.54</v>
      </c>
      <c r="AI337" s="29">
        <v>331.1</v>
      </c>
      <c r="AJ337" s="29">
        <v>329.5</v>
      </c>
      <c r="AK337" s="29">
        <v>334.84</v>
      </c>
      <c r="AL337" s="29">
        <v>5.04</v>
      </c>
      <c r="AM337" s="29">
        <v>4.43</v>
      </c>
      <c r="AN337" s="29">
        <v>4.52</v>
      </c>
      <c r="AO337" s="29">
        <v>4.52</v>
      </c>
      <c r="AP337" s="29">
        <v>7.69</v>
      </c>
      <c r="AQ337" s="29">
        <v>134.15</v>
      </c>
      <c r="AR337" s="29">
        <v>146.79</v>
      </c>
      <c r="BH337" s="29">
        <v>1361.39</v>
      </c>
      <c r="BI337" s="29">
        <v>79.44</v>
      </c>
      <c r="BK337" s="29">
        <v>333.79</v>
      </c>
      <c r="BL337" s="29">
        <v>299.97</v>
      </c>
      <c r="BM337" s="29">
        <v>302.95</v>
      </c>
      <c r="BN337" s="29">
        <v>269.26</v>
      </c>
      <c r="BO337" s="29">
        <v>221.36</v>
      </c>
      <c r="BP337" s="29">
        <v>243.5</v>
      </c>
      <c r="BQ337" s="29">
        <v>223.49</v>
      </c>
      <c r="BR337" s="29">
        <v>236.25</v>
      </c>
      <c r="BX337" s="29">
        <v>56.0</v>
      </c>
      <c r="BY337" s="29">
        <v>50.0</v>
      </c>
      <c r="BZ337" s="29">
        <v>51.0</v>
      </c>
      <c r="CA337" s="29">
        <v>47.2</v>
      </c>
      <c r="CD337" s="29">
        <v>30.92</v>
      </c>
      <c r="CE337" s="29">
        <v>31.63</v>
      </c>
      <c r="CF337" s="29">
        <v>317.0</v>
      </c>
      <c r="CG337" s="29">
        <v>1264.0</v>
      </c>
      <c r="CH337" s="29">
        <v>15.0</v>
      </c>
      <c r="CI337" s="29">
        <v>5951.0</v>
      </c>
      <c r="CJ337" s="27" t="inlineStr">
        <is>
          <t xml:space="preserve">dez/26</t>
        </is>
      </c>
    </row>
    <row r="338">
      <c r="A338" s="28">
        <v>46275</v>
      </c>
      <c r="B338" s="29">
        <v>1473.16</v>
      </c>
      <c r="C338" s="29">
        <v>3391.98</v>
      </c>
      <c r="D338" s="29">
        <v>7.74</v>
      </c>
      <c r="E338" s="29">
        <v>4.83</v>
      </c>
      <c r="F338" s="29">
        <v>1618.91</v>
      </c>
      <c r="G338" s="29">
        <v>986.16</v>
      </c>
      <c r="H338" s="29">
        <v>347.2</v>
      </c>
      <c r="I338" s="27" t="inlineStr">
        <is>
          <t xml:space="preserve">dez/26</t>
        </is>
      </c>
      <c r="J338" s="29">
        <v>188268.59</v>
      </c>
      <c r="K338" s="30">
        <v>5131.5</v>
      </c>
      <c r="L338" s="27" t="inlineStr">
        <is>
          <t xml:space="preserve">out/26</t>
        </is>
      </c>
      <c r="M338" s="29">
        <v>377.0</v>
      </c>
      <c r="N338" s="27" t="inlineStr">
        <is>
          <t xml:space="preserve">out/26</t>
        </is>
      </c>
      <c r="S338" s="30">
        <v>13.3225</v>
      </c>
      <c r="T338" s="27" t="inlineStr">
        <is>
          <t xml:space="preserve">nov/26</t>
        </is>
      </c>
      <c r="U338" s="30">
        <v>5.3375</v>
      </c>
      <c r="V338" s="27" t="inlineStr">
        <is>
          <t xml:space="preserve">dez/26</t>
        </is>
      </c>
      <c r="W338" s="29">
        <v>350.6</v>
      </c>
      <c r="X338" s="27" t="inlineStr">
        <is>
          <t xml:space="preserve">out/26</t>
        </is>
      </c>
      <c r="Y338" s="30">
        <v>0.7141</v>
      </c>
      <c r="Z338" s="27" t="inlineStr">
        <is>
          <t xml:space="preserve">out/26</t>
        </is>
      </c>
      <c r="AA338" s="29">
        <v>434.35</v>
      </c>
      <c r="AB338" s="29">
        <v>119.11</v>
      </c>
      <c r="AC338" s="29">
        <v>349.51</v>
      </c>
      <c r="AD338" s="29">
        <v>347.3</v>
      </c>
      <c r="AE338" s="29">
        <v>342.27</v>
      </c>
      <c r="AG338" s="29">
        <v>336.04</v>
      </c>
      <c r="AH338" s="29">
        <v>341.9</v>
      </c>
      <c r="AI338" s="29">
        <v>331.23</v>
      </c>
      <c r="AJ338" s="29">
        <v>329.17</v>
      </c>
      <c r="AK338" s="29">
        <v>336.14</v>
      </c>
      <c r="AL338" s="29">
        <v>5.04</v>
      </c>
      <c r="AM338" s="29">
        <v>4.43</v>
      </c>
      <c r="AN338" s="29">
        <v>4.52</v>
      </c>
      <c r="AO338" s="29">
        <v>4.52</v>
      </c>
      <c r="AP338" s="29">
        <v>7.74</v>
      </c>
      <c r="AQ338" s="29">
        <v>134.15</v>
      </c>
      <c r="AR338" s="29">
        <v>146.79</v>
      </c>
      <c r="BH338" s="29">
        <v>1358.79</v>
      </c>
      <c r="BI338" s="29">
        <v>79.68</v>
      </c>
      <c r="BK338" s="29">
        <v>332.11</v>
      </c>
      <c r="BL338" s="29">
        <v>296.75</v>
      </c>
      <c r="BM338" s="29">
        <v>307.02</v>
      </c>
      <c r="BN338" s="29">
        <v>269.06</v>
      </c>
      <c r="BO338" s="29">
        <v>226.91</v>
      </c>
      <c r="BP338" s="29">
        <v>242.78</v>
      </c>
      <c r="BQ338" s="29">
        <v>223.71</v>
      </c>
      <c r="BR338" s="29">
        <v>231.0</v>
      </c>
      <c r="BX338" s="29">
        <v>56.0</v>
      </c>
      <c r="BY338" s="29">
        <v>50.0</v>
      </c>
      <c r="BZ338" s="29">
        <v>52.0</v>
      </c>
      <c r="CA338" s="29">
        <v>47.2</v>
      </c>
      <c r="CD338" s="29">
        <v>30.58</v>
      </c>
      <c r="CE338" s="29">
        <v>31.56</v>
      </c>
      <c r="CF338" s="29">
        <v>318.0</v>
      </c>
      <c r="CG338" s="29">
        <v>1270.0</v>
      </c>
      <c r="CH338" s="29">
        <v>15.0</v>
      </c>
      <c r="CI338" s="29">
        <v>5962.0</v>
      </c>
      <c r="CJ338" s="27" t="inlineStr">
        <is>
          <t xml:space="preserve">dez/26</t>
        </is>
      </c>
    </row>
    <row r="339">
      <c r="A339" s="28">
        <v>46276</v>
      </c>
      <c r="B339" s="29">
        <v>1489.65</v>
      </c>
      <c r="C339" s="29">
        <v>3393.91</v>
      </c>
      <c r="D339" s="29">
        <v>7.76</v>
      </c>
      <c r="E339" s="29">
        <v>4.88</v>
      </c>
      <c r="F339" s="29">
        <v>1596.87</v>
      </c>
      <c r="G339" s="29">
        <v>992.96</v>
      </c>
      <c r="H339" s="29">
        <v>344.15</v>
      </c>
      <c r="I339" s="27" t="inlineStr">
        <is>
          <t xml:space="preserve">dez/26</t>
        </is>
      </c>
      <c r="J339" s="29">
        <v>187206.89</v>
      </c>
      <c r="K339" s="30">
        <v>5143.0</v>
      </c>
      <c r="L339" s="27" t="inlineStr">
        <is>
          <t xml:space="preserve">out/26</t>
        </is>
      </c>
      <c r="M339" s="29">
        <v>377.35</v>
      </c>
      <c r="N339" s="27" t="inlineStr">
        <is>
          <t xml:space="preserve">out/26</t>
        </is>
      </c>
      <c r="S339" s="30">
        <v>12.965</v>
      </c>
      <c r="T339" s="27" t="inlineStr">
        <is>
          <t xml:space="preserve">nov/26</t>
        </is>
      </c>
      <c r="U339" s="30">
        <v>5.3025</v>
      </c>
      <c r="V339" s="27" t="inlineStr">
        <is>
          <t xml:space="preserve">dez/26</t>
        </is>
      </c>
      <c r="W339" s="29">
        <v>346.8</v>
      </c>
      <c r="X339" s="27" t="inlineStr">
        <is>
          <t xml:space="preserve">out/26</t>
        </is>
      </c>
      <c r="Y339" s="30">
        <v>0.6919</v>
      </c>
      <c r="Z339" s="27" t="inlineStr">
        <is>
          <t xml:space="preserve">out/26</t>
        </is>
      </c>
      <c r="AA339" s="29">
        <v>437.57</v>
      </c>
      <c r="AB339" s="29">
        <v>119.18</v>
      </c>
      <c r="AC339" s="29">
        <v>350.01</v>
      </c>
      <c r="AD339" s="29">
        <v>347.91</v>
      </c>
      <c r="AE339" s="29">
        <v>342.41</v>
      </c>
      <c r="AG339" s="29">
        <v>337.97</v>
      </c>
      <c r="AH339" s="29">
        <v>342.03</v>
      </c>
      <c r="AI339" s="29">
        <v>334.7</v>
      </c>
      <c r="AJ339" s="29">
        <v>329.38</v>
      </c>
      <c r="AK339" s="29">
        <v>334.17</v>
      </c>
      <c r="AL339" s="29">
        <v>5.08</v>
      </c>
      <c r="AM339" s="29">
        <v>4.43</v>
      </c>
      <c r="AN339" s="29">
        <v>4.54</v>
      </c>
      <c r="AO339" s="29">
        <v>4.48</v>
      </c>
      <c r="AP339" s="29">
        <v>7.76</v>
      </c>
      <c r="AQ339" s="29">
        <v>134.15</v>
      </c>
      <c r="AR339" s="29">
        <v>146.79</v>
      </c>
      <c r="BC339" s="29">
        <v>9.49</v>
      </c>
      <c r="BD339" s="29">
        <v>9.27</v>
      </c>
      <c r="BE339" s="29">
        <v>10.09</v>
      </c>
      <c r="BF339" s="29">
        <v>8.7</v>
      </c>
      <c r="BG339" s="29">
        <v>9.42</v>
      </c>
      <c r="BH339" s="29">
        <v>1358.79</v>
      </c>
      <c r="BI339" s="29">
        <v>79.79</v>
      </c>
      <c r="BJ339" s="29">
        <v>340.0</v>
      </c>
      <c r="BK339" s="29">
        <v>333.11</v>
      </c>
      <c r="BL339" s="29">
        <v>292.67</v>
      </c>
      <c r="BM339" s="29">
        <v>308.35</v>
      </c>
      <c r="BN339" s="29">
        <v>267.81</v>
      </c>
      <c r="BO339" s="29">
        <v>229.96</v>
      </c>
      <c r="BP339" s="29">
        <v>242.78</v>
      </c>
      <c r="BQ339" s="29">
        <v>224.43</v>
      </c>
      <c r="BR339" s="29">
        <v>231.0</v>
      </c>
      <c r="BS339" s="30">
        <v>2.4622</v>
      </c>
      <c r="BT339" s="30">
        <v>2.8475</v>
      </c>
      <c r="BU339" s="29">
        <v>607.35</v>
      </c>
      <c r="BV339" s="29">
        <v>481.36</v>
      </c>
      <c r="BW339" s="29">
        <v>560.44</v>
      </c>
      <c r="BX339" s="29">
        <v>55.0</v>
      </c>
      <c r="BY339" s="29">
        <v>50.0</v>
      </c>
      <c r="BZ339" s="29">
        <v>52.0</v>
      </c>
      <c r="CA339" s="29">
        <v>47.2</v>
      </c>
      <c r="CD339" s="29">
        <v>31.15</v>
      </c>
      <c r="CE339" s="29">
        <v>31.74</v>
      </c>
      <c r="CF339" s="29">
        <v>316.0</v>
      </c>
      <c r="CG339" s="29">
        <v>1261.0</v>
      </c>
      <c r="CH339" s="29">
        <v>15.0</v>
      </c>
      <c r="CI339" s="29">
        <v>5961.0</v>
      </c>
      <c r="CJ339" s="27" t="inlineStr">
        <is>
          <t xml:space="preserve">dez/26</t>
        </is>
      </c>
    </row>
    <row r="340">
      <c r="A340" s="28">
        <v>46279</v>
      </c>
      <c r="B340" s="29">
        <v>1504.29</v>
      </c>
      <c r="C340" s="29">
        <v>3393.83</v>
      </c>
      <c r="D340" s="29">
        <v>7.87</v>
      </c>
      <c r="E340" s="29">
        <v>4.92</v>
      </c>
      <c r="F340" s="29">
        <v>1594.86</v>
      </c>
      <c r="G340" s="29">
        <v>992.35</v>
      </c>
      <c r="H340" s="29">
        <v>353.5</v>
      </c>
      <c r="I340" s="27" t="inlineStr">
        <is>
          <t xml:space="preserve">dez/26</t>
        </is>
      </c>
      <c r="J340" s="29">
        <v>185500.88</v>
      </c>
      <c r="K340" s="30">
        <v>5168.0</v>
      </c>
      <c r="L340" s="27" t="inlineStr">
        <is>
          <t xml:space="preserve">out/26</t>
        </is>
      </c>
      <c r="M340" s="29">
        <v>375.55</v>
      </c>
      <c r="N340" s="27" t="inlineStr">
        <is>
          <t xml:space="preserve">out/26</t>
        </is>
      </c>
      <c r="S340" s="30">
        <v>13.0425</v>
      </c>
      <c r="T340" s="27" t="inlineStr">
        <is>
          <t xml:space="preserve">nov/26</t>
        </is>
      </c>
      <c r="U340" s="30">
        <v>5.3325</v>
      </c>
      <c r="V340" s="27" t="inlineStr">
        <is>
          <t xml:space="preserve">dez/26</t>
        </is>
      </c>
      <c r="W340" s="29">
        <v>350.2</v>
      </c>
      <c r="X340" s="27" t="inlineStr">
        <is>
          <t xml:space="preserve">out/26</t>
        </is>
      </c>
      <c r="Y340" s="30">
        <v>0.6965</v>
      </c>
      <c r="Z340" s="27" t="inlineStr">
        <is>
          <t xml:space="preserve">out/26</t>
        </is>
      </c>
      <c r="AA340" s="29">
        <v>437.5</v>
      </c>
      <c r="AB340" s="29">
        <v>119.41</v>
      </c>
      <c r="AC340" s="29">
        <v>350.77</v>
      </c>
      <c r="AD340" s="29">
        <v>349.89</v>
      </c>
      <c r="AE340" s="29">
        <v>342.89</v>
      </c>
      <c r="AG340" s="29">
        <v>339.25</v>
      </c>
      <c r="AH340" s="29">
        <v>342.04</v>
      </c>
      <c r="AI340" s="29">
        <v>333.99</v>
      </c>
      <c r="AJ340" s="29">
        <v>330.45</v>
      </c>
      <c r="AK340" s="29">
        <v>333.14</v>
      </c>
      <c r="AL340" s="29">
        <v>5.1</v>
      </c>
      <c r="AM340" s="29">
        <v>4.47</v>
      </c>
      <c r="AN340" s="29">
        <v>4.57</v>
      </c>
      <c r="AO340" s="29">
        <v>4.53</v>
      </c>
      <c r="AP340" s="29">
        <v>7.87</v>
      </c>
      <c r="AQ340" s="29">
        <v>134.19</v>
      </c>
      <c r="AR340" s="29">
        <v>147.33</v>
      </c>
      <c r="BH340" s="29">
        <v>1357.21</v>
      </c>
      <c r="BI340" s="29">
        <v>79.78</v>
      </c>
      <c r="BJ340" s="29">
        <v>341.47</v>
      </c>
      <c r="BK340" s="29">
        <v>335.95</v>
      </c>
      <c r="BL340" s="29">
        <v>297.22</v>
      </c>
      <c r="BM340" s="29">
        <v>310.41</v>
      </c>
      <c r="BN340" s="29">
        <v>273.34</v>
      </c>
      <c r="BO340" s="29">
        <v>237.46</v>
      </c>
      <c r="BP340" s="29">
        <v>244.45</v>
      </c>
      <c r="BQ340" s="29">
        <v>231.21</v>
      </c>
      <c r="BR340" s="29">
        <v>232.0</v>
      </c>
      <c r="BX340" s="29">
        <v>55.0</v>
      </c>
      <c r="BY340" s="29">
        <v>50.0</v>
      </c>
      <c r="BZ340" s="29">
        <v>52.0</v>
      </c>
      <c r="CA340" s="29">
        <v>47.2</v>
      </c>
      <c r="CD340" s="29">
        <v>30.5</v>
      </c>
      <c r="CE340" s="29">
        <v>31.06</v>
      </c>
      <c r="CF340" s="29">
        <v>317.0</v>
      </c>
      <c r="CG340" s="29">
        <v>1264.0</v>
      </c>
      <c r="CH340" s="29">
        <v>15.0</v>
      </c>
      <c r="CI340" s="29">
        <v>6023.0</v>
      </c>
      <c r="CJ340" s="27" t="inlineStr">
        <is>
          <t xml:space="preserve">dez/26</t>
        </is>
      </c>
    </row>
    <row r="341">
      <c r="A341" s="28">
        <v>46280</v>
      </c>
      <c r="B341" s="29">
        <v>1509.58</v>
      </c>
      <c r="C341" s="29">
        <v>3391.91</v>
      </c>
      <c r="D341" s="29">
        <v>7.94</v>
      </c>
      <c r="E341" s="29">
        <v>5.02</v>
      </c>
      <c r="F341" s="29">
        <v>1588.43</v>
      </c>
      <c r="G341" s="29">
        <v>985.78</v>
      </c>
      <c r="H341" s="29">
        <v>344.65</v>
      </c>
      <c r="I341" s="27" t="inlineStr">
        <is>
          <t xml:space="preserve">dez/26</t>
        </is>
      </c>
      <c r="J341" s="29">
        <v>186502.64</v>
      </c>
      <c r="K341" s="30">
        <v>5168.5</v>
      </c>
      <c r="L341" s="27" t="inlineStr">
        <is>
          <t xml:space="preserve">out/26</t>
        </is>
      </c>
      <c r="M341" s="29">
        <v>375.85</v>
      </c>
      <c r="N341" s="27" t="inlineStr">
        <is>
          <t xml:space="preserve">out/26</t>
        </is>
      </c>
      <c r="S341" s="30">
        <v>13.1875</v>
      </c>
      <c r="T341" s="27" t="inlineStr">
        <is>
          <t xml:space="preserve">nov/26</t>
        </is>
      </c>
      <c r="U341" s="30">
        <v>5.3575</v>
      </c>
      <c r="V341" s="27" t="inlineStr">
        <is>
          <t xml:space="preserve">dez/26</t>
        </is>
      </c>
      <c r="W341" s="29">
        <v>360.1</v>
      </c>
      <c r="X341" s="27" t="inlineStr">
        <is>
          <t xml:space="preserve">out/26</t>
        </is>
      </c>
      <c r="Y341" s="30">
        <v>0.6988</v>
      </c>
      <c r="Z341" s="27" t="inlineStr">
        <is>
          <t xml:space="preserve">out/26</t>
        </is>
      </c>
      <c r="AA341" s="29">
        <v>432.27</v>
      </c>
      <c r="AB341" s="29">
        <v>118.15</v>
      </c>
      <c r="AC341" s="29">
        <v>352.37</v>
      </c>
      <c r="AD341" s="29">
        <v>349.01</v>
      </c>
      <c r="AE341" s="29">
        <v>343.75</v>
      </c>
      <c r="AG341" s="29">
        <v>339.16</v>
      </c>
      <c r="AH341" s="29">
        <v>340.59</v>
      </c>
      <c r="AI341" s="29">
        <v>333.57</v>
      </c>
      <c r="AJ341" s="29">
        <v>332.03</v>
      </c>
      <c r="AK341" s="29">
        <v>332.57</v>
      </c>
      <c r="AL341" s="29">
        <v>5.08</v>
      </c>
      <c r="AM341" s="29">
        <v>4.49</v>
      </c>
      <c r="AN341" s="29">
        <v>4.65</v>
      </c>
      <c r="AO341" s="29">
        <v>4.58</v>
      </c>
      <c r="AP341" s="29">
        <v>7.93</v>
      </c>
      <c r="AQ341" s="29">
        <v>133.85</v>
      </c>
      <c r="AR341" s="29">
        <v>146.72</v>
      </c>
      <c r="BH341" s="29">
        <v>1361.32</v>
      </c>
      <c r="BI341" s="29">
        <v>80.35</v>
      </c>
      <c r="BJ341" s="29">
        <v>341.47</v>
      </c>
      <c r="BK341" s="29">
        <v>336.95</v>
      </c>
      <c r="BL341" s="29">
        <v>298.64</v>
      </c>
      <c r="BM341" s="29">
        <v>310.76</v>
      </c>
      <c r="BN341" s="29">
        <v>274.07</v>
      </c>
      <c r="BO341" s="29">
        <v>242.43</v>
      </c>
      <c r="BP341" s="29">
        <v>247.3</v>
      </c>
      <c r="BQ341" s="29">
        <v>234.23</v>
      </c>
      <c r="BR341" s="29">
        <v>234.17</v>
      </c>
      <c r="BX341" s="29">
        <v>55.0</v>
      </c>
      <c r="BY341" s="29">
        <v>50.0</v>
      </c>
      <c r="BZ341" s="29">
        <v>52.0</v>
      </c>
      <c r="CA341" s="29">
        <v>47.2</v>
      </c>
      <c r="CD341" s="29">
        <v>30.31</v>
      </c>
      <c r="CE341" s="29">
        <v>31.26</v>
      </c>
      <c r="CF341" s="29">
        <v>314.0</v>
      </c>
      <c r="CG341" s="29">
        <v>1254.0</v>
      </c>
      <c r="CH341" s="29">
        <v>15.0</v>
      </c>
      <c r="CI341" s="29">
        <v>5923.0</v>
      </c>
      <c r="CJ341" s="27" t="inlineStr">
        <is>
          <t xml:space="preserve">dez/26</t>
        </is>
      </c>
    </row>
    <row r="342">
      <c r="A342" s="28">
        <v>46281</v>
      </c>
      <c r="B342" s="29">
        <v>1512.0</v>
      </c>
      <c r="C342" s="29">
        <v>3397.89</v>
      </c>
      <c r="D342" s="29">
        <v>8.34</v>
      </c>
      <c r="E342" s="29">
        <v>5.01</v>
      </c>
      <c r="F342" s="29">
        <v>1566.48</v>
      </c>
      <c r="G342" s="29">
        <v>977.32</v>
      </c>
      <c r="H342" s="29">
        <v>337.35</v>
      </c>
      <c r="I342" s="27" t="inlineStr">
        <is>
          <t xml:space="preserve">dez/26</t>
        </is>
      </c>
      <c r="J342" s="29">
        <v>185547.66</v>
      </c>
      <c r="K342" s="30">
        <v>5166.5</v>
      </c>
      <c r="L342" s="27" t="inlineStr">
        <is>
          <t xml:space="preserve">out/26</t>
        </is>
      </c>
      <c r="M342" s="29">
        <v>381.55</v>
      </c>
      <c r="N342" s="27" t="inlineStr">
        <is>
          <t xml:space="preserve">out/26</t>
        </is>
      </c>
      <c r="S342" s="30">
        <v>13.205</v>
      </c>
      <c r="T342" s="27" t="inlineStr">
        <is>
          <t xml:space="preserve">nov/26</t>
        </is>
      </c>
      <c r="U342" s="30">
        <v>5.3425</v>
      </c>
      <c r="V342" s="27" t="inlineStr">
        <is>
          <t xml:space="preserve">dez/26</t>
        </is>
      </c>
      <c r="W342" s="29">
        <v>360.9</v>
      </c>
      <c r="X342" s="27" t="inlineStr">
        <is>
          <t xml:space="preserve">out/26</t>
        </is>
      </c>
      <c r="Y342" s="30">
        <v>0.6919</v>
      </c>
      <c r="Z342" s="27" t="inlineStr">
        <is>
          <t xml:space="preserve">out/26</t>
        </is>
      </c>
      <c r="AA342" s="29">
        <v>431.07</v>
      </c>
      <c r="AB342" s="29">
        <v>119.28</v>
      </c>
      <c r="AC342" s="29">
        <v>352.87</v>
      </c>
      <c r="AD342" s="29">
        <v>349.86</v>
      </c>
      <c r="AE342" s="29">
        <v>344.25</v>
      </c>
      <c r="AG342" s="29">
        <v>339.12</v>
      </c>
      <c r="AH342" s="29">
        <v>341.3</v>
      </c>
      <c r="AI342" s="29">
        <v>332.38</v>
      </c>
      <c r="AJ342" s="29">
        <v>333.06</v>
      </c>
      <c r="AK342" s="29">
        <v>331.39</v>
      </c>
      <c r="AL342" s="29">
        <v>5.07</v>
      </c>
      <c r="AM342" s="29">
        <v>4.52</v>
      </c>
      <c r="AN342" s="29">
        <v>4.67</v>
      </c>
      <c r="AO342" s="29">
        <v>4.61</v>
      </c>
      <c r="AP342" s="29">
        <v>8.33</v>
      </c>
      <c r="AQ342" s="29">
        <v>133.77</v>
      </c>
      <c r="AR342" s="29">
        <v>147.35</v>
      </c>
      <c r="BH342" s="29">
        <v>1380.03</v>
      </c>
      <c r="BI342" s="29">
        <v>81.39</v>
      </c>
      <c r="BJ342" s="29">
        <v>342.91</v>
      </c>
      <c r="BK342" s="29">
        <v>337.82</v>
      </c>
      <c r="BL342" s="29">
        <v>301.11</v>
      </c>
      <c r="BM342" s="29">
        <v>312.53</v>
      </c>
      <c r="BN342" s="29">
        <v>274.45</v>
      </c>
      <c r="BO342" s="29">
        <v>249.92</v>
      </c>
      <c r="BP342" s="29">
        <v>254.4</v>
      </c>
      <c r="BQ342" s="29">
        <v>240.49</v>
      </c>
      <c r="BR342" s="29">
        <v>245.0</v>
      </c>
      <c r="BX342" s="29">
        <v>55.0</v>
      </c>
      <c r="BY342" s="29">
        <v>50.0</v>
      </c>
      <c r="BZ342" s="29">
        <v>52.0</v>
      </c>
      <c r="CA342" s="29">
        <v>47.2</v>
      </c>
      <c r="CD342" s="29">
        <v>30.92</v>
      </c>
      <c r="CE342" s="29">
        <v>31.99</v>
      </c>
      <c r="CF342" s="29">
        <v>318.0</v>
      </c>
      <c r="CG342" s="29">
        <v>1268.0</v>
      </c>
      <c r="CH342" s="29">
        <v>15.0</v>
      </c>
      <c r="CI342" s="29">
        <v>5979.0</v>
      </c>
      <c r="CJ342" s="27" t="inlineStr">
        <is>
          <t xml:space="preserve">dez/26</t>
        </is>
      </c>
    </row>
    <row r="343">
      <c r="A343" s="28">
        <v>46282</v>
      </c>
      <c r="B343" s="29">
        <v>1509.74</v>
      </c>
      <c r="C343" s="29">
        <v>3406.24</v>
      </c>
      <c r="D343" s="29">
        <v>8.33</v>
      </c>
      <c r="E343" s="29">
        <v>5.02</v>
      </c>
      <c r="F343" s="29">
        <v>1541.97</v>
      </c>
      <c r="G343" s="29">
        <v>965.02</v>
      </c>
      <c r="H343" s="29">
        <v>336.0</v>
      </c>
      <c r="I343" s="27" t="inlineStr">
        <is>
          <t xml:space="preserve">dez/26</t>
        </is>
      </c>
      <c r="J343" s="29">
        <v>185992.03</v>
      </c>
      <c r="K343" s="30">
        <v>5141.0</v>
      </c>
      <c r="L343" s="27" t="inlineStr">
        <is>
          <t xml:space="preserve">out/26</t>
        </is>
      </c>
      <c r="M343" s="29">
        <v>379.55</v>
      </c>
      <c r="N343" s="27" t="inlineStr">
        <is>
          <t xml:space="preserve">out/26</t>
        </is>
      </c>
      <c r="S343" s="30">
        <v>13.1975</v>
      </c>
      <c r="T343" s="27" t="inlineStr">
        <is>
          <t xml:space="preserve">nov/26</t>
        </is>
      </c>
      <c r="U343" s="30">
        <v>5.305</v>
      </c>
      <c r="V343" s="27" t="inlineStr">
        <is>
          <t xml:space="preserve">dez/26</t>
        </is>
      </c>
      <c r="W343" s="29">
        <v>368.7</v>
      </c>
      <c r="X343" s="27" t="inlineStr">
        <is>
          <t xml:space="preserve">out/26</t>
        </is>
      </c>
      <c r="Y343" s="30">
        <v>0.6868</v>
      </c>
      <c r="Z343" s="27" t="inlineStr">
        <is>
          <t xml:space="preserve">out/26</t>
        </is>
      </c>
      <c r="AA343" s="29">
        <v>432.57</v>
      </c>
      <c r="AB343" s="29">
        <v>119.58</v>
      </c>
      <c r="AC343" s="29">
        <v>353.05</v>
      </c>
      <c r="AD343" s="29">
        <v>350.18</v>
      </c>
      <c r="AE343" s="29">
        <v>345.23</v>
      </c>
      <c r="AG343" s="29">
        <v>339.48</v>
      </c>
      <c r="AH343" s="29">
        <v>343.87</v>
      </c>
      <c r="AI343" s="29">
        <v>331.57</v>
      </c>
      <c r="AJ343" s="29">
        <v>336.25</v>
      </c>
      <c r="AK343" s="29">
        <v>331.39</v>
      </c>
      <c r="AL343" s="29">
        <v>5.13</v>
      </c>
      <c r="AM343" s="29">
        <v>4.58</v>
      </c>
      <c r="AN343" s="29">
        <v>4.65</v>
      </c>
      <c r="AO343" s="29">
        <v>4.69</v>
      </c>
      <c r="AP343" s="29">
        <v>8.33</v>
      </c>
      <c r="AQ343" s="29">
        <v>133.77</v>
      </c>
      <c r="AR343" s="29">
        <v>147.35</v>
      </c>
      <c r="BH343" s="29">
        <v>1385.09</v>
      </c>
      <c r="BI343" s="29">
        <v>81.67</v>
      </c>
      <c r="BJ343" s="29">
        <v>339.49</v>
      </c>
      <c r="BK343" s="29">
        <v>337.71</v>
      </c>
      <c r="BL343" s="29">
        <v>301.58</v>
      </c>
      <c r="BM343" s="29">
        <v>312.58</v>
      </c>
      <c r="BN343" s="29">
        <v>276.36</v>
      </c>
      <c r="BO343" s="29">
        <v>249.96</v>
      </c>
      <c r="BP343" s="29">
        <v>254.4</v>
      </c>
      <c r="BQ343" s="29">
        <v>246.12</v>
      </c>
      <c r="BR343" s="29">
        <v>241.43</v>
      </c>
      <c r="BX343" s="29">
        <v>55.0</v>
      </c>
      <c r="BY343" s="29">
        <v>50.0</v>
      </c>
      <c r="BZ343" s="29">
        <v>52.0</v>
      </c>
      <c r="CA343" s="29">
        <v>47.2</v>
      </c>
      <c r="CD343" s="29">
        <v>30.92</v>
      </c>
      <c r="CE343" s="29">
        <v>31.93</v>
      </c>
      <c r="CF343" s="29">
        <v>306.0</v>
      </c>
      <c r="CG343" s="29">
        <v>1184.0</v>
      </c>
      <c r="CH343" s="29">
        <v>15.0</v>
      </c>
      <c r="CI343" s="29">
        <v>5772.0</v>
      </c>
      <c r="CJ343" s="27" t="inlineStr">
        <is>
          <t xml:space="preserve">dez/26</t>
        </is>
      </c>
    </row>
    <row r="344">
      <c r="A344" s="28">
        <v>46283</v>
      </c>
      <c r="B344" s="29">
        <v>1510.24</v>
      </c>
      <c r="C344" s="29">
        <v>3410.12</v>
      </c>
      <c r="D344" s="29">
        <v>8.31</v>
      </c>
      <c r="E344" s="29">
        <v>5.04</v>
      </c>
      <c r="F344" s="29">
        <v>1546.58</v>
      </c>
      <c r="G344" s="29">
        <v>965.79</v>
      </c>
      <c r="H344" s="29">
        <v>336.6</v>
      </c>
      <c r="I344" s="27" t="inlineStr">
        <is>
          <t xml:space="preserve">dez/26</t>
        </is>
      </c>
      <c r="J344" s="29">
        <v>185229.17</v>
      </c>
      <c r="K344" s="30">
        <v>5155.0</v>
      </c>
      <c r="L344" s="27" t="inlineStr">
        <is>
          <t xml:space="preserve">out/26</t>
        </is>
      </c>
      <c r="M344" s="29">
        <v>380.0</v>
      </c>
      <c r="N344" s="27" t="inlineStr">
        <is>
          <t xml:space="preserve">out/26</t>
        </is>
      </c>
      <c r="S344" s="30">
        <v>13.035</v>
      </c>
      <c r="T344" s="27" t="inlineStr">
        <is>
          <t xml:space="preserve">nov/26</t>
        </is>
      </c>
      <c r="U344" s="30">
        <v>5.275</v>
      </c>
      <c r="V344" s="27" t="inlineStr">
        <is>
          <t xml:space="preserve">dez/26</t>
        </is>
      </c>
      <c r="W344" s="29">
        <v>354.6</v>
      </c>
      <c r="X344" s="27" t="inlineStr">
        <is>
          <t xml:space="preserve">out/26</t>
        </is>
      </c>
      <c r="Y344" s="30">
        <v>0.677</v>
      </c>
      <c r="Z344" s="27" t="inlineStr">
        <is>
          <t xml:space="preserve">out/26</t>
        </is>
      </c>
      <c r="AA344" s="29">
        <v>427.13</v>
      </c>
      <c r="AB344" s="29">
        <v>120.05</v>
      </c>
      <c r="AC344" s="29">
        <v>353.03</v>
      </c>
      <c r="AD344" s="29">
        <v>350.41</v>
      </c>
      <c r="AE344" s="29">
        <v>346.55</v>
      </c>
      <c r="AG344" s="29">
        <v>341.57</v>
      </c>
      <c r="AH344" s="29">
        <v>346.23</v>
      </c>
      <c r="AI344" s="29">
        <v>331.54</v>
      </c>
      <c r="AJ344" s="29">
        <v>336.68</v>
      </c>
      <c r="AK344" s="29">
        <v>331.42</v>
      </c>
      <c r="AL344" s="29">
        <v>5.26</v>
      </c>
      <c r="AM344" s="29">
        <v>4.59</v>
      </c>
      <c r="AN344" s="29">
        <v>4.69</v>
      </c>
      <c r="AO344" s="29">
        <v>4.71</v>
      </c>
      <c r="AP344" s="29">
        <v>8.31</v>
      </c>
      <c r="AQ344" s="29">
        <v>124.52</v>
      </c>
      <c r="AR344" s="29">
        <v>137.52</v>
      </c>
      <c r="BC344" s="29">
        <v>9.48</v>
      </c>
      <c r="BD344" s="29">
        <v>9.25</v>
      </c>
      <c r="BE344" s="29">
        <v>10.1</v>
      </c>
      <c r="BF344" s="29">
        <v>8.73</v>
      </c>
      <c r="BG344" s="29">
        <v>9.4</v>
      </c>
      <c r="BH344" s="29">
        <v>1400.5</v>
      </c>
      <c r="BI344" s="29">
        <v>81.92</v>
      </c>
      <c r="BJ344" s="29">
        <v>351.25</v>
      </c>
      <c r="BK344" s="29">
        <v>346.67</v>
      </c>
      <c r="BL344" s="29">
        <v>305.11</v>
      </c>
      <c r="BM344" s="29">
        <v>315.98</v>
      </c>
      <c r="BN344" s="29">
        <v>279.99</v>
      </c>
      <c r="BO344" s="29">
        <v>250.67</v>
      </c>
      <c r="BP344" s="29">
        <v>266.36</v>
      </c>
      <c r="BQ344" s="29">
        <v>248.74</v>
      </c>
      <c r="BR344" s="29">
        <v>247.86</v>
      </c>
      <c r="BS344" s="30">
        <v>2.6412</v>
      </c>
      <c r="BT344" s="30">
        <v>2.9128</v>
      </c>
      <c r="BU344" s="29">
        <v>609.44</v>
      </c>
      <c r="BV344" s="29">
        <v>493.64</v>
      </c>
      <c r="BW344" s="29">
        <v>563.07</v>
      </c>
      <c r="BX344" s="29">
        <v>55.0</v>
      </c>
      <c r="BY344" s="29">
        <v>50.0</v>
      </c>
      <c r="BZ344" s="29">
        <v>52.0</v>
      </c>
      <c r="CA344" s="29">
        <v>47.2</v>
      </c>
      <c r="CD344" s="29">
        <v>30.82</v>
      </c>
      <c r="CE344" s="29">
        <v>32.03</v>
      </c>
      <c r="CF344" s="29">
        <v>257.0</v>
      </c>
      <c r="CG344" s="29">
        <v>988.0</v>
      </c>
      <c r="CH344" s="29">
        <v>12.0</v>
      </c>
      <c r="CI344" s="29">
        <v>5327.0</v>
      </c>
      <c r="CJ344" s="27" t="inlineStr">
        <is>
          <t xml:space="preserve">dez/26</t>
        </is>
      </c>
    </row>
    <row r="345">
      <c r="A345" s="28">
        <v>46286</v>
      </c>
      <c r="B345" s="29">
        <v>1532.17</v>
      </c>
      <c r="C345" s="29">
        <v>3407.6</v>
      </c>
      <c r="D345" s="29">
        <v>8.31</v>
      </c>
      <c r="E345" s="29">
        <v>5.13</v>
      </c>
      <c r="F345" s="29">
        <v>1534.23</v>
      </c>
      <c r="G345" s="29">
        <v>957.72</v>
      </c>
      <c r="H345" s="29">
        <v>329.5</v>
      </c>
      <c r="I345" s="27" t="inlineStr">
        <is>
          <t xml:space="preserve">dez/26</t>
        </is>
      </c>
      <c r="J345" s="29">
        <v>186595.6</v>
      </c>
      <c r="K345" s="30">
        <v>5122.5</v>
      </c>
      <c r="L345" s="27" t="inlineStr">
        <is>
          <t xml:space="preserve">out/26</t>
        </is>
      </c>
      <c r="M345" s="29">
        <v>380.75</v>
      </c>
      <c r="N345" s="27" t="inlineStr">
        <is>
          <t xml:space="preserve">out/26</t>
        </is>
      </c>
      <c r="S345" s="30">
        <v>13.28</v>
      </c>
      <c r="T345" s="27" t="inlineStr">
        <is>
          <t xml:space="preserve">nov/26</t>
        </is>
      </c>
      <c r="U345" s="30">
        <v>5.43</v>
      </c>
      <c r="V345" s="27" t="inlineStr">
        <is>
          <t xml:space="preserve">dez/26</t>
        </is>
      </c>
      <c r="W345" s="29">
        <v>366.6</v>
      </c>
      <c r="X345" s="27" t="inlineStr">
        <is>
          <t xml:space="preserve">out/26</t>
        </is>
      </c>
      <c r="Y345" s="30">
        <v>0.6832</v>
      </c>
      <c r="Z345" s="27" t="inlineStr">
        <is>
          <t xml:space="preserve">out/26</t>
        </is>
      </c>
      <c r="AA345" s="29">
        <v>422.83</v>
      </c>
      <c r="AB345" s="29">
        <v>120.13</v>
      </c>
      <c r="AL345" s="29">
        <v>5.32</v>
      </c>
      <c r="AM345" s="29">
        <v>4.62</v>
      </c>
      <c r="AN345" s="29">
        <v>4.75</v>
      </c>
      <c r="AO345" s="29">
        <v>4.81</v>
      </c>
      <c r="AP345" s="29">
        <v>8.34</v>
      </c>
      <c r="AQ345" s="29">
        <v>124.52</v>
      </c>
      <c r="AR345" s="29">
        <v>137.51</v>
      </c>
      <c r="BH345" s="29">
        <v>1419.84</v>
      </c>
      <c r="BI345" s="29">
        <v>82.03</v>
      </c>
      <c r="BK345" s="29">
        <v>352.32</v>
      </c>
      <c r="BL345" s="29">
        <v>310.92</v>
      </c>
      <c r="BM345" s="29">
        <v>317.65</v>
      </c>
      <c r="BN345" s="29">
        <v>282.15</v>
      </c>
      <c r="BO345" s="29">
        <v>251.54</v>
      </c>
      <c r="BP345" s="29">
        <v>270.09</v>
      </c>
      <c r="BQ345" s="29">
        <v>251.98</v>
      </c>
      <c r="BR345" s="29">
        <v>247.86</v>
      </c>
      <c r="BX345" s="29">
        <v>54.0</v>
      </c>
      <c r="BY345" s="29">
        <v>50.0</v>
      </c>
      <c r="BZ345" s="29">
        <v>51.0</v>
      </c>
      <c r="CA345" s="29">
        <v>46.4</v>
      </c>
      <c r="CD345" s="29">
        <v>29.42</v>
      </c>
      <c r="CE345" s="29">
        <v>31.82</v>
      </c>
      <c r="CF345" s="29">
        <v>253.0</v>
      </c>
      <c r="CG345" s="29">
        <v>974.0</v>
      </c>
      <c r="CH345" s="29">
        <v>12.0</v>
      </c>
      <c r="CI345" s="29">
        <v>5351.0</v>
      </c>
      <c r="CJ345" s="27" t="inlineStr">
        <is>
          <t xml:space="preserve">dez/26</t>
        </is>
      </c>
    </row>
    <row r="346">
      <c r="A346" s="28">
        <v>46287</v>
      </c>
      <c r="B346" s="29">
        <v>1535.23</v>
      </c>
      <c r="C346" s="29">
        <v>3411.73</v>
      </c>
      <c r="D346" s="29">
        <v>8.32</v>
      </c>
      <c r="E346" s="29">
        <v>5.2</v>
      </c>
      <c r="F346" s="29">
        <v>1511.31</v>
      </c>
      <c r="G346" s="29">
        <v>936.96</v>
      </c>
      <c r="H346" s="29">
        <v>328.75</v>
      </c>
      <c r="I346" s="27" t="inlineStr">
        <is>
          <t xml:space="preserve">dez/26</t>
        </is>
      </c>
      <c r="J346" s="29">
        <v>187422.92</v>
      </c>
      <c r="K346" s="30">
        <v>5110.0</v>
      </c>
      <c r="L346" s="27" t="inlineStr">
        <is>
          <t xml:space="preserve">out/26</t>
        </is>
      </c>
      <c r="M346" s="29">
        <v>380.15</v>
      </c>
      <c r="N346" s="27" t="inlineStr">
        <is>
          <t xml:space="preserve">out/26</t>
        </is>
      </c>
      <c r="S346" s="30">
        <v>13.255</v>
      </c>
      <c r="T346" s="27" t="inlineStr">
        <is>
          <t xml:space="preserve">nov/26</t>
        </is>
      </c>
      <c r="U346" s="30">
        <v>5.3675</v>
      </c>
      <c r="V346" s="27" t="inlineStr">
        <is>
          <t xml:space="preserve">dez/26</t>
        </is>
      </c>
      <c r="W346" s="29">
        <v>368.9</v>
      </c>
      <c r="X346" s="27" t="inlineStr">
        <is>
          <t xml:space="preserve">out/26</t>
        </is>
      </c>
      <c r="Y346" s="30">
        <v>0.6737</v>
      </c>
      <c r="Z346" s="27" t="inlineStr">
        <is>
          <t xml:space="preserve">out/26</t>
        </is>
      </c>
      <c r="AA346" s="29">
        <v>419.98</v>
      </c>
      <c r="AB346" s="29">
        <v>120.79</v>
      </c>
      <c r="AC346" s="29">
        <v>355.94</v>
      </c>
      <c r="AD346" s="29">
        <v>353.81</v>
      </c>
      <c r="AE346" s="29">
        <v>348.51</v>
      </c>
      <c r="AG346" s="29">
        <v>342.28</v>
      </c>
      <c r="AH346" s="29">
        <v>345.16</v>
      </c>
      <c r="AI346" s="29">
        <v>333.04</v>
      </c>
      <c r="AJ346" s="29">
        <v>337.87</v>
      </c>
      <c r="AK346" s="29">
        <v>331.45</v>
      </c>
      <c r="AL346" s="29">
        <v>5.46</v>
      </c>
      <c r="AM346" s="29">
        <v>4.63</v>
      </c>
      <c r="AN346" s="29">
        <v>4.75</v>
      </c>
      <c r="AO346" s="29">
        <v>4.85</v>
      </c>
      <c r="AP346" s="29">
        <v>8.35</v>
      </c>
      <c r="AQ346" s="29">
        <v>123.67</v>
      </c>
      <c r="AR346" s="29">
        <v>137.16</v>
      </c>
      <c r="BH346" s="29">
        <v>1419.47</v>
      </c>
      <c r="BI346" s="29">
        <v>81.9</v>
      </c>
      <c r="BK346" s="29">
        <v>352.44</v>
      </c>
      <c r="BL346" s="29">
        <v>310.84</v>
      </c>
      <c r="BM346" s="29">
        <v>318.39</v>
      </c>
      <c r="BN346" s="29">
        <v>285.92</v>
      </c>
      <c r="BO346" s="29">
        <v>259.95</v>
      </c>
      <c r="BP346" s="29">
        <v>272.58</v>
      </c>
      <c r="BQ346" s="29">
        <v>253.89</v>
      </c>
      <c r="BR346" s="29">
        <v>265.71</v>
      </c>
      <c r="BX346" s="29">
        <v>53.0</v>
      </c>
      <c r="BY346" s="29">
        <v>50.0</v>
      </c>
      <c r="BZ346" s="29">
        <v>51.0</v>
      </c>
      <c r="CA346" s="29">
        <v>46.4</v>
      </c>
      <c r="CD346" s="29">
        <v>29.42</v>
      </c>
      <c r="CE346" s="29">
        <v>30.88</v>
      </c>
      <c r="CF346" s="29">
        <v>262.0</v>
      </c>
      <c r="CG346" s="29">
        <v>1009.0</v>
      </c>
      <c r="CH346" s="29">
        <v>12.0</v>
      </c>
      <c r="CI346" s="29">
        <v>5402.0</v>
      </c>
      <c r="CJ346" s="27" t="inlineStr">
        <is>
          <t xml:space="preserve">dez/26</t>
        </is>
      </c>
    </row>
    <row r="347">
      <c r="A347" s="28">
        <v>46288</v>
      </c>
      <c r="B347" s="29">
        <v>1533.55</v>
      </c>
      <c r="C347" s="29">
        <v>3414.22</v>
      </c>
      <c r="D347" s="29">
        <v>8.32</v>
      </c>
      <c r="E347" s="29">
        <v>5.32</v>
      </c>
      <c r="F347" s="29">
        <v>1513.01</v>
      </c>
      <c r="G347" s="29">
        <v>938.4</v>
      </c>
      <c r="H347" s="29">
        <v>332.0</v>
      </c>
      <c r="I347" s="27" t="inlineStr">
        <is>
          <t xml:space="preserve">dez/26</t>
        </is>
      </c>
      <c r="J347" s="29">
        <v>185814.09</v>
      </c>
      <c r="K347" s="30">
        <v>5173.0</v>
      </c>
      <c r="L347" s="27" t="inlineStr">
        <is>
          <t xml:space="preserve">out/26</t>
        </is>
      </c>
      <c r="M347" s="29">
        <v>379.9</v>
      </c>
      <c r="N347" s="27" t="inlineStr">
        <is>
          <t xml:space="preserve">out/26</t>
        </is>
      </c>
      <c r="S347" s="30">
        <v>13.18</v>
      </c>
      <c r="T347" s="27" t="inlineStr">
        <is>
          <t xml:space="preserve">nov/26</t>
        </is>
      </c>
      <c r="U347" s="30">
        <v>5.29</v>
      </c>
      <c r="V347" s="27" t="inlineStr">
        <is>
          <t xml:space="preserve">dez/26</t>
        </is>
      </c>
      <c r="W347" s="29">
        <v>370.3</v>
      </c>
      <c r="X347" s="27" t="inlineStr">
        <is>
          <t xml:space="preserve">out/26</t>
        </is>
      </c>
      <c r="Y347" s="30">
        <v>0.6725</v>
      </c>
      <c r="Z347" s="27" t="inlineStr">
        <is>
          <t xml:space="preserve">out/26</t>
        </is>
      </c>
      <c r="AA347" s="29">
        <v>421.86</v>
      </c>
      <c r="AB347" s="29">
        <v>120.08</v>
      </c>
      <c r="AC347" s="29">
        <v>357.72</v>
      </c>
      <c r="AD347" s="29">
        <v>355.14</v>
      </c>
      <c r="AE347" s="29">
        <v>347.77</v>
      </c>
      <c r="AG347" s="29">
        <v>342.15</v>
      </c>
      <c r="AH347" s="29">
        <v>344.55</v>
      </c>
      <c r="AI347" s="29">
        <v>334.62</v>
      </c>
      <c r="AJ347" s="29">
        <v>339.27</v>
      </c>
      <c r="AK347" s="29">
        <v>331.67</v>
      </c>
      <c r="AL347" s="29">
        <v>5.52</v>
      </c>
      <c r="AM347" s="29">
        <v>4.72</v>
      </c>
      <c r="AN347" s="29">
        <v>4.84</v>
      </c>
      <c r="AO347" s="29">
        <v>4.85</v>
      </c>
      <c r="AP347" s="29">
        <v>8.35</v>
      </c>
      <c r="AQ347" s="29">
        <v>123.67</v>
      </c>
      <c r="AR347" s="29">
        <v>137.16</v>
      </c>
      <c r="BH347" s="29">
        <v>1418.34</v>
      </c>
      <c r="BI347" s="29">
        <v>81.65</v>
      </c>
      <c r="BK347" s="29">
        <v>352.59</v>
      </c>
      <c r="BL347" s="29">
        <v>311.09</v>
      </c>
      <c r="BM347" s="29">
        <v>321.24</v>
      </c>
      <c r="BN347" s="29">
        <v>289.51</v>
      </c>
      <c r="BO347" s="29">
        <v>274.48</v>
      </c>
      <c r="BP347" s="29">
        <v>276.42</v>
      </c>
      <c r="BQ347" s="29">
        <v>255.22</v>
      </c>
      <c r="BR347" s="29">
        <v>270.0</v>
      </c>
      <c r="BX347" s="29">
        <v>52.0</v>
      </c>
      <c r="BY347" s="29">
        <v>50.0</v>
      </c>
      <c r="BZ347" s="29">
        <v>51.0</v>
      </c>
      <c r="CA347" s="29">
        <v>46.4</v>
      </c>
      <c r="CD347" s="29">
        <v>29.21</v>
      </c>
      <c r="CE347" s="29">
        <v>30.32</v>
      </c>
      <c r="CF347" s="29">
        <v>256.0</v>
      </c>
      <c r="CG347" s="29">
        <v>986.0</v>
      </c>
      <c r="CH347" s="29">
        <v>12.0</v>
      </c>
      <c r="CI347" s="29">
        <v>5528.0</v>
      </c>
      <c r="CJ347" s="27" t="inlineStr">
        <is>
          <t xml:space="preserve">dez/26</t>
        </is>
      </c>
    </row>
    <row r="348">
      <c r="A348" s="28">
        <v>46289</v>
      </c>
      <c r="B348" s="29">
        <v>1539.43</v>
      </c>
      <c r="C348" s="29">
        <v>3421.35</v>
      </c>
      <c r="D348" s="29">
        <v>8.32</v>
      </c>
      <c r="E348" s="29">
        <v>5.36</v>
      </c>
      <c r="F348" s="29">
        <v>1516.81</v>
      </c>
      <c r="G348" s="29">
        <v>941.57</v>
      </c>
      <c r="H348" s="29">
        <v>333.8</v>
      </c>
      <c r="I348" s="27" t="inlineStr">
        <is>
          <t xml:space="preserve">dez/26</t>
        </is>
      </c>
      <c r="J348" s="29">
        <v>183965.91</v>
      </c>
      <c r="K348" s="30">
        <v>5198.5</v>
      </c>
      <c r="L348" s="27" t="inlineStr">
        <is>
          <t xml:space="preserve">out/26</t>
        </is>
      </c>
      <c r="M348" s="29">
        <v>378.1</v>
      </c>
      <c r="N348" s="27" t="inlineStr">
        <is>
          <t xml:space="preserve">out/26</t>
        </is>
      </c>
      <c r="O348" s="29">
        <v>75.84</v>
      </c>
      <c r="P348" s="27" t="inlineStr">
        <is>
          <t xml:space="preserve">nov/26</t>
        </is>
      </c>
      <c r="S348" s="30">
        <v>13.175</v>
      </c>
      <c r="T348" s="27" t="inlineStr">
        <is>
          <t xml:space="preserve">nov/26</t>
        </is>
      </c>
      <c r="U348" s="30">
        <v>5.275</v>
      </c>
      <c r="V348" s="27" t="inlineStr">
        <is>
          <t xml:space="preserve">dez/26</t>
        </is>
      </c>
      <c r="W348" s="29">
        <v>376.1</v>
      </c>
      <c r="X348" s="27" t="inlineStr">
        <is>
          <t xml:space="preserve">out/26</t>
        </is>
      </c>
      <c r="Y348" s="30">
        <v>0.6693</v>
      </c>
      <c r="Z348" s="27" t="inlineStr">
        <is>
          <t xml:space="preserve">out/26</t>
        </is>
      </c>
      <c r="AA348" s="29">
        <v>421.63</v>
      </c>
      <c r="AB348" s="29">
        <v>121.13</v>
      </c>
      <c r="AC348" s="29">
        <v>358.47</v>
      </c>
      <c r="AD348" s="29">
        <v>355.44</v>
      </c>
      <c r="AE348" s="29">
        <v>348.36</v>
      </c>
      <c r="AG348" s="29">
        <v>342.75</v>
      </c>
      <c r="AH348" s="29">
        <v>345.91</v>
      </c>
      <c r="AI348" s="29">
        <v>336.07</v>
      </c>
      <c r="AJ348" s="29">
        <v>340.83</v>
      </c>
      <c r="AK348" s="29">
        <v>335.14</v>
      </c>
      <c r="AL348" s="29">
        <v>5.56</v>
      </c>
      <c r="AM348" s="29">
        <v>4.83</v>
      </c>
      <c r="AN348" s="29">
        <v>4.88</v>
      </c>
      <c r="AO348" s="29">
        <v>4.89</v>
      </c>
      <c r="AP348" s="29">
        <v>8.3</v>
      </c>
      <c r="AQ348" s="29">
        <v>123.84</v>
      </c>
      <c r="AR348" s="29">
        <v>137.16</v>
      </c>
      <c r="BH348" s="29">
        <v>1432.54</v>
      </c>
      <c r="BI348" s="29">
        <v>81.79</v>
      </c>
      <c r="BK348" s="29">
        <v>350.67</v>
      </c>
      <c r="BL348" s="29">
        <v>309.35</v>
      </c>
      <c r="BM348" s="29">
        <v>321.56</v>
      </c>
      <c r="BN348" s="29">
        <v>291.44</v>
      </c>
      <c r="BO348" s="29">
        <v>279.01</v>
      </c>
      <c r="BP348" s="29">
        <v>287.85</v>
      </c>
      <c r="BQ348" s="29">
        <v>262.61</v>
      </c>
      <c r="BR348" s="29">
        <v>267.73</v>
      </c>
      <c r="BX348" s="29">
        <v>51.0</v>
      </c>
      <c r="BY348" s="29">
        <v>50.0</v>
      </c>
      <c r="BZ348" s="29">
        <v>51.0</v>
      </c>
      <c r="CA348" s="29">
        <v>46.4</v>
      </c>
      <c r="CD348" s="29">
        <v>29.21</v>
      </c>
      <c r="CE348" s="29">
        <v>30.98</v>
      </c>
      <c r="CF348" s="29">
        <v>280.0</v>
      </c>
      <c r="CG348" s="29">
        <v>1137.0</v>
      </c>
      <c r="CH348" s="29">
        <v>16.0</v>
      </c>
      <c r="CI348" s="29">
        <v>5590.0</v>
      </c>
      <c r="CJ348" s="27" t="inlineStr">
        <is>
          <t xml:space="preserve">dez/26</t>
        </is>
      </c>
    </row>
    <row r="349">
      <c r="A349" s="28">
        <v>46290</v>
      </c>
      <c r="B349" s="29">
        <v>1538.4</v>
      </c>
      <c r="C349" s="29">
        <v>3426.02</v>
      </c>
      <c r="D349" s="29">
        <v>8.31</v>
      </c>
      <c r="E349" s="29">
        <v>5.53</v>
      </c>
      <c r="F349" s="29">
        <v>1538.29</v>
      </c>
      <c r="G349" s="29">
        <v>952.72</v>
      </c>
      <c r="H349" s="29">
        <v>336.95</v>
      </c>
      <c r="I349" s="27" t="inlineStr">
        <is>
          <t xml:space="preserve">dez/26</t>
        </is>
      </c>
      <c r="J349" s="29">
        <v>183476.86</v>
      </c>
      <c r="K349" s="30">
        <v>5193.5</v>
      </c>
      <c r="L349" s="27" t="inlineStr">
        <is>
          <t xml:space="preserve">out/26</t>
        </is>
      </c>
      <c r="M349" s="29">
        <v>378.15</v>
      </c>
      <c r="N349" s="27" t="inlineStr">
        <is>
          <t xml:space="preserve">out/26</t>
        </is>
      </c>
      <c r="O349" s="29">
        <v>75.52</v>
      </c>
      <c r="P349" s="27" t="inlineStr">
        <is>
          <t xml:space="preserve">nov/26</t>
        </is>
      </c>
      <c r="S349" s="30">
        <v>13.19</v>
      </c>
      <c r="T349" s="27" t="inlineStr">
        <is>
          <t xml:space="preserve">nov/26</t>
        </is>
      </c>
      <c r="U349" s="30">
        <v>5.2825</v>
      </c>
      <c r="V349" s="27" t="inlineStr">
        <is>
          <t xml:space="preserve">dez/26</t>
        </is>
      </c>
      <c r="W349" s="29">
        <v>373.9</v>
      </c>
      <c r="X349" s="27" t="inlineStr">
        <is>
          <t xml:space="preserve">out/26</t>
        </is>
      </c>
      <c r="Y349" s="30">
        <v>0.6726</v>
      </c>
      <c r="Z349" s="27" t="inlineStr">
        <is>
          <t xml:space="preserve">out/26</t>
        </is>
      </c>
      <c r="AA349" s="29">
        <v>419.34</v>
      </c>
      <c r="AB349" s="29">
        <v>120.62</v>
      </c>
      <c r="AC349" s="29">
        <v>359.0</v>
      </c>
      <c r="AD349" s="29">
        <v>355.99</v>
      </c>
      <c r="AE349" s="29">
        <v>349.66</v>
      </c>
      <c r="AG349" s="29">
        <v>344.68</v>
      </c>
      <c r="AH349" s="29">
        <v>347.48</v>
      </c>
      <c r="AI349" s="29">
        <v>337.01</v>
      </c>
      <c r="AJ349" s="29">
        <v>342.62</v>
      </c>
      <c r="AK349" s="29">
        <v>335.09</v>
      </c>
      <c r="AL349" s="29">
        <v>5.56</v>
      </c>
      <c r="AM349" s="29">
        <v>5.01</v>
      </c>
      <c r="AN349" s="29">
        <v>5.01</v>
      </c>
      <c r="AO349" s="29">
        <v>4.99</v>
      </c>
      <c r="AP349" s="29">
        <v>8.28</v>
      </c>
      <c r="AQ349" s="29">
        <v>123.84</v>
      </c>
      <c r="AR349" s="29">
        <v>137.16</v>
      </c>
      <c r="BC349" s="29">
        <v>9.48</v>
      </c>
      <c r="BD349" s="29">
        <v>9.24</v>
      </c>
      <c r="BE349" s="29">
        <v>10.1</v>
      </c>
      <c r="BF349" s="29">
        <v>8.72</v>
      </c>
      <c r="BG349" s="29">
        <v>9.38</v>
      </c>
      <c r="BH349" s="29">
        <v>1437.03</v>
      </c>
      <c r="BI349" s="29">
        <v>82.48</v>
      </c>
      <c r="BK349" s="29">
        <v>350.67</v>
      </c>
      <c r="BL349" s="29">
        <v>309.69</v>
      </c>
      <c r="BM349" s="29">
        <v>321.05</v>
      </c>
      <c r="BN349" s="29">
        <v>291.18</v>
      </c>
      <c r="BO349" s="29">
        <v>271.33</v>
      </c>
      <c r="BP349" s="29">
        <v>286.33</v>
      </c>
      <c r="BQ349" s="29">
        <v>262.94</v>
      </c>
      <c r="BR349" s="29">
        <v>263.89</v>
      </c>
      <c r="BS349" s="30">
        <v>2.582</v>
      </c>
      <c r="BT349" s="30">
        <v>3.0516</v>
      </c>
      <c r="BU349" s="29">
        <v>612.8</v>
      </c>
      <c r="BV349" s="29">
        <v>496.02</v>
      </c>
      <c r="BW349" s="29">
        <v>568.56</v>
      </c>
      <c r="BX349" s="29">
        <v>51.0</v>
      </c>
      <c r="BY349" s="29">
        <v>50.0</v>
      </c>
      <c r="BZ349" s="29">
        <v>51.0</v>
      </c>
      <c r="CA349" s="29">
        <v>46.4</v>
      </c>
      <c r="CD349" s="29">
        <v>29.33</v>
      </c>
      <c r="CE349" s="29">
        <v>30.87</v>
      </c>
      <c r="CF349" s="29">
        <v>289.0</v>
      </c>
      <c r="CG349" s="29">
        <v>1171.0</v>
      </c>
      <c r="CH349" s="29">
        <v>17.0</v>
      </c>
      <c r="CI349" s="29">
        <v>5619.0</v>
      </c>
      <c r="CJ349" s="27" t="inlineStr">
        <is>
          <t xml:space="preserve">dez/26</t>
        </is>
      </c>
    </row>
    <row r="350">
      <c r="A350" s="28">
        <v>46293</v>
      </c>
      <c r="B350" s="29">
        <v>1529.62</v>
      </c>
      <c r="C350" s="29">
        <v>3437.62</v>
      </c>
      <c r="D350" s="29">
        <v>8.31</v>
      </c>
      <c r="E350" s="29">
        <v>5.68</v>
      </c>
      <c r="F350" s="29">
        <v>1556.57</v>
      </c>
      <c r="G350" s="29">
        <v>963.39</v>
      </c>
      <c r="H350" s="29">
        <v>352.4</v>
      </c>
      <c r="I350" s="27" t="inlineStr">
        <is>
          <t xml:space="preserve">dez/26</t>
        </is>
      </c>
      <c r="J350" s="29">
        <v>182991.13</v>
      </c>
      <c r="K350" s="30">
        <v>5227.0</v>
      </c>
      <c r="L350" s="27" t="inlineStr">
        <is>
          <t xml:space="preserve">out/26</t>
        </is>
      </c>
      <c r="M350" s="29">
        <v>378.35</v>
      </c>
      <c r="N350" s="27" t="inlineStr">
        <is>
          <t xml:space="preserve">out/26</t>
        </is>
      </c>
      <c r="O350" s="29">
        <v>74.42</v>
      </c>
      <c r="P350" s="27" t="inlineStr">
        <is>
          <t xml:space="preserve">nov/26</t>
        </is>
      </c>
      <c r="S350" s="30">
        <v>12.8825</v>
      </c>
      <c r="T350" s="27" t="inlineStr">
        <is>
          <t xml:space="preserve">nov/26</t>
        </is>
      </c>
      <c r="U350" s="30">
        <v>5.23</v>
      </c>
      <c r="V350" s="27" t="inlineStr">
        <is>
          <t xml:space="preserve">dez/26</t>
        </is>
      </c>
      <c r="W350" s="29">
        <v>361.7</v>
      </c>
      <c r="X350" s="27" t="inlineStr">
        <is>
          <t xml:space="preserve">out/26</t>
        </is>
      </c>
      <c r="Y350" s="30">
        <v>0.6711</v>
      </c>
      <c r="Z350" s="27" t="inlineStr">
        <is>
          <t xml:space="preserve">out/26</t>
        </is>
      </c>
      <c r="AA350" s="29">
        <v>421.07</v>
      </c>
      <c r="AB350" s="29">
        <v>120.24</v>
      </c>
      <c r="AC350" s="29">
        <v>360.25</v>
      </c>
      <c r="AD350" s="29">
        <v>358.09</v>
      </c>
      <c r="AE350" s="29">
        <v>352.65</v>
      </c>
      <c r="AG350" s="29">
        <v>346.02</v>
      </c>
      <c r="AH350" s="29">
        <v>348.88</v>
      </c>
      <c r="AI350" s="29">
        <v>339.61</v>
      </c>
      <c r="AJ350" s="29">
        <v>343.22</v>
      </c>
      <c r="AK350" s="29">
        <v>342.7</v>
      </c>
      <c r="AL350" s="29">
        <v>5.82</v>
      </c>
      <c r="AM350" s="29">
        <v>5.21</v>
      </c>
      <c r="AN350" s="29">
        <v>5.18</v>
      </c>
      <c r="AO350" s="29">
        <v>5.09</v>
      </c>
      <c r="AP350" s="29">
        <v>8.28</v>
      </c>
      <c r="AQ350" s="29">
        <v>123.84</v>
      </c>
      <c r="AR350" s="29">
        <v>137.51</v>
      </c>
      <c r="BH350" s="29">
        <v>1447.18</v>
      </c>
      <c r="BI350" s="29">
        <v>82.36</v>
      </c>
      <c r="BJ350" s="29">
        <v>356.67</v>
      </c>
      <c r="BK350" s="29">
        <v>342.1</v>
      </c>
      <c r="BL350" s="29">
        <v>309.28</v>
      </c>
      <c r="BM350" s="29">
        <v>319.6</v>
      </c>
      <c r="BN350" s="29">
        <v>291.05</v>
      </c>
      <c r="BO350" s="29">
        <v>274.96</v>
      </c>
      <c r="BP350" s="29">
        <v>286.52</v>
      </c>
      <c r="BQ350" s="29">
        <v>265.08</v>
      </c>
      <c r="BR350" s="29">
        <v>265.63</v>
      </c>
      <c r="BX350" s="29">
        <v>51.0</v>
      </c>
      <c r="BY350" s="29">
        <v>50.0</v>
      </c>
      <c r="BZ350" s="29">
        <v>51.0</v>
      </c>
      <c r="CA350" s="29">
        <v>45.6</v>
      </c>
      <c r="CD350" s="29">
        <v>28.77</v>
      </c>
      <c r="CE350" s="29">
        <v>30.53</v>
      </c>
      <c r="CF350" s="29">
        <v>285.0</v>
      </c>
      <c r="CG350" s="29">
        <v>1197.0</v>
      </c>
      <c r="CH350" s="29">
        <v>17.0</v>
      </c>
      <c r="CI350" s="29">
        <v>5589.0</v>
      </c>
      <c r="CJ350" s="27" t="inlineStr">
        <is>
          <t xml:space="preserve">dez/26</t>
        </is>
      </c>
    </row>
    <row r="351">
      <c r="A351" s="28">
        <v>46294</v>
      </c>
      <c r="B351" s="29">
        <v>1536.73</v>
      </c>
      <c r="C351" s="29">
        <v>3436.66</v>
      </c>
      <c r="D351" s="29">
        <v>8.31</v>
      </c>
      <c r="E351" s="29">
        <v>5.78</v>
      </c>
      <c r="F351" s="29">
        <v>1564.02</v>
      </c>
      <c r="G351" s="29">
        <v>967.14</v>
      </c>
      <c r="H351" s="29">
        <v>357.0</v>
      </c>
      <c r="I351" s="27" t="inlineStr">
        <is>
          <t xml:space="preserve">dez/26</t>
        </is>
      </c>
      <c r="J351" s="29">
        <v>183827.59</v>
      </c>
      <c r="K351" s="30">
        <v>5203.5</v>
      </c>
      <c r="L351" s="27" t="inlineStr">
        <is>
          <t xml:space="preserve">out/26</t>
        </is>
      </c>
      <c r="M351" s="29">
        <v>381.9</v>
      </c>
      <c r="N351" s="27" t="inlineStr">
        <is>
          <t xml:space="preserve">out/26</t>
        </is>
      </c>
      <c r="O351" s="29">
        <v>74.29</v>
      </c>
      <c r="P351" s="27" t="inlineStr">
        <is>
          <t xml:space="preserve">nov/26</t>
        </is>
      </c>
      <c r="S351" s="30">
        <v>12.9775</v>
      </c>
      <c r="T351" s="27" t="inlineStr">
        <is>
          <t xml:space="preserve">nov/26</t>
        </is>
      </c>
      <c r="U351" s="30">
        <v>5.22</v>
      </c>
      <c r="V351" s="27" t="inlineStr">
        <is>
          <t xml:space="preserve">dez/26</t>
        </is>
      </c>
      <c r="W351" s="29">
        <v>360.1</v>
      </c>
      <c r="X351" s="27" t="inlineStr">
        <is>
          <t xml:space="preserve">out/26</t>
        </is>
      </c>
      <c r="Y351" s="30">
        <v>0.6785</v>
      </c>
      <c r="Z351" s="27" t="inlineStr">
        <is>
          <t xml:space="preserve">out/26</t>
        </is>
      </c>
      <c r="AA351" s="29">
        <v>420.15</v>
      </c>
      <c r="AB351" s="29">
        <v>121.27</v>
      </c>
      <c r="AC351" s="29">
        <v>363.57</v>
      </c>
      <c r="AD351" s="29">
        <v>359.98</v>
      </c>
      <c r="AE351" s="29">
        <v>353.28</v>
      </c>
      <c r="AG351" s="29">
        <v>347.47</v>
      </c>
      <c r="AH351" s="29">
        <v>349.49</v>
      </c>
      <c r="AI351" s="29">
        <v>339.92</v>
      </c>
      <c r="AJ351" s="29">
        <v>343.84</v>
      </c>
      <c r="AK351" s="29">
        <v>339.27</v>
      </c>
      <c r="AL351" s="29">
        <v>6.13</v>
      </c>
      <c r="AM351" s="29">
        <v>5.37</v>
      </c>
      <c r="AN351" s="29">
        <v>5.24</v>
      </c>
      <c r="AO351" s="29">
        <v>5.21</v>
      </c>
      <c r="AP351" s="29">
        <v>8.28</v>
      </c>
      <c r="AQ351" s="29">
        <v>124.34</v>
      </c>
      <c r="AR351" s="29">
        <v>137.51</v>
      </c>
      <c r="BH351" s="29">
        <v>1447.51</v>
      </c>
      <c r="BI351" s="29">
        <v>83.22</v>
      </c>
      <c r="BJ351" s="29">
        <v>353.33</v>
      </c>
      <c r="BK351" s="29">
        <v>349.09</v>
      </c>
      <c r="BL351" s="29">
        <v>309.91</v>
      </c>
      <c r="BM351" s="29">
        <v>318.61</v>
      </c>
      <c r="BN351" s="29">
        <v>292.52</v>
      </c>
      <c r="BO351" s="29">
        <v>280.75</v>
      </c>
      <c r="BP351" s="29">
        <v>285.8</v>
      </c>
      <c r="BQ351" s="29">
        <v>264.92</v>
      </c>
      <c r="BR351" s="29">
        <v>266.67</v>
      </c>
      <c r="BX351" s="29">
        <v>51.0</v>
      </c>
      <c r="BY351" s="29">
        <v>50.0</v>
      </c>
      <c r="BZ351" s="29">
        <v>50.75</v>
      </c>
      <c r="CA351" s="29">
        <v>45.6</v>
      </c>
      <c r="CD351" s="29">
        <v>28.77</v>
      </c>
      <c r="CE351" s="29">
        <v>30.45</v>
      </c>
      <c r="CF351" s="29">
        <v>283.0</v>
      </c>
      <c r="CG351" s="29">
        <v>1189.0</v>
      </c>
      <c r="CH351" s="29">
        <v>17.0</v>
      </c>
      <c r="CI351" s="29">
        <v>5408.0</v>
      </c>
      <c r="CJ351" s="27" t="inlineStr">
        <is>
          <t xml:space="preserve">dez/26</t>
        </is>
      </c>
    </row>
    <row r="352">
      <c r="A352" s="28">
        <v>46295</v>
      </c>
      <c r="B352" s="29">
        <v>1544.33</v>
      </c>
      <c r="C352" s="29">
        <v>3446.14</v>
      </c>
      <c r="D352" s="29">
        <v>8.3</v>
      </c>
      <c r="E352" s="29">
        <v>5.78</v>
      </c>
      <c r="F352" s="29">
        <v>1576.85</v>
      </c>
      <c r="G352" s="29">
        <v>985.47</v>
      </c>
      <c r="H352" s="29">
        <v>350.8</v>
      </c>
      <c r="I352" s="27" t="inlineStr">
        <is>
          <t xml:space="preserve">dez/26</t>
        </is>
      </c>
      <c r="J352" s="29">
        <v>186340.46</v>
      </c>
      <c r="K352" s="30">
        <v>5180.5</v>
      </c>
      <c r="L352" s="27" t="inlineStr">
        <is>
          <t xml:space="preserve">out/26</t>
        </is>
      </c>
      <c r="M352" s="29">
        <v>385.65</v>
      </c>
      <c r="N352" s="27" t="inlineStr">
        <is>
          <t xml:space="preserve">out/26</t>
        </is>
      </c>
      <c r="O352" s="29">
        <v>72.03</v>
      </c>
      <c r="P352" s="27" t="inlineStr">
        <is>
          <t xml:space="preserve">nov/26</t>
        </is>
      </c>
      <c r="S352" s="30">
        <v>12.93</v>
      </c>
      <c r="T352" s="27" t="inlineStr">
        <is>
          <t xml:space="preserve">nov/26</t>
        </is>
      </c>
      <c r="U352" s="30">
        <v>5.0075</v>
      </c>
      <c r="V352" s="27" t="inlineStr">
        <is>
          <t xml:space="preserve">dez/26</t>
        </is>
      </c>
      <c r="W352" s="29">
        <v>357.1</v>
      </c>
      <c r="X352" s="27" t="inlineStr">
        <is>
          <t xml:space="preserve">out/26</t>
        </is>
      </c>
      <c r="Y352" s="30">
        <v>0.6785</v>
      </c>
      <c r="Z352" s="27" t="inlineStr">
        <is>
          <t xml:space="preserve">out/26</t>
        </is>
      </c>
      <c r="AA352" s="29">
        <v>417.38</v>
      </c>
      <c r="AB352" s="29">
        <v>121.12</v>
      </c>
      <c r="AC352" s="29">
        <v>365.4</v>
      </c>
      <c r="AD352" s="29">
        <v>360.35</v>
      </c>
      <c r="AE352" s="29">
        <v>353.41</v>
      </c>
      <c r="AG352" s="29">
        <v>348.16</v>
      </c>
      <c r="AH352" s="29">
        <v>348.35</v>
      </c>
      <c r="AI352" s="29">
        <v>343.5</v>
      </c>
      <c r="AJ352" s="29">
        <v>346.61</v>
      </c>
      <c r="AK352" s="29">
        <v>335.94</v>
      </c>
      <c r="AL352" s="29">
        <v>6.14</v>
      </c>
      <c r="AM352" s="29">
        <v>5.37</v>
      </c>
      <c r="AN352" s="29">
        <v>5.27</v>
      </c>
      <c r="AO352" s="29">
        <v>5.25</v>
      </c>
      <c r="AP352" s="29">
        <v>8.31</v>
      </c>
      <c r="AQ352" s="29">
        <v>124.34</v>
      </c>
      <c r="AR352" s="29">
        <v>137.51</v>
      </c>
      <c r="BH352" s="29">
        <v>1450.6</v>
      </c>
      <c r="BI352" s="29">
        <v>82.81</v>
      </c>
      <c r="BJ352" s="29">
        <v>352.0</v>
      </c>
      <c r="BK352" s="29">
        <v>347.66</v>
      </c>
      <c r="BL352" s="29">
        <v>307.65</v>
      </c>
      <c r="BM352" s="29">
        <v>317.8</v>
      </c>
      <c r="BN352" s="29">
        <v>291.05</v>
      </c>
      <c r="BO352" s="29">
        <v>277.9</v>
      </c>
      <c r="BP352" s="29">
        <v>285.46</v>
      </c>
      <c r="BQ352" s="29">
        <v>264.11</v>
      </c>
      <c r="BX352" s="29">
        <v>50.0</v>
      </c>
      <c r="BY352" s="29">
        <v>50.0</v>
      </c>
      <c r="BZ352" s="29">
        <v>50.75</v>
      </c>
      <c r="CA352" s="29">
        <v>45.6</v>
      </c>
      <c r="CD352" s="29">
        <v>28.77</v>
      </c>
      <c r="CE352" s="29">
        <v>30.82</v>
      </c>
      <c r="CF352" s="29">
        <v>263.0</v>
      </c>
      <c r="CG352" s="29">
        <v>1108.0</v>
      </c>
      <c r="CH352" s="29">
        <v>15.0</v>
      </c>
      <c r="CI352" s="29">
        <v>5367.0</v>
      </c>
      <c r="CJ352" s="27" t="inlineStr">
        <is>
          <t xml:space="preserve">dez/26</t>
        </is>
      </c>
    </row>
    <row r="353">
      <c r="A353" s="28">
        <v>46296</v>
      </c>
      <c r="B353" s="29">
        <v>1538.31</v>
      </c>
      <c r="C353" s="29">
        <v>3453.55</v>
      </c>
      <c r="D353" s="29">
        <v>8.3</v>
      </c>
      <c r="E353" s="29">
        <v>5.84</v>
      </c>
      <c r="F353" s="29">
        <v>1577.42</v>
      </c>
      <c r="G353" s="29">
        <v>972.44</v>
      </c>
      <c r="H353" s="29">
        <v>351.5</v>
      </c>
      <c r="I353" s="27" t="inlineStr">
        <is>
          <t xml:space="preserve">dez/26</t>
        </is>
      </c>
      <c r="J353" s="29">
        <v>187197.46</v>
      </c>
      <c r="K353" s="30">
        <v>5248.0</v>
      </c>
      <c r="L353" s="27" t="inlineStr">
        <is>
          <t xml:space="preserve">nov/26</t>
        </is>
      </c>
      <c r="M353" s="29">
        <v>394.2</v>
      </c>
      <c r="N353" s="27" t="inlineStr">
        <is>
          <t xml:space="preserve">nov/26</t>
        </is>
      </c>
      <c r="O353" s="29">
        <v>72.19</v>
      </c>
      <c r="P353" s="27" t="inlineStr">
        <is>
          <t xml:space="preserve">nov/26</t>
        </is>
      </c>
      <c r="S353" s="30">
        <v>12.84</v>
      </c>
      <c r="T353" s="27" t="inlineStr">
        <is>
          <t xml:space="preserve">nov/26</t>
        </is>
      </c>
      <c r="U353" s="30">
        <v>5.0225</v>
      </c>
      <c r="V353" s="27" t="inlineStr">
        <is>
          <t xml:space="preserve">dez/26</t>
        </is>
      </c>
      <c r="W353" s="29">
        <v>353.3</v>
      </c>
      <c r="X353" s="27" t="inlineStr">
        <is>
          <t xml:space="preserve">dez/26</t>
        </is>
      </c>
      <c r="Y353" s="30">
        <v>0.6738</v>
      </c>
      <c r="Z353" s="27" t="inlineStr">
        <is>
          <t xml:space="preserve">dez/26</t>
        </is>
      </c>
      <c r="AA353" s="29">
        <v>421.0</v>
      </c>
      <c r="AB353" s="29">
        <v>121.23</v>
      </c>
      <c r="AC353" s="29">
        <v>367.2</v>
      </c>
      <c r="AD353" s="29">
        <v>360.98</v>
      </c>
      <c r="AE353" s="29">
        <v>354.19</v>
      </c>
      <c r="AG353" s="29">
        <v>349.78</v>
      </c>
      <c r="AH353" s="29">
        <v>348.68</v>
      </c>
      <c r="AI353" s="29">
        <v>344.48</v>
      </c>
      <c r="AJ353" s="29">
        <v>347.36</v>
      </c>
      <c r="AK353" s="29">
        <v>343.05</v>
      </c>
      <c r="AL353" s="29">
        <v>6.18</v>
      </c>
      <c r="AM353" s="29">
        <v>5.44</v>
      </c>
      <c r="AN353" s="29">
        <v>5.28</v>
      </c>
      <c r="AO353" s="29">
        <v>5.33</v>
      </c>
      <c r="AP353" s="29">
        <v>8.31</v>
      </c>
      <c r="AQ353" s="29">
        <v>124.07</v>
      </c>
      <c r="AR353" s="29">
        <v>137.51</v>
      </c>
      <c r="BH353" s="29">
        <v>1450.6</v>
      </c>
      <c r="BI353" s="29">
        <v>82.79</v>
      </c>
      <c r="BJ353" s="29">
        <v>343.88</v>
      </c>
      <c r="BK353" s="29">
        <v>335.52</v>
      </c>
      <c r="BL353" s="29">
        <v>305.94</v>
      </c>
      <c r="BM353" s="29">
        <v>312.8</v>
      </c>
      <c r="BN353" s="29">
        <v>288.84</v>
      </c>
      <c r="BO353" s="29">
        <v>275.0</v>
      </c>
      <c r="BP353" s="29">
        <v>284.55</v>
      </c>
      <c r="BQ353" s="29">
        <v>263.05</v>
      </c>
      <c r="BR353" s="29">
        <v>258.0</v>
      </c>
      <c r="BX353" s="29">
        <v>49.0</v>
      </c>
      <c r="BY353" s="29">
        <v>50.0</v>
      </c>
      <c r="BZ353" s="29">
        <v>50.75</v>
      </c>
      <c r="CA353" s="29">
        <v>44.8</v>
      </c>
      <c r="CD353" s="29">
        <v>29.0</v>
      </c>
      <c r="CE353" s="29">
        <v>30.12</v>
      </c>
      <c r="CF353" s="29">
        <v>246.0</v>
      </c>
      <c r="CG353" s="29">
        <v>1040.0</v>
      </c>
      <c r="CH353" s="29">
        <v>14.0</v>
      </c>
      <c r="CI353" s="29">
        <v>5381.0</v>
      </c>
      <c r="CJ353" s="27" t="inlineStr">
        <is>
          <t xml:space="preserve">dez/26</t>
        </is>
      </c>
    </row>
    <row r="354">
      <c r="A354" s="28">
        <v>46297</v>
      </c>
      <c r="B354" s="29">
        <v>1553.71</v>
      </c>
      <c r="C354" s="29">
        <v>3456.83</v>
      </c>
      <c r="D354" s="29">
        <v>8.33</v>
      </c>
      <c r="E354" s="29">
        <v>5.88</v>
      </c>
      <c r="F354" s="29">
        <v>1572.01</v>
      </c>
      <c r="G354" s="29">
        <v>992.41</v>
      </c>
      <c r="H354" s="29">
        <v>350.3</v>
      </c>
      <c r="I354" s="27" t="inlineStr">
        <is>
          <t xml:space="preserve">dez/26</t>
        </is>
      </c>
      <c r="J354" s="29">
        <v>192114.55</v>
      </c>
      <c r="K354" s="30">
        <v>5256.0</v>
      </c>
      <c r="L354" s="27" t="inlineStr">
        <is>
          <t xml:space="preserve">nov/26</t>
        </is>
      </c>
      <c r="M354" s="29">
        <v>395.8</v>
      </c>
      <c r="N354" s="27" t="inlineStr">
        <is>
          <t xml:space="preserve">nov/26</t>
        </is>
      </c>
      <c r="O354" s="29">
        <v>71.67</v>
      </c>
      <c r="P354" s="27" t="inlineStr">
        <is>
          <t xml:space="preserve">nov/26</t>
        </is>
      </c>
      <c r="S354" s="30">
        <v>12.7825</v>
      </c>
      <c r="T354" s="27" t="inlineStr">
        <is>
          <t xml:space="preserve">nov/26</t>
        </is>
      </c>
      <c r="U354" s="30">
        <v>4.9775</v>
      </c>
      <c r="V354" s="27" t="inlineStr">
        <is>
          <t xml:space="preserve">dez/26</t>
        </is>
      </c>
      <c r="W354" s="29">
        <v>347.5</v>
      </c>
      <c r="X354" s="27" t="inlineStr">
        <is>
          <t xml:space="preserve">dez/26</t>
        </is>
      </c>
      <c r="Y354" s="30">
        <v>0.6862</v>
      </c>
      <c r="Z354" s="27" t="inlineStr">
        <is>
          <t xml:space="preserve">dez/26</t>
        </is>
      </c>
      <c r="AA354" s="29">
        <v>420.89</v>
      </c>
      <c r="AB354" s="29">
        <v>123.37</v>
      </c>
      <c r="AC354" s="29">
        <v>372.5</v>
      </c>
      <c r="AD354" s="29">
        <v>363.6</v>
      </c>
      <c r="AE354" s="29">
        <v>358.2</v>
      </c>
      <c r="AG354" s="29">
        <v>351.11</v>
      </c>
      <c r="AH354" s="29">
        <v>349.75</v>
      </c>
      <c r="AI354" s="29">
        <v>348.32</v>
      </c>
      <c r="AJ354" s="29">
        <v>347.44</v>
      </c>
      <c r="AK354" s="29">
        <v>346.13</v>
      </c>
      <c r="AL354" s="29">
        <v>6.18</v>
      </c>
      <c r="AM354" s="29">
        <v>5.47</v>
      </c>
      <c r="AN354" s="29">
        <v>5.33</v>
      </c>
      <c r="AO354" s="29">
        <v>5.36</v>
      </c>
      <c r="AP354" s="29">
        <v>8.34</v>
      </c>
      <c r="AQ354" s="29">
        <v>131.76</v>
      </c>
      <c r="AR354" s="29">
        <v>143.95</v>
      </c>
      <c r="BC354" s="29">
        <v>9.45</v>
      </c>
      <c r="BD354" s="29">
        <v>9.22</v>
      </c>
      <c r="BE354" s="29">
        <v>10.08</v>
      </c>
      <c r="BF354" s="29">
        <v>8.73</v>
      </c>
      <c r="BG354" s="29">
        <v>9.31</v>
      </c>
      <c r="BH354" s="29">
        <v>1454.52</v>
      </c>
      <c r="BI354" s="29">
        <v>83.07</v>
      </c>
      <c r="BJ354" s="29">
        <v>343.88</v>
      </c>
      <c r="BK354" s="29">
        <v>340.62</v>
      </c>
      <c r="BL354" s="29">
        <v>306.45</v>
      </c>
      <c r="BM354" s="29">
        <v>312.18</v>
      </c>
      <c r="BN354" s="29">
        <v>288.84</v>
      </c>
      <c r="BO354" s="29">
        <v>278.75</v>
      </c>
      <c r="BQ354" s="29">
        <v>262.66</v>
      </c>
      <c r="BR354" s="29">
        <v>258.0</v>
      </c>
      <c r="BS354" s="30">
        <v>2.5639</v>
      </c>
      <c r="BT354" s="30">
        <v>3.0579</v>
      </c>
      <c r="BU354" s="29">
        <v>612.66</v>
      </c>
      <c r="BV354" s="29">
        <v>496.76</v>
      </c>
      <c r="BW354" s="29">
        <v>570.74</v>
      </c>
      <c r="BX354" s="29">
        <v>49.0</v>
      </c>
      <c r="BY354" s="29">
        <v>50.0</v>
      </c>
      <c r="BZ354" s="29">
        <v>50.75</v>
      </c>
      <c r="CA354" s="29">
        <v>44.0</v>
      </c>
      <c r="CD354" s="29">
        <v>29.69</v>
      </c>
      <c r="CE354" s="29">
        <v>30.08</v>
      </c>
      <c r="CF354" s="29">
        <v>281.0</v>
      </c>
      <c r="CG354" s="29">
        <v>1078.0</v>
      </c>
      <c r="CH354" s="29">
        <v>17.0</v>
      </c>
      <c r="CI354" s="29">
        <v>5670.0</v>
      </c>
      <c r="CJ354" s="27" t="inlineStr">
        <is>
          <t xml:space="preserve">dez/26</t>
        </is>
      </c>
    </row>
    <row r="355">
      <c r="A355" s="28">
        <v>46300</v>
      </c>
      <c r="B355" s="29">
        <v>1551.32</v>
      </c>
      <c r="C355" s="29">
        <v>3461.27</v>
      </c>
      <c r="D355" s="29">
        <v>8.32</v>
      </c>
      <c r="E355" s="29">
        <v>6.11</v>
      </c>
      <c r="F355" s="29">
        <v>1568.56</v>
      </c>
      <c r="G355" s="29">
        <v>966.0</v>
      </c>
      <c r="H355" s="29">
        <v>360.3</v>
      </c>
      <c r="I355" s="27" t="inlineStr">
        <is>
          <t xml:space="preserve">dez/26</t>
        </is>
      </c>
      <c r="J355" s="29">
        <v>206911.89</v>
      </c>
      <c r="K355" s="30">
        <v>5025.0</v>
      </c>
      <c r="L355" s="27" t="inlineStr">
        <is>
          <t xml:space="preserve">nov/26</t>
        </is>
      </c>
      <c r="M355" s="29">
        <v>394.75</v>
      </c>
      <c r="N355" s="27" t="inlineStr">
        <is>
          <t xml:space="preserve">nov/26</t>
        </is>
      </c>
      <c r="O355" s="29">
        <v>70.55</v>
      </c>
      <c r="P355" s="27" t="inlineStr">
        <is>
          <t xml:space="preserve">nov/26</t>
        </is>
      </c>
      <c r="Q355" s="29">
        <v>28.22</v>
      </c>
      <c r="R355" s="27" t="inlineStr">
        <is>
          <t xml:space="preserve">nov/26</t>
        </is>
      </c>
      <c r="S355" s="30">
        <v>12.8075</v>
      </c>
      <c r="T355" s="27" t="inlineStr">
        <is>
          <t xml:space="preserve">nov/26</t>
        </is>
      </c>
      <c r="U355" s="30">
        <v>4.9725</v>
      </c>
      <c r="V355" s="27" t="inlineStr">
        <is>
          <t xml:space="preserve">dez/26</t>
        </is>
      </c>
      <c r="W355" s="29">
        <v>347.1</v>
      </c>
      <c r="X355" s="27" t="inlineStr">
        <is>
          <t xml:space="preserve">dez/26</t>
        </is>
      </c>
      <c r="Y355" s="30">
        <v>0.6935</v>
      </c>
      <c r="Z355" s="27" t="inlineStr">
        <is>
          <t xml:space="preserve">dez/26</t>
        </is>
      </c>
      <c r="AA355" s="29">
        <v>419.33</v>
      </c>
      <c r="AB355" s="29">
        <v>122.78</v>
      </c>
      <c r="AC355" s="29">
        <v>372.97</v>
      </c>
      <c r="AD355" s="29">
        <v>364.61</v>
      </c>
      <c r="AE355" s="29">
        <v>360.26</v>
      </c>
      <c r="AG355" s="29">
        <v>351.33</v>
      </c>
      <c r="AH355" s="29">
        <v>351.1</v>
      </c>
      <c r="AI355" s="29">
        <v>349.08</v>
      </c>
      <c r="AJ355" s="29">
        <v>348.08</v>
      </c>
      <c r="AK355" s="29">
        <v>350.92</v>
      </c>
      <c r="AL355" s="29">
        <v>6.29</v>
      </c>
      <c r="AM355" s="29">
        <v>5.53</v>
      </c>
      <c r="AN355" s="29">
        <v>5.52</v>
      </c>
      <c r="AO355" s="29">
        <v>5.49</v>
      </c>
      <c r="AP355" s="29">
        <v>8.33</v>
      </c>
      <c r="AQ355" s="29">
        <v>131.76</v>
      </c>
      <c r="AR355" s="29">
        <v>143.95</v>
      </c>
      <c r="BH355" s="29">
        <v>1451.52</v>
      </c>
      <c r="BI355" s="29">
        <v>83.1</v>
      </c>
      <c r="BJ355" s="29">
        <v>342.35</v>
      </c>
      <c r="BK355" s="29">
        <v>335.84</v>
      </c>
      <c r="BL355" s="29">
        <v>304.31</v>
      </c>
      <c r="BM355" s="29">
        <v>308.57</v>
      </c>
      <c r="BN355" s="29">
        <v>284.49</v>
      </c>
      <c r="BO355" s="29">
        <v>279.97</v>
      </c>
      <c r="BQ355" s="29">
        <v>261.44</v>
      </c>
      <c r="BR355" s="29">
        <v>261.67</v>
      </c>
      <c r="BX355" s="29">
        <v>47.0</v>
      </c>
      <c r="BY355" s="29">
        <v>50.0</v>
      </c>
      <c r="BZ355" s="29">
        <v>50.75</v>
      </c>
      <c r="CA355" s="29">
        <v>43.2</v>
      </c>
      <c r="CD355" s="29">
        <v>29.58</v>
      </c>
      <c r="CE355" s="29">
        <v>30.77</v>
      </c>
      <c r="CF355" s="29">
        <v>288.0</v>
      </c>
      <c r="CG355" s="29">
        <v>1101.0</v>
      </c>
      <c r="CH355" s="29">
        <v>17.0</v>
      </c>
      <c r="CI355" s="29">
        <v>5867.0</v>
      </c>
      <c r="CJ355" s="27" t="inlineStr">
        <is>
          <t xml:space="preserve">dez/26</t>
        </is>
      </c>
    </row>
    <row r="356">
      <c r="A356" s="28">
        <v>46301</v>
      </c>
      <c r="B356" s="29">
        <v>1526.89</v>
      </c>
      <c r="C356" s="29">
        <v>3467.5</v>
      </c>
      <c r="D356" s="29">
        <v>8.32</v>
      </c>
      <c r="E356" s="29">
        <v>6.31</v>
      </c>
      <c r="F356" s="29">
        <v>1568.95</v>
      </c>
      <c r="G356" s="29">
        <v>976.94</v>
      </c>
      <c r="H356" s="29">
        <v>372.9</v>
      </c>
      <c r="I356" s="27" t="inlineStr">
        <is>
          <t xml:space="preserve">dez/26</t>
        </is>
      </c>
      <c r="J356" s="29">
        <v>205835.29</v>
      </c>
      <c r="K356" s="30">
        <v>5006.5</v>
      </c>
      <c r="L356" s="27" t="inlineStr">
        <is>
          <t xml:space="preserve">nov/26</t>
        </is>
      </c>
      <c r="M356" s="29">
        <v>395.5</v>
      </c>
      <c r="N356" s="27" t="inlineStr">
        <is>
          <t xml:space="preserve">nov/26</t>
        </is>
      </c>
      <c r="O356" s="29">
        <v>69.8</v>
      </c>
      <c r="P356" s="27" t="inlineStr">
        <is>
          <t xml:space="preserve">nov/26</t>
        </is>
      </c>
      <c r="Q356" s="29">
        <v>28.75</v>
      </c>
      <c r="R356" s="27" t="inlineStr">
        <is>
          <t xml:space="preserve">nov/26</t>
        </is>
      </c>
      <c r="S356" s="30">
        <v>13.03</v>
      </c>
      <c r="T356" s="27" t="inlineStr">
        <is>
          <t xml:space="preserve">nov/26</t>
        </is>
      </c>
      <c r="U356" s="30">
        <v>5.08</v>
      </c>
      <c r="V356" s="27" t="inlineStr">
        <is>
          <t xml:space="preserve">dez/26</t>
        </is>
      </c>
      <c r="W356" s="29">
        <v>354.8</v>
      </c>
      <c r="X356" s="27" t="inlineStr">
        <is>
          <t xml:space="preserve">dez/26</t>
        </is>
      </c>
      <c r="Y356" s="30">
        <v>0.6991</v>
      </c>
      <c r="Z356" s="27" t="inlineStr">
        <is>
          <t xml:space="preserve">dez/26</t>
        </is>
      </c>
      <c r="AA356" s="29">
        <v>417.76</v>
      </c>
      <c r="AB356" s="29">
        <v>122.58</v>
      </c>
      <c r="AL356" s="29">
        <v>6.34</v>
      </c>
      <c r="AM356" s="29">
        <v>5.63</v>
      </c>
      <c r="AN356" s="29">
        <v>5.59</v>
      </c>
      <c r="AO356" s="29">
        <v>5.56</v>
      </c>
      <c r="AP356" s="29">
        <v>8.33</v>
      </c>
      <c r="AQ356" s="29">
        <v>131.76</v>
      </c>
      <c r="AR356" s="29">
        <v>144.7</v>
      </c>
      <c r="BH356" s="29">
        <v>1459.09</v>
      </c>
      <c r="BI356" s="29">
        <v>82.85</v>
      </c>
      <c r="BJ356" s="29">
        <v>342.35</v>
      </c>
      <c r="BK356" s="29">
        <v>336.17</v>
      </c>
      <c r="BL356" s="29">
        <v>304.06</v>
      </c>
      <c r="BM356" s="29">
        <v>307.99</v>
      </c>
      <c r="BN356" s="29">
        <v>286.18</v>
      </c>
      <c r="BO356" s="29">
        <v>277.92</v>
      </c>
      <c r="BQ356" s="29">
        <v>259.82</v>
      </c>
      <c r="BR356" s="29">
        <v>261.67</v>
      </c>
      <c r="BX356" s="29">
        <v>47.0</v>
      </c>
      <c r="BY356" s="29">
        <v>50.0</v>
      </c>
      <c r="BZ356" s="29">
        <v>50.75</v>
      </c>
      <c r="CA356" s="29">
        <v>42.4</v>
      </c>
      <c r="CD356" s="29">
        <v>29.58</v>
      </c>
      <c r="CE356" s="29">
        <v>31.39</v>
      </c>
      <c r="CF356" s="29">
        <v>295.0</v>
      </c>
      <c r="CG356" s="29">
        <v>1131.0</v>
      </c>
      <c r="CH356" s="29">
        <v>17.0</v>
      </c>
      <c r="CI356" s="29">
        <v>5700.0</v>
      </c>
      <c r="CJ356" s="27" t="inlineStr">
        <is>
          <t xml:space="preserve">dez/26</t>
        </is>
      </c>
    </row>
    <row r="357">
      <c r="A357" s="28">
        <v>46302</v>
      </c>
      <c r="B357" s="29">
        <v>1538.46</v>
      </c>
      <c r="C357" s="29">
        <v>3470.58</v>
      </c>
      <c r="D357" s="29">
        <v>8.38</v>
      </c>
      <c r="E357" s="29">
        <v>6.31</v>
      </c>
      <c r="F357" s="29">
        <v>1566.59</v>
      </c>
      <c r="G357" s="29">
        <v>970.02</v>
      </c>
      <c r="H357" s="29">
        <v>362.75</v>
      </c>
      <c r="I357" s="27" t="inlineStr">
        <is>
          <t xml:space="preserve">dez/26</t>
        </is>
      </c>
      <c r="J357" s="29">
        <v>204302.33</v>
      </c>
      <c r="K357" s="30">
        <v>5028.0</v>
      </c>
      <c r="L357" s="27" t="inlineStr">
        <is>
          <t xml:space="preserve">nov/26</t>
        </is>
      </c>
      <c r="M357" s="29">
        <v>396.3</v>
      </c>
      <c r="N357" s="27" t="inlineStr">
        <is>
          <t xml:space="preserve">nov/26</t>
        </is>
      </c>
      <c r="O357" s="29">
        <v>69.91</v>
      </c>
      <c r="P357" s="27" t="inlineStr">
        <is>
          <t xml:space="preserve">nov/26</t>
        </is>
      </c>
      <c r="Q357" s="29">
        <v>28.52</v>
      </c>
      <c r="R357" s="27" t="inlineStr">
        <is>
          <t xml:space="preserve">nov/26</t>
        </is>
      </c>
      <c r="S357" s="30">
        <v>12.975</v>
      </c>
      <c r="T357" s="27" t="inlineStr">
        <is>
          <t xml:space="preserve">nov/26</t>
        </is>
      </c>
      <c r="U357" s="30">
        <v>5.02</v>
      </c>
      <c r="V357" s="27" t="inlineStr">
        <is>
          <t xml:space="preserve">dez/26</t>
        </is>
      </c>
      <c r="W357" s="29">
        <v>365.8</v>
      </c>
      <c r="X357" s="27" t="inlineStr">
        <is>
          <t xml:space="preserve">dez/26</t>
        </is>
      </c>
      <c r="Y357" s="30">
        <v>0.6768</v>
      </c>
      <c r="Z357" s="27" t="inlineStr">
        <is>
          <t xml:space="preserve">dez/26</t>
        </is>
      </c>
      <c r="AA357" s="29">
        <v>415.1</v>
      </c>
      <c r="AB357" s="29">
        <v>122.58</v>
      </c>
      <c r="AC357" s="29">
        <v>376.13</v>
      </c>
      <c r="AD357" s="29">
        <v>368.02</v>
      </c>
      <c r="AE357" s="29">
        <v>365.04</v>
      </c>
      <c r="AF357" s="29">
        <v>356.97</v>
      </c>
      <c r="AG357" s="29">
        <v>355.33</v>
      </c>
      <c r="AH357" s="29">
        <v>355.28</v>
      </c>
      <c r="AI357" s="29">
        <v>350.52</v>
      </c>
      <c r="AJ357" s="29">
        <v>351.93</v>
      </c>
      <c r="AK357" s="29">
        <v>348.03</v>
      </c>
      <c r="AL357" s="29">
        <v>6.46</v>
      </c>
      <c r="AM357" s="29">
        <v>5.66</v>
      </c>
      <c r="AN357" s="29">
        <v>5.62</v>
      </c>
      <c r="AO357" s="29">
        <v>5.58</v>
      </c>
      <c r="AP357" s="29">
        <v>8.4</v>
      </c>
      <c r="AQ357" s="29">
        <v>131.98</v>
      </c>
      <c r="AR357" s="29">
        <v>145.8</v>
      </c>
      <c r="BH357" s="29">
        <v>1454.59</v>
      </c>
      <c r="BI357" s="29">
        <v>82.48</v>
      </c>
      <c r="BJ357" s="29">
        <v>342.88</v>
      </c>
      <c r="BK357" s="29">
        <v>334.71</v>
      </c>
      <c r="BL357" s="29">
        <v>302.44</v>
      </c>
      <c r="BM357" s="29">
        <v>307.99</v>
      </c>
      <c r="BN357" s="29">
        <v>286.23</v>
      </c>
      <c r="BO357" s="29">
        <v>278.51</v>
      </c>
      <c r="BQ357" s="29">
        <v>260.33</v>
      </c>
      <c r="BR357" s="29">
        <v>261.67</v>
      </c>
      <c r="BX357" s="29">
        <v>46.0</v>
      </c>
      <c r="BY357" s="29">
        <v>50.0</v>
      </c>
      <c r="BZ357" s="29">
        <v>50.25</v>
      </c>
      <c r="CA357" s="29">
        <v>42.4</v>
      </c>
      <c r="CD357" s="29">
        <v>29.58</v>
      </c>
      <c r="CE357" s="29">
        <v>30.66</v>
      </c>
      <c r="CF357" s="29">
        <v>290.0</v>
      </c>
      <c r="CG357" s="29">
        <v>1109.0</v>
      </c>
      <c r="CH357" s="29">
        <v>17.0</v>
      </c>
      <c r="CI357" s="29">
        <v>5582.0</v>
      </c>
      <c r="CJ357" s="27" t="inlineStr">
        <is>
          <t xml:space="preserve">dez/26</t>
        </is>
      </c>
    </row>
    <row r="358">
      <c r="A358" s="28">
        <v>46303</v>
      </c>
      <c r="B358" s="29">
        <v>1560.92</v>
      </c>
      <c r="C358" s="29">
        <v>3478.44</v>
      </c>
      <c r="D358" s="29">
        <v>8.38</v>
      </c>
      <c r="E358" s="29">
        <v>6.43</v>
      </c>
      <c r="F358" s="29">
        <v>1544.99</v>
      </c>
      <c r="G358" s="29">
        <v>955.89</v>
      </c>
      <c r="H358" s="29">
        <v>354.1</v>
      </c>
      <c r="I358" s="27" t="inlineStr">
        <is>
          <t xml:space="preserve">dez/26</t>
        </is>
      </c>
      <c r="J358" s="29">
        <v>206220.24</v>
      </c>
      <c r="K358" s="30">
        <v>5040.0</v>
      </c>
      <c r="L358" s="27" t="inlineStr">
        <is>
          <t xml:space="preserve">nov/26</t>
        </is>
      </c>
      <c r="M358" s="29">
        <v>394.65</v>
      </c>
      <c r="N358" s="27" t="inlineStr">
        <is>
          <t xml:space="preserve">nov/26</t>
        </is>
      </c>
      <c r="O358" s="29">
        <v>69.54</v>
      </c>
      <c r="P358" s="27" t="inlineStr">
        <is>
          <t xml:space="preserve">nov/26</t>
        </is>
      </c>
      <c r="Q358" s="29">
        <v>28.37</v>
      </c>
      <c r="R358" s="27" t="inlineStr">
        <is>
          <t xml:space="preserve">nov/26</t>
        </is>
      </c>
      <c r="S358" s="30">
        <v>12.875</v>
      </c>
      <c r="T358" s="27" t="inlineStr">
        <is>
          <t xml:space="preserve">nov/26</t>
        </is>
      </c>
      <c r="U358" s="30">
        <v>5.0025</v>
      </c>
      <c r="V358" s="27" t="inlineStr">
        <is>
          <t xml:space="preserve">dez/26</t>
        </is>
      </c>
      <c r="W358" s="29">
        <v>357.6</v>
      </c>
      <c r="X358" s="27" t="inlineStr">
        <is>
          <t xml:space="preserve">dez/26</t>
        </is>
      </c>
      <c r="Y358" s="30">
        <v>0.6792</v>
      </c>
      <c r="Z358" s="27" t="inlineStr">
        <is>
          <t xml:space="preserve">dez/26</t>
        </is>
      </c>
      <c r="AA358" s="29">
        <v>413.51</v>
      </c>
      <c r="AB358" s="29">
        <v>122.6</v>
      </c>
      <c r="AL358" s="29">
        <v>6.49</v>
      </c>
      <c r="AM358" s="29">
        <v>5.67</v>
      </c>
      <c r="AN358" s="29">
        <v>5.62</v>
      </c>
      <c r="AO358" s="29">
        <v>5.6</v>
      </c>
      <c r="AP358" s="29">
        <v>8.4</v>
      </c>
      <c r="AQ358" s="29">
        <v>132.26</v>
      </c>
      <c r="AR358" s="29">
        <v>145.83</v>
      </c>
      <c r="BH358" s="29">
        <v>1455.6</v>
      </c>
      <c r="BI358" s="29">
        <v>82.58</v>
      </c>
      <c r="BJ358" s="29">
        <v>348.59</v>
      </c>
      <c r="BK358" s="29">
        <v>339.85</v>
      </c>
      <c r="BL358" s="29">
        <v>308.55</v>
      </c>
      <c r="BM358" s="29">
        <v>308.41</v>
      </c>
      <c r="BN358" s="29">
        <v>292.84</v>
      </c>
      <c r="BO358" s="29">
        <v>272.49</v>
      </c>
      <c r="BQ358" s="29">
        <v>265.35</v>
      </c>
      <c r="BR358" s="29">
        <v>258.33</v>
      </c>
      <c r="BX358" s="29">
        <v>46.0</v>
      </c>
      <c r="BY358" s="29">
        <v>50.0</v>
      </c>
      <c r="BZ358" s="29">
        <v>50.25</v>
      </c>
      <c r="CA358" s="29">
        <v>42.4</v>
      </c>
      <c r="CD358" s="29">
        <v>29.58</v>
      </c>
      <c r="CE358" s="29">
        <v>30.89</v>
      </c>
      <c r="CF358" s="29">
        <v>269.0</v>
      </c>
      <c r="CG358" s="29">
        <v>1028.0</v>
      </c>
      <c r="CH358" s="29">
        <v>16.0</v>
      </c>
      <c r="CI358" s="29">
        <v>5665.0</v>
      </c>
      <c r="CJ358" s="27" t="inlineStr">
        <is>
          <t xml:space="preserve">dez/26</t>
        </is>
      </c>
    </row>
    <row r="359">
      <c r="A359" s="28">
        <v>46304</v>
      </c>
      <c r="B359" s="29">
        <v>1562.68</v>
      </c>
      <c r="C359" s="29">
        <v>3481.33</v>
      </c>
      <c r="D359" s="29">
        <v>8.38</v>
      </c>
      <c r="E359" s="29">
        <v>6.55</v>
      </c>
      <c r="F359" s="29">
        <v>1531.88</v>
      </c>
      <c r="G359" s="29">
        <v>961.31</v>
      </c>
      <c r="H359" s="29">
        <v>350.5</v>
      </c>
      <c r="I359" s="27" t="inlineStr">
        <is>
          <t xml:space="preserve">dez/26</t>
        </is>
      </c>
      <c r="J359" s="29">
        <v>209066.9</v>
      </c>
      <c r="K359" s="30">
        <v>5004.5</v>
      </c>
      <c r="L359" s="27" t="inlineStr">
        <is>
          <t xml:space="preserve">nov/26</t>
        </is>
      </c>
      <c r="M359" s="29">
        <v>396.6</v>
      </c>
      <c r="N359" s="27" t="inlineStr">
        <is>
          <t xml:space="preserve">nov/26</t>
        </is>
      </c>
      <c r="O359" s="29">
        <v>68.7</v>
      </c>
      <c r="P359" s="27" t="inlineStr">
        <is>
          <t xml:space="preserve">nov/26</t>
        </is>
      </c>
      <c r="Q359" s="29">
        <v>28.48</v>
      </c>
      <c r="R359" s="27" t="inlineStr">
        <is>
          <t xml:space="preserve">nov/26</t>
        </is>
      </c>
      <c r="S359" s="30">
        <v>12.92</v>
      </c>
      <c r="T359" s="27" t="inlineStr">
        <is>
          <t xml:space="preserve">nov/26</t>
        </is>
      </c>
      <c r="U359" s="30">
        <v>4.7975</v>
      </c>
      <c r="V359" s="27" t="inlineStr">
        <is>
          <t xml:space="preserve">dez/26</t>
        </is>
      </c>
      <c r="W359" s="29">
        <v>365.6</v>
      </c>
      <c r="X359" s="27" t="inlineStr">
        <is>
          <t xml:space="preserve">dez/26</t>
        </is>
      </c>
      <c r="Y359" s="30">
        <v>0.6802</v>
      </c>
      <c r="Z359" s="27" t="inlineStr">
        <is>
          <t xml:space="preserve">dez/26</t>
        </is>
      </c>
      <c r="AA359" s="29">
        <v>409.7</v>
      </c>
      <c r="AB359" s="29">
        <v>123.16</v>
      </c>
      <c r="AC359" s="29">
        <v>378.5</v>
      </c>
      <c r="AD359" s="29">
        <v>369.78</v>
      </c>
      <c r="AE359" s="29">
        <v>367.08</v>
      </c>
      <c r="AF359" s="29">
        <v>359.81</v>
      </c>
      <c r="AG359" s="29">
        <v>356.82</v>
      </c>
      <c r="AH359" s="29">
        <v>357.99</v>
      </c>
      <c r="AI359" s="29">
        <v>352.42</v>
      </c>
      <c r="AJ359" s="29">
        <v>353.03</v>
      </c>
      <c r="AK359" s="29">
        <v>349.17</v>
      </c>
      <c r="AL359" s="29">
        <v>6.67</v>
      </c>
      <c r="AM359" s="29">
        <v>5.78</v>
      </c>
      <c r="AN359" s="29">
        <v>5.73</v>
      </c>
      <c r="AO359" s="29">
        <v>5.72</v>
      </c>
      <c r="AP359" s="29">
        <v>8.39</v>
      </c>
      <c r="AQ359" s="29">
        <v>132.26</v>
      </c>
      <c r="AR359" s="29">
        <v>145.83</v>
      </c>
      <c r="BC359" s="29">
        <v>9.45</v>
      </c>
      <c r="BD359" s="29">
        <v>9.22</v>
      </c>
      <c r="BE359" s="29">
        <v>10.08</v>
      </c>
      <c r="BF359" s="29">
        <v>8.72</v>
      </c>
      <c r="BG359" s="29">
        <v>9.32</v>
      </c>
      <c r="BH359" s="29">
        <v>1468.08</v>
      </c>
      <c r="BI359" s="29">
        <v>82.07</v>
      </c>
      <c r="BJ359" s="29">
        <v>342.75</v>
      </c>
      <c r="BK359" s="29">
        <v>342.62</v>
      </c>
      <c r="BL359" s="29">
        <v>309.65</v>
      </c>
      <c r="BM359" s="29">
        <v>313.97</v>
      </c>
      <c r="BN359" s="29">
        <v>292.84</v>
      </c>
      <c r="BO359" s="29">
        <v>272.83</v>
      </c>
      <c r="BP359" s="29">
        <v>285.56</v>
      </c>
      <c r="BQ359" s="29">
        <v>264.18</v>
      </c>
      <c r="BR359" s="29">
        <v>260.63</v>
      </c>
      <c r="BS359" s="30">
        <v>2.6374</v>
      </c>
      <c r="BT359" s="30">
        <v>3.0532</v>
      </c>
      <c r="BU359" s="29">
        <v>612.6</v>
      </c>
      <c r="BV359" s="29">
        <v>497.79</v>
      </c>
      <c r="BW359" s="29">
        <v>576.03</v>
      </c>
      <c r="BX359" s="29">
        <v>45.0</v>
      </c>
      <c r="BY359" s="29">
        <v>50.0</v>
      </c>
      <c r="BZ359" s="29">
        <v>50.25</v>
      </c>
      <c r="CA359" s="29">
        <v>42.4</v>
      </c>
      <c r="CD359" s="29">
        <v>29.62</v>
      </c>
      <c r="CE359" s="29">
        <v>30.89</v>
      </c>
      <c r="CF359" s="29">
        <v>276.0</v>
      </c>
      <c r="CG359" s="29">
        <v>1054.0</v>
      </c>
      <c r="CH359" s="29">
        <v>16.0</v>
      </c>
      <c r="CI359" s="29">
        <v>5665.0</v>
      </c>
      <c r="CJ359" s="27" t="inlineStr">
        <is>
          <t xml:space="preserve">dez/26</t>
        </is>
      </c>
    </row>
    <row r="360">
      <c r="A360" s="28">
        <v>46307</v>
      </c>
      <c r="S360" s="30">
        <v>12.8775</v>
      </c>
      <c r="T360" s="27" t="inlineStr">
        <is>
          <t xml:space="preserve">nov/26</t>
        </is>
      </c>
      <c r="U360" s="30">
        <v>4.83</v>
      </c>
      <c r="V360" s="27" t="inlineStr">
        <is>
          <t xml:space="preserve">dez/26</t>
        </is>
      </c>
      <c r="W360" s="29">
        <v>368.7</v>
      </c>
      <c r="X360" s="27" t="inlineStr">
        <is>
          <t xml:space="preserve">dez/26</t>
        </is>
      </c>
      <c r="Y360" s="30">
        <v>0.6863</v>
      </c>
      <c r="Z360" s="27" t="inlineStr">
        <is>
          <t xml:space="preserve">dez/26</t>
        </is>
      </c>
    </row>
    <row r="361">
      <c r="A361" s="28">
        <v>46308</v>
      </c>
      <c r="B361" s="29">
        <v>1561.58</v>
      </c>
      <c r="C361" s="29">
        <v>3484.95</v>
      </c>
      <c r="D361" s="29">
        <v>8.39</v>
      </c>
      <c r="E361" s="29">
        <v>6.63</v>
      </c>
      <c r="F361" s="29">
        <v>1547.28</v>
      </c>
      <c r="G361" s="29">
        <v>971.18</v>
      </c>
      <c r="H361" s="29">
        <v>360.05</v>
      </c>
      <c r="I361" s="27" t="inlineStr">
        <is>
          <t xml:space="preserve">dez/26</t>
        </is>
      </c>
      <c r="J361" s="29">
        <v>206887.52</v>
      </c>
      <c r="K361" s="30">
        <v>5044.5</v>
      </c>
      <c r="L361" s="27" t="inlineStr">
        <is>
          <t xml:space="preserve">nov/26</t>
        </is>
      </c>
      <c r="M361" s="29">
        <v>397.75</v>
      </c>
      <c r="N361" s="27" t="inlineStr">
        <is>
          <t xml:space="preserve">nov/26</t>
        </is>
      </c>
      <c r="O361" s="29">
        <v>68.98</v>
      </c>
      <c r="P361" s="27" t="inlineStr">
        <is>
          <t xml:space="preserve">nov/26</t>
        </is>
      </c>
      <c r="Q361" s="29">
        <v>28.32</v>
      </c>
      <c r="R361" s="27" t="inlineStr">
        <is>
          <t xml:space="preserve">nov/26</t>
        </is>
      </c>
      <c r="S361" s="30">
        <v>12.8375</v>
      </c>
      <c r="T361" s="27" t="inlineStr">
        <is>
          <t xml:space="preserve">nov/26</t>
        </is>
      </c>
      <c r="U361" s="30">
        <v>4.8275</v>
      </c>
      <c r="V361" s="27" t="inlineStr">
        <is>
          <t xml:space="preserve">dez/26</t>
        </is>
      </c>
      <c r="W361" s="29">
        <v>363.2</v>
      </c>
      <c r="X361" s="27" t="inlineStr">
        <is>
          <t xml:space="preserve">dez/26</t>
        </is>
      </c>
      <c r="Y361" s="30">
        <v>0.6802</v>
      </c>
      <c r="Z361" s="27" t="inlineStr">
        <is>
          <t xml:space="preserve">dez/26</t>
        </is>
      </c>
      <c r="AA361" s="29">
        <v>408.7</v>
      </c>
      <c r="AB361" s="29">
        <v>123.78</v>
      </c>
      <c r="AL361" s="29">
        <v>6.95</v>
      </c>
      <c r="AM361" s="29">
        <v>5.89</v>
      </c>
      <c r="AN361" s="29">
        <v>5.75</v>
      </c>
      <c r="AO361" s="29">
        <v>5.82</v>
      </c>
      <c r="AP361" s="29">
        <v>8.41</v>
      </c>
      <c r="AQ361" s="29">
        <v>132.32</v>
      </c>
      <c r="AR361" s="29">
        <v>145.0</v>
      </c>
      <c r="BH361" s="29">
        <v>1472.69</v>
      </c>
      <c r="BI361" s="29">
        <v>82.21</v>
      </c>
      <c r="BJ361" s="29">
        <v>342.75</v>
      </c>
      <c r="BK361" s="29">
        <v>344.48</v>
      </c>
      <c r="BL361" s="29">
        <v>307.75</v>
      </c>
      <c r="BM361" s="29">
        <v>313.86</v>
      </c>
      <c r="BN361" s="29">
        <v>291.13</v>
      </c>
      <c r="BO361" s="29">
        <v>273.14</v>
      </c>
      <c r="BP361" s="29">
        <v>285.46</v>
      </c>
      <c r="BQ361" s="29">
        <v>263.26</v>
      </c>
      <c r="BR361" s="29">
        <v>263.13</v>
      </c>
      <c r="BX361" s="29">
        <v>45.0</v>
      </c>
      <c r="BY361" s="29">
        <v>50.0</v>
      </c>
      <c r="BZ361" s="29">
        <v>50.25</v>
      </c>
      <c r="CA361" s="29">
        <v>42.4</v>
      </c>
      <c r="CB361" s="29">
        <v>42.0</v>
      </c>
      <c r="CD361" s="29">
        <v>29.36</v>
      </c>
      <c r="CE361" s="29">
        <v>30.75</v>
      </c>
      <c r="CF361" s="29">
        <v>291.0</v>
      </c>
      <c r="CG361" s="29">
        <v>1114.0</v>
      </c>
      <c r="CH361" s="29">
        <v>17.0</v>
      </c>
      <c r="CI361" s="29">
        <v>5733.0</v>
      </c>
      <c r="CJ361" s="27" t="inlineStr">
        <is>
          <t xml:space="preserve">dez/26</t>
        </is>
      </c>
    </row>
    <row r="362">
      <c r="A362" s="28">
        <v>46309</v>
      </c>
      <c r="B362" s="29">
        <v>1570.32</v>
      </c>
      <c r="C362" s="29">
        <v>3485.9</v>
      </c>
      <c r="D362" s="29">
        <v>8.39</v>
      </c>
      <c r="E362" s="29">
        <v>6.63</v>
      </c>
      <c r="F362" s="29">
        <v>1571.19</v>
      </c>
      <c r="G362" s="29">
        <v>972.64</v>
      </c>
      <c r="H362" s="29">
        <v>368.0</v>
      </c>
      <c r="I362" s="27" t="inlineStr">
        <is>
          <t xml:space="preserve">dez/26</t>
        </is>
      </c>
      <c r="J362" s="29">
        <v>206505.98</v>
      </c>
      <c r="K362" s="30">
        <v>5064.0</v>
      </c>
      <c r="L362" s="27" t="inlineStr">
        <is>
          <t xml:space="preserve">nov/26</t>
        </is>
      </c>
      <c r="M362" s="29">
        <v>394.3</v>
      </c>
      <c r="N362" s="27" t="inlineStr">
        <is>
          <t xml:space="preserve">nov/26</t>
        </is>
      </c>
      <c r="O362" s="29">
        <v>67.4</v>
      </c>
      <c r="P362" s="27" t="inlineStr">
        <is>
          <t xml:space="preserve">nov/26</t>
        </is>
      </c>
      <c r="Q362" s="29">
        <v>28.14</v>
      </c>
      <c r="R362" s="27" t="inlineStr">
        <is>
          <t xml:space="preserve">nov/26</t>
        </is>
      </c>
      <c r="S362" s="30">
        <v>12.7725</v>
      </c>
      <c r="T362" s="27" t="inlineStr">
        <is>
          <t xml:space="preserve">nov/26</t>
        </is>
      </c>
      <c r="U362" s="30">
        <v>4.8075</v>
      </c>
      <c r="V362" s="27" t="inlineStr">
        <is>
          <t xml:space="preserve">dez/26</t>
        </is>
      </c>
      <c r="W362" s="29">
        <v>364.5</v>
      </c>
      <c r="X362" s="27" t="inlineStr">
        <is>
          <t xml:space="preserve">dez/26</t>
        </is>
      </c>
      <c r="Y362" s="30">
        <v>0.6706</v>
      </c>
      <c r="Z362" s="27" t="inlineStr">
        <is>
          <t xml:space="preserve">dez/26</t>
        </is>
      </c>
      <c r="AA362" s="29">
        <v>406.35</v>
      </c>
      <c r="AB362" s="29">
        <v>123.94</v>
      </c>
      <c r="AC362" s="29">
        <v>379.2</v>
      </c>
      <c r="AD362" s="29">
        <v>373.96</v>
      </c>
      <c r="AE362" s="29">
        <v>368.48</v>
      </c>
      <c r="AF362" s="29">
        <v>362.82</v>
      </c>
      <c r="AG362" s="29">
        <v>361.22</v>
      </c>
      <c r="AH362" s="29">
        <v>360.97</v>
      </c>
      <c r="AI362" s="29">
        <v>355.39</v>
      </c>
      <c r="AJ362" s="29">
        <v>355.91</v>
      </c>
      <c r="AK362" s="29">
        <v>355.14</v>
      </c>
      <c r="AL362" s="29">
        <v>6.95</v>
      </c>
      <c r="AM362" s="29">
        <v>5.9</v>
      </c>
      <c r="AN362" s="29">
        <v>5.77</v>
      </c>
      <c r="AO362" s="29">
        <v>5.82</v>
      </c>
      <c r="AP362" s="29">
        <v>8.41</v>
      </c>
      <c r="AQ362" s="29">
        <v>132.32</v>
      </c>
      <c r="AR362" s="29">
        <v>145.0</v>
      </c>
      <c r="BH362" s="29">
        <v>1465.74</v>
      </c>
      <c r="BI362" s="29">
        <v>81.85</v>
      </c>
      <c r="BJ362" s="29">
        <v>342.29</v>
      </c>
      <c r="BK362" s="29">
        <v>340.54</v>
      </c>
      <c r="BL362" s="29">
        <v>309.88</v>
      </c>
      <c r="BM362" s="29">
        <v>313.06</v>
      </c>
      <c r="BN362" s="29">
        <v>292.37</v>
      </c>
      <c r="BO362" s="29">
        <v>277.01</v>
      </c>
      <c r="BP362" s="29">
        <v>287.53</v>
      </c>
      <c r="BQ362" s="29">
        <v>264.48</v>
      </c>
      <c r="BR362" s="29">
        <v>259.38</v>
      </c>
      <c r="BX362" s="29">
        <v>45.0</v>
      </c>
      <c r="BY362" s="29">
        <v>50.0</v>
      </c>
      <c r="BZ362" s="29">
        <v>50.5</v>
      </c>
      <c r="CA362" s="29">
        <v>42.4</v>
      </c>
      <c r="CD362" s="29">
        <v>29.36</v>
      </c>
      <c r="CE362" s="29">
        <v>30.82</v>
      </c>
      <c r="CF362" s="29">
        <v>287.0</v>
      </c>
      <c r="CG362" s="29">
        <v>1097.0</v>
      </c>
      <c r="CH362" s="29">
        <v>17.0</v>
      </c>
      <c r="CI362" s="29">
        <v>5735.0</v>
      </c>
      <c r="CJ362" s="27" t="inlineStr">
        <is>
          <t xml:space="preserve">dez/26</t>
        </is>
      </c>
    </row>
    <row r="363">
      <c r="A363" s="28">
        <v>46310</v>
      </c>
      <c r="B363" s="29">
        <v>1574.15</v>
      </c>
      <c r="C363" s="29">
        <v>3487.66</v>
      </c>
      <c r="D363" s="29">
        <v>8.49</v>
      </c>
      <c r="E363" s="29">
        <v>6.63</v>
      </c>
      <c r="F363" s="29">
        <v>1577.21</v>
      </c>
      <c r="G363" s="29">
        <v>968.1</v>
      </c>
      <c r="H363" s="29">
        <v>368.0</v>
      </c>
      <c r="I363" s="27" t="inlineStr">
        <is>
          <t xml:space="preserve">dez/26</t>
        </is>
      </c>
      <c r="J363" s="29">
        <v>204324.26</v>
      </c>
      <c r="K363" s="30">
        <v>5115.0</v>
      </c>
      <c r="L363" s="27" t="inlineStr">
        <is>
          <t xml:space="preserve">nov/26</t>
        </is>
      </c>
      <c r="M363" s="29">
        <v>396.0</v>
      </c>
      <c r="N363" s="27" t="inlineStr">
        <is>
          <t xml:space="preserve">nov/26</t>
        </is>
      </c>
      <c r="O363" s="29">
        <v>67.11</v>
      </c>
      <c r="P363" s="27" t="inlineStr">
        <is>
          <t xml:space="preserve">nov/26</t>
        </is>
      </c>
      <c r="Q363" s="29">
        <v>27.85</v>
      </c>
      <c r="R363" s="27" t="inlineStr">
        <is>
          <t xml:space="preserve">nov/26</t>
        </is>
      </c>
      <c r="S363" s="30">
        <v>12.63</v>
      </c>
      <c r="T363" s="27" t="inlineStr">
        <is>
          <t xml:space="preserve">nov/26</t>
        </is>
      </c>
      <c r="U363" s="30">
        <v>4.78</v>
      </c>
      <c r="V363" s="27" t="inlineStr">
        <is>
          <t xml:space="preserve">dez/26</t>
        </is>
      </c>
      <c r="W363" s="29">
        <v>359.8</v>
      </c>
      <c r="X363" s="27" t="inlineStr">
        <is>
          <t xml:space="preserve">dez/26</t>
        </is>
      </c>
      <c r="Y363" s="30">
        <v>0.6715</v>
      </c>
      <c r="Z363" s="27" t="inlineStr">
        <is>
          <t xml:space="preserve">dez/26</t>
        </is>
      </c>
      <c r="AA363" s="29">
        <v>406.49</v>
      </c>
      <c r="AB363" s="29">
        <v>124.68</v>
      </c>
      <c r="AC363" s="29">
        <v>380.0</v>
      </c>
      <c r="AD363" s="29">
        <v>374.57</v>
      </c>
      <c r="AE363" s="29">
        <v>369.02</v>
      </c>
      <c r="AF363" s="29">
        <v>365.13</v>
      </c>
      <c r="AG363" s="29">
        <v>361.56</v>
      </c>
      <c r="AH363" s="29">
        <v>361.87</v>
      </c>
      <c r="AI363" s="29">
        <v>355.47</v>
      </c>
      <c r="AJ363" s="29">
        <v>356.14</v>
      </c>
      <c r="AK363" s="29">
        <v>354.95</v>
      </c>
      <c r="AL363" s="29">
        <v>6.95</v>
      </c>
      <c r="AM363" s="29">
        <v>5.9</v>
      </c>
      <c r="AN363" s="29">
        <v>5.77</v>
      </c>
      <c r="AO363" s="29">
        <v>5.82</v>
      </c>
      <c r="AP363" s="29">
        <v>8.51</v>
      </c>
      <c r="AQ363" s="29">
        <v>132.16</v>
      </c>
      <c r="AR363" s="29">
        <v>143.71</v>
      </c>
      <c r="BH363" s="29">
        <v>1459.99</v>
      </c>
      <c r="BI363" s="29">
        <v>81.91</v>
      </c>
      <c r="BJ363" s="29">
        <v>350.1</v>
      </c>
      <c r="BK363" s="29">
        <v>340.37</v>
      </c>
      <c r="BL363" s="29">
        <v>308.67</v>
      </c>
      <c r="BM363" s="29">
        <v>313.41</v>
      </c>
      <c r="BN363" s="29">
        <v>290.18</v>
      </c>
      <c r="BO363" s="29">
        <v>276.36</v>
      </c>
      <c r="BP363" s="29">
        <v>287.53</v>
      </c>
      <c r="BQ363" s="29">
        <v>264.14</v>
      </c>
      <c r="BR363" s="29">
        <v>260.71</v>
      </c>
      <c r="BX363" s="29">
        <v>44.0</v>
      </c>
      <c r="BY363" s="29">
        <v>50.0</v>
      </c>
      <c r="BZ363" s="29">
        <v>50.5</v>
      </c>
      <c r="CA363" s="29">
        <v>42.4</v>
      </c>
      <c r="CB363" s="29">
        <v>42.0</v>
      </c>
      <c r="CD363" s="29">
        <v>29.46</v>
      </c>
      <c r="CE363" s="29">
        <v>30.97</v>
      </c>
      <c r="CF363" s="29">
        <v>287.0</v>
      </c>
      <c r="CG363" s="29">
        <v>1148.0</v>
      </c>
      <c r="CH363" s="29">
        <v>17.0</v>
      </c>
      <c r="CI363" s="29">
        <v>5831.0</v>
      </c>
      <c r="CJ363" s="27" t="inlineStr">
        <is>
          <t xml:space="preserve">dez/26</t>
        </is>
      </c>
    </row>
    <row r="364">
      <c r="A364" s="28">
        <v>46311</v>
      </c>
      <c r="B364" s="29">
        <v>1571.18</v>
      </c>
      <c r="C364" s="29">
        <v>3489.71</v>
      </c>
      <c r="D364" s="29">
        <v>8.49</v>
      </c>
      <c r="E364" s="29">
        <v>6.77</v>
      </c>
      <c r="F364" s="29">
        <v>1601.25</v>
      </c>
      <c r="G364" s="29">
        <v>963.28</v>
      </c>
      <c r="H364" s="29">
        <v>375.95</v>
      </c>
      <c r="I364" s="27" t="inlineStr">
        <is>
          <t xml:space="preserve">dez/26</t>
        </is>
      </c>
      <c r="J364" s="29">
        <v>205430.33</v>
      </c>
      <c r="K364" s="30">
        <v>5080.0</v>
      </c>
      <c r="L364" s="27" t="inlineStr">
        <is>
          <t xml:space="preserve">nov/26</t>
        </is>
      </c>
      <c r="M364" s="29">
        <v>397.95</v>
      </c>
      <c r="N364" s="27" t="inlineStr">
        <is>
          <t xml:space="preserve">nov/26</t>
        </is>
      </c>
      <c r="O364" s="29">
        <v>66.57</v>
      </c>
      <c r="P364" s="27" t="inlineStr">
        <is>
          <t xml:space="preserve">nov/26</t>
        </is>
      </c>
      <c r="Q364" s="29">
        <v>27.82</v>
      </c>
      <c r="R364" s="27" t="inlineStr">
        <is>
          <t xml:space="preserve">nov/26</t>
        </is>
      </c>
      <c r="S364" s="30">
        <v>12.6125</v>
      </c>
      <c r="T364" s="27" t="inlineStr">
        <is>
          <t xml:space="preserve">nov/26</t>
        </is>
      </c>
      <c r="U364" s="30">
        <v>4.7425</v>
      </c>
      <c r="V364" s="27" t="inlineStr">
        <is>
          <t xml:space="preserve">dez/26</t>
        </is>
      </c>
      <c r="W364" s="29">
        <v>357.1</v>
      </c>
      <c r="X364" s="27" t="inlineStr">
        <is>
          <t xml:space="preserve">dez/26</t>
        </is>
      </c>
      <c r="Y364" s="30">
        <v>0.6713</v>
      </c>
      <c r="Z364" s="27" t="inlineStr">
        <is>
          <t xml:space="preserve">dez/26</t>
        </is>
      </c>
      <c r="AA364" s="29">
        <v>407.41</v>
      </c>
      <c r="AB364" s="29">
        <v>125.74</v>
      </c>
      <c r="AL364" s="29">
        <v>6.95</v>
      </c>
      <c r="AM364" s="29">
        <v>5.91</v>
      </c>
      <c r="AN364" s="29">
        <v>5.81</v>
      </c>
      <c r="AO364" s="29">
        <v>5.83</v>
      </c>
      <c r="AP364" s="29">
        <v>8.51</v>
      </c>
      <c r="AQ364" s="29">
        <v>127.38</v>
      </c>
      <c r="AR364" s="29">
        <v>139.67</v>
      </c>
      <c r="BC364" s="29">
        <v>9.45</v>
      </c>
      <c r="BD364" s="29">
        <v>9.23</v>
      </c>
      <c r="BE364" s="29">
        <v>10.05</v>
      </c>
      <c r="BF364" s="29">
        <v>8.72</v>
      </c>
      <c r="BG364" s="29">
        <v>9.32</v>
      </c>
      <c r="BH364" s="29">
        <v>1482.72</v>
      </c>
      <c r="BI364" s="29">
        <v>82.06</v>
      </c>
      <c r="BJ364" s="29">
        <v>348.43</v>
      </c>
      <c r="BK364" s="29">
        <v>340.08</v>
      </c>
      <c r="BL364" s="29">
        <v>308.63</v>
      </c>
      <c r="BM364" s="29">
        <v>313.37</v>
      </c>
      <c r="BN364" s="29">
        <v>290.18</v>
      </c>
      <c r="BO364" s="29">
        <v>277.13</v>
      </c>
      <c r="BP364" s="29">
        <v>288.97</v>
      </c>
      <c r="BQ364" s="29">
        <v>264.97</v>
      </c>
      <c r="BR364" s="29">
        <v>270.0</v>
      </c>
      <c r="BS364" s="30">
        <v>2.6892</v>
      </c>
      <c r="BT364" s="30">
        <v>3.0824</v>
      </c>
      <c r="BU364" s="29">
        <v>610.49</v>
      </c>
      <c r="BV364" s="29">
        <v>495.21</v>
      </c>
      <c r="BW364" s="29">
        <v>579.62</v>
      </c>
      <c r="BX364" s="29">
        <v>44.0</v>
      </c>
      <c r="BY364" s="29">
        <v>50.0</v>
      </c>
      <c r="BZ364" s="29">
        <v>50.5</v>
      </c>
      <c r="CA364" s="29">
        <v>42.4</v>
      </c>
      <c r="CD364" s="29">
        <v>27.77</v>
      </c>
      <c r="CE364" s="29">
        <v>30.97</v>
      </c>
      <c r="CF364" s="29">
        <v>273.0</v>
      </c>
      <c r="CG364" s="29">
        <v>1092.0</v>
      </c>
      <c r="CH364" s="29">
        <v>16.0</v>
      </c>
      <c r="CI364" s="29">
        <v>5645.0</v>
      </c>
      <c r="CJ364" s="27" t="inlineStr">
        <is>
          <t xml:space="preserve">dez/26</t>
        </is>
      </c>
    </row>
    <row r="365">
      <c r="A365" s="28">
        <v>46314</v>
      </c>
      <c r="B365" s="29">
        <v>1565.19</v>
      </c>
      <c r="C365" s="29">
        <v>3498.89</v>
      </c>
      <c r="D365" s="29">
        <v>8.49</v>
      </c>
      <c r="E365" s="29">
        <v>6.82</v>
      </c>
      <c r="F365" s="29">
        <v>1606.94</v>
      </c>
      <c r="G365" s="29">
        <v>973.27</v>
      </c>
      <c r="H365" s="29">
        <v>384.55</v>
      </c>
      <c r="I365" s="27" t="inlineStr">
        <is>
          <t xml:space="preserve">dez/26</t>
        </is>
      </c>
      <c r="J365" s="29">
        <v>205079.25</v>
      </c>
      <c r="K365" s="30">
        <v>5051.5</v>
      </c>
      <c r="L365" s="27" t="inlineStr">
        <is>
          <t xml:space="preserve">nov/26</t>
        </is>
      </c>
      <c r="M365" s="29">
        <v>396.5</v>
      </c>
      <c r="N365" s="27" t="inlineStr">
        <is>
          <t xml:space="preserve">nov/26</t>
        </is>
      </c>
      <c r="O365" s="29">
        <v>65.91</v>
      </c>
      <c r="P365" s="27" t="inlineStr">
        <is>
          <t xml:space="preserve">nov/26</t>
        </is>
      </c>
      <c r="Q365" s="29">
        <v>27.63</v>
      </c>
      <c r="R365" s="27" t="inlineStr">
        <is>
          <t xml:space="preserve">nov/26</t>
        </is>
      </c>
      <c r="S365" s="30">
        <v>12.535</v>
      </c>
      <c r="T365" s="27" t="inlineStr">
        <is>
          <t xml:space="preserve">nov/26</t>
        </is>
      </c>
      <c r="U365" s="30">
        <v>4.67</v>
      </c>
      <c r="V365" s="27" t="inlineStr">
        <is>
          <t xml:space="preserve">dez/26</t>
        </is>
      </c>
      <c r="W365" s="29">
        <v>354.8</v>
      </c>
      <c r="X365" s="27" t="inlineStr">
        <is>
          <t xml:space="preserve">dez/26</t>
        </is>
      </c>
      <c r="Y365" s="30">
        <v>0.6669</v>
      </c>
      <c r="Z365" s="27" t="inlineStr">
        <is>
          <t xml:space="preserve">dez/26</t>
        </is>
      </c>
      <c r="AA365" s="29">
        <v>407.84</v>
      </c>
      <c r="AB365" s="29">
        <v>125.62</v>
      </c>
      <c r="AC365" s="29">
        <v>381.01</v>
      </c>
      <c r="AD365" s="29">
        <v>375.47</v>
      </c>
      <c r="AE365" s="29">
        <v>370.98</v>
      </c>
      <c r="AF365" s="29">
        <v>366.1</v>
      </c>
      <c r="AG365" s="29">
        <v>364.85</v>
      </c>
      <c r="AH365" s="29">
        <v>364.59</v>
      </c>
      <c r="AI365" s="29">
        <v>359.94</v>
      </c>
      <c r="AJ365" s="29">
        <v>357.18</v>
      </c>
      <c r="AK365" s="29">
        <v>363.25</v>
      </c>
      <c r="AL365" s="29">
        <v>6.96</v>
      </c>
      <c r="AM365" s="29">
        <v>5.93</v>
      </c>
      <c r="AN365" s="29">
        <v>5.92</v>
      </c>
      <c r="AO365" s="29">
        <v>5.88</v>
      </c>
      <c r="AP365" s="29">
        <v>8.51</v>
      </c>
      <c r="AQ365" s="29">
        <v>127.38</v>
      </c>
      <c r="AR365" s="29">
        <v>139.67</v>
      </c>
      <c r="BH365" s="29">
        <v>1475.23</v>
      </c>
      <c r="BI365" s="29">
        <v>82.04</v>
      </c>
      <c r="BJ365" s="29">
        <v>355.87</v>
      </c>
      <c r="BK365" s="29">
        <v>340.97</v>
      </c>
      <c r="BL365" s="29">
        <v>305.58</v>
      </c>
      <c r="BM365" s="29">
        <v>314.99</v>
      </c>
      <c r="BN365" s="29">
        <v>289.05</v>
      </c>
      <c r="BO365" s="29">
        <v>278.14</v>
      </c>
      <c r="BP365" s="29">
        <v>288.97</v>
      </c>
      <c r="BQ365" s="29">
        <v>266.99</v>
      </c>
      <c r="BR365" s="29">
        <v>277.0</v>
      </c>
      <c r="BX365" s="29">
        <v>44.0</v>
      </c>
      <c r="BY365" s="29">
        <v>50.0</v>
      </c>
      <c r="BZ365" s="29">
        <v>50.5</v>
      </c>
      <c r="CA365" s="29">
        <v>42.4</v>
      </c>
      <c r="CD365" s="29">
        <v>27.8</v>
      </c>
      <c r="CE365" s="29">
        <v>30.76</v>
      </c>
      <c r="CF365" s="29">
        <v>273.0</v>
      </c>
      <c r="CG365" s="29">
        <v>1091.0</v>
      </c>
      <c r="CH365" s="29">
        <v>16.0</v>
      </c>
      <c r="CI365" s="29">
        <v>5687.0</v>
      </c>
      <c r="CJ365" s="27" t="inlineStr">
        <is>
          <t xml:space="preserve">dez/26</t>
        </is>
      </c>
    </row>
    <row r="366">
      <c r="A366" s="28">
        <v>46315</v>
      </c>
      <c r="B366" s="29">
        <v>1563.34</v>
      </c>
      <c r="C366" s="29">
        <v>3501.39</v>
      </c>
      <c r="D366" s="29">
        <v>8.49</v>
      </c>
      <c r="E366" s="29">
        <v>6.93</v>
      </c>
      <c r="F366" s="29">
        <v>1610.14</v>
      </c>
      <c r="G366" s="29">
        <v>967.97</v>
      </c>
      <c r="H366" s="29">
        <v>382.6</v>
      </c>
      <c r="I366" s="27" t="inlineStr">
        <is>
          <t xml:space="preserve">dez/26</t>
        </is>
      </c>
      <c r="J366" s="29">
        <v>208295.98</v>
      </c>
      <c r="K366" s="30">
        <v>5040.5</v>
      </c>
      <c r="L366" s="27" t="inlineStr">
        <is>
          <t xml:space="preserve">nov/26</t>
        </is>
      </c>
      <c r="M366" s="29">
        <v>394.5</v>
      </c>
      <c r="N366" s="27" t="inlineStr">
        <is>
          <t xml:space="preserve">nov/26</t>
        </is>
      </c>
      <c r="O366" s="29">
        <v>65.96</v>
      </c>
      <c r="P366" s="27" t="inlineStr">
        <is>
          <t xml:space="preserve">nov/26</t>
        </is>
      </c>
      <c r="Q366" s="29">
        <v>27.49</v>
      </c>
      <c r="R366" s="27" t="inlineStr">
        <is>
          <t xml:space="preserve">nov/26</t>
        </is>
      </c>
      <c r="S366" s="30">
        <v>12.4825</v>
      </c>
      <c r="T366" s="27" t="inlineStr">
        <is>
          <t xml:space="preserve">nov/26</t>
        </is>
      </c>
      <c r="U366" s="30">
        <v>4.62</v>
      </c>
      <c r="V366" s="27" t="inlineStr">
        <is>
          <t xml:space="preserve">dez/26</t>
        </is>
      </c>
      <c r="W366" s="29">
        <v>348.7</v>
      </c>
      <c r="X366" s="27" t="inlineStr">
        <is>
          <t xml:space="preserve">dez/26</t>
        </is>
      </c>
      <c r="Y366" s="30">
        <v>0.6673</v>
      </c>
      <c r="Z366" s="27" t="inlineStr">
        <is>
          <t xml:space="preserve">dez/26</t>
        </is>
      </c>
      <c r="AA366" s="29">
        <v>407.41</v>
      </c>
      <c r="AB366" s="29">
        <v>125.52</v>
      </c>
      <c r="AC366" s="29">
        <v>380.31</v>
      </c>
      <c r="AD366" s="29">
        <v>375.36</v>
      </c>
      <c r="AE366" s="29">
        <v>371.57</v>
      </c>
      <c r="AF366" s="29">
        <v>368.4</v>
      </c>
      <c r="AG366" s="29">
        <v>365.65</v>
      </c>
      <c r="AH366" s="29">
        <v>364.89</v>
      </c>
      <c r="AI366" s="29">
        <v>360.96</v>
      </c>
      <c r="AJ366" s="29">
        <v>358.42</v>
      </c>
      <c r="AK366" s="29">
        <v>359.6</v>
      </c>
      <c r="AL366" s="29">
        <v>6.96</v>
      </c>
      <c r="AM366" s="29">
        <v>6.0</v>
      </c>
      <c r="AN366" s="29">
        <v>5.92</v>
      </c>
      <c r="AO366" s="29">
        <v>5.96</v>
      </c>
      <c r="AP366" s="29">
        <v>8.5</v>
      </c>
      <c r="AQ366" s="29">
        <v>127.53</v>
      </c>
      <c r="AR366" s="29">
        <v>139.67</v>
      </c>
      <c r="BH366" s="29">
        <v>1475.23</v>
      </c>
      <c r="BI366" s="29">
        <v>82.03</v>
      </c>
      <c r="BJ366" s="29">
        <v>353.48</v>
      </c>
      <c r="BK366" s="29">
        <v>341.05</v>
      </c>
      <c r="BL366" s="29">
        <v>305.67</v>
      </c>
      <c r="BM366" s="29">
        <v>318.15</v>
      </c>
      <c r="BN366" s="29">
        <v>290.14</v>
      </c>
      <c r="BO366" s="29">
        <v>275.28</v>
      </c>
      <c r="BP366" s="29">
        <v>288.97</v>
      </c>
      <c r="BQ366" s="29">
        <v>268.31</v>
      </c>
      <c r="BR366" s="29">
        <v>275.0</v>
      </c>
      <c r="BX366" s="29">
        <v>44.0</v>
      </c>
      <c r="BY366" s="29">
        <v>50.0</v>
      </c>
      <c r="BZ366" s="29">
        <v>50.5</v>
      </c>
      <c r="CA366" s="29">
        <v>42.4</v>
      </c>
      <c r="CD366" s="29">
        <v>27.54</v>
      </c>
      <c r="CE366" s="29">
        <v>31.65</v>
      </c>
      <c r="CF366" s="29">
        <v>274.0</v>
      </c>
      <c r="CG366" s="29">
        <v>1097.0</v>
      </c>
      <c r="CH366" s="29">
        <v>16.0</v>
      </c>
      <c r="CI366" s="29">
        <v>5801.0</v>
      </c>
      <c r="CJ366" s="27" t="inlineStr">
        <is>
          <t xml:space="preserve">dez/26</t>
        </is>
      </c>
    </row>
    <row r="367">
      <c r="A367" s="28">
        <v>46316</v>
      </c>
      <c r="B367" s="29">
        <v>1560.04</v>
      </c>
      <c r="C367" s="29">
        <v>3507.45</v>
      </c>
      <c r="D367" s="29">
        <v>8.49</v>
      </c>
      <c r="E367" s="29">
        <v>6.93</v>
      </c>
      <c r="F367" s="29">
        <v>1620.92</v>
      </c>
      <c r="G367" s="29">
        <v>968.87</v>
      </c>
      <c r="H367" s="29">
        <v>389.0</v>
      </c>
      <c r="I367" s="27" t="inlineStr">
        <is>
          <t xml:space="preserve">dez/26</t>
        </is>
      </c>
      <c r="J367" s="29">
        <v>206495.23</v>
      </c>
      <c r="K367" s="30">
        <v>5033.0</v>
      </c>
      <c r="L367" s="27" t="inlineStr">
        <is>
          <t xml:space="preserve">nov/26</t>
        </is>
      </c>
      <c r="M367" s="29">
        <v>393.7</v>
      </c>
      <c r="N367" s="27" t="inlineStr">
        <is>
          <t xml:space="preserve">nov/26</t>
        </is>
      </c>
      <c r="O367" s="29">
        <v>65.74</v>
      </c>
      <c r="P367" s="27" t="inlineStr">
        <is>
          <t xml:space="preserve">nov/26</t>
        </is>
      </c>
      <c r="Q367" s="29">
        <v>27.47</v>
      </c>
      <c r="R367" s="27" t="inlineStr">
        <is>
          <t xml:space="preserve">nov/26</t>
        </is>
      </c>
      <c r="S367" s="30">
        <v>12.4525</v>
      </c>
      <c r="T367" s="27" t="inlineStr">
        <is>
          <t xml:space="preserve">nov/26</t>
        </is>
      </c>
      <c r="U367" s="30">
        <v>4.6325</v>
      </c>
      <c r="V367" s="27" t="inlineStr">
        <is>
          <t xml:space="preserve">dez/26</t>
        </is>
      </c>
      <c r="W367" s="29">
        <v>348.3</v>
      </c>
      <c r="X367" s="27" t="inlineStr">
        <is>
          <t xml:space="preserve">dez/26</t>
        </is>
      </c>
      <c r="Y367" s="30">
        <v>0.6597</v>
      </c>
      <c r="Z367" s="27" t="inlineStr">
        <is>
          <t xml:space="preserve">dez/26</t>
        </is>
      </c>
      <c r="AA367" s="29">
        <v>407.14</v>
      </c>
      <c r="AB367" s="29">
        <v>125.59</v>
      </c>
      <c r="AC367" s="29">
        <v>381.74</v>
      </c>
      <c r="AD367" s="29">
        <v>376.12</v>
      </c>
      <c r="AE367" s="29">
        <v>372.68</v>
      </c>
      <c r="AF367" s="29">
        <v>369.05</v>
      </c>
      <c r="AG367" s="29">
        <v>366.09</v>
      </c>
      <c r="AH367" s="29">
        <v>365.36</v>
      </c>
      <c r="AI367" s="29">
        <v>358.75</v>
      </c>
      <c r="AJ367" s="29">
        <v>360.41</v>
      </c>
      <c r="AK367" s="29">
        <v>360.0</v>
      </c>
      <c r="AL367" s="29">
        <v>6.96</v>
      </c>
      <c r="AM367" s="29">
        <v>6.01</v>
      </c>
      <c r="AN367" s="29">
        <v>5.92</v>
      </c>
      <c r="AO367" s="29">
        <v>5.95</v>
      </c>
      <c r="AP367" s="29">
        <v>8.5</v>
      </c>
      <c r="AQ367" s="29">
        <v>127.28</v>
      </c>
      <c r="AR367" s="29">
        <v>139.67</v>
      </c>
      <c r="BH367" s="29">
        <v>1473.4</v>
      </c>
      <c r="BI367" s="29">
        <v>81.82</v>
      </c>
      <c r="BJ367" s="29">
        <v>353.48</v>
      </c>
      <c r="BK367" s="29">
        <v>345.26</v>
      </c>
      <c r="BL367" s="29">
        <v>311.22</v>
      </c>
      <c r="BM367" s="29">
        <v>318.07</v>
      </c>
      <c r="BN367" s="29">
        <v>289.37</v>
      </c>
      <c r="BO367" s="29">
        <v>276.31</v>
      </c>
      <c r="BP367" s="29">
        <v>289.75</v>
      </c>
      <c r="BQ367" s="29">
        <v>270.2</v>
      </c>
      <c r="BR367" s="29">
        <v>272.14</v>
      </c>
      <c r="BX367" s="29">
        <v>43.0</v>
      </c>
      <c r="BY367" s="29">
        <v>50.0</v>
      </c>
      <c r="BZ367" s="29">
        <v>50.5</v>
      </c>
      <c r="CA367" s="29">
        <v>41.6</v>
      </c>
      <c r="CB367" s="29">
        <v>44.0</v>
      </c>
      <c r="CC367" s="29">
        <v>40.8</v>
      </c>
      <c r="CD367" s="29">
        <v>27.54</v>
      </c>
      <c r="CE367" s="29">
        <v>31.4</v>
      </c>
      <c r="CF367" s="29">
        <v>283.0</v>
      </c>
      <c r="CG367" s="29">
        <v>1131.0</v>
      </c>
      <c r="CH367" s="29">
        <v>17.0</v>
      </c>
      <c r="CI367" s="29">
        <v>5843.0</v>
      </c>
      <c r="CJ367" s="27" t="inlineStr">
        <is>
          <t xml:space="preserve">dez/26</t>
        </is>
      </c>
    </row>
    <row r="368">
      <c r="A368" s="28">
        <v>46317</v>
      </c>
      <c r="B368" s="29">
        <v>1560.67</v>
      </c>
      <c r="C368" s="29">
        <v>3512.3</v>
      </c>
      <c r="D368" s="29">
        <v>8.49</v>
      </c>
      <c r="E368" s="29">
        <v>6.94</v>
      </c>
      <c r="F368" s="29">
        <v>1619.85</v>
      </c>
      <c r="G368" s="29">
        <v>942.15</v>
      </c>
      <c r="H368" s="29">
        <v>387.0</v>
      </c>
      <c r="I368" s="27" t="inlineStr">
        <is>
          <t xml:space="preserve">dez/26</t>
        </is>
      </c>
      <c r="J368" s="29">
        <v>204120.12</v>
      </c>
      <c r="K368" s="30">
        <v>5058.5</v>
      </c>
      <c r="L368" s="27" t="inlineStr">
        <is>
          <t xml:space="preserve">nov/26</t>
        </is>
      </c>
      <c r="M368" s="29">
        <v>392.0</v>
      </c>
      <c r="N368" s="27" t="inlineStr">
        <is>
          <t xml:space="preserve">nov/26</t>
        </is>
      </c>
      <c r="O368" s="29">
        <v>65.48</v>
      </c>
      <c r="P368" s="27" t="inlineStr">
        <is>
          <t xml:space="preserve">nov/26</t>
        </is>
      </c>
      <c r="Q368" s="29">
        <v>27.62</v>
      </c>
      <c r="R368" s="27" t="inlineStr">
        <is>
          <t xml:space="preserve">nov/26</t>
        </is>
      </c>
      <c r="S368" s="30">
        <v>12.53</v>
      </c>
      <c r="T368" s="27" t="inlineStr">
        <is>
          <t xml:space="preserve">nov/26</t>
        </is>
      </c>
      <c r="U368" s="30">
        <v>4.605</v>
      </c>
      <c r="V368" s="27" t="inlineStr">
        <is>
          <t xml:space="preserve">dez/26</t>
        </is>
      </c>
      <c r="W368" s="29">
        <v>347.3</v>
      </c>
      <c r="X368" s="27" t="inlineStr">
        <is>
          <t xml:space="preserve">dez/26</t>
        </is>
      </c>
      <c r="Y368" s="30">
        <v>0.6674</v>
      </c>
      <c r="Z368" s="27" t="inlineStr">
        <is>
          <t xml:space="preserve">dez/26</t>
        </is>
      </c>
      <c r="AA368" s="29">
        <v>404.32</v>
      </c>
      <c r="AB368" s="29">
        <v>125.98</v>
      </c>
      <c r="AC368" s="29">
        <v>381.06</v>
      </c>
      <c r="AD368" s="29">
        <v>376.79</v>
      </c>
      <c r="AE368" s="29">
        <v>373.39</v>
      </c>
      <c r="AF368" s="29">
        <v>371.87</v>
      </c>
      <c r="AG368" s="29">
        <v>365.46</v>
      </c>
      <c r="AH368" s="29">
        <v>365.6</v>
      </c>
      <c r="AI368" s="29">
        <v>362.02</v>
      </c>
      <c r="AJ368" s="29">
        <v>361.83</v>
      </c>
      <c r="AK368" s="29">
        <v>356.18</v>
      </c>
      <c r="AL368" s="29">
        <v>6.96</v>
      </c>
      <c r="AM368" s="29">
        <v>6.02</v>
      </c>
      <c r="AN368" s="29">
        <v>5.92</v>
      </c>
      <c r="AO368" s="29">
        <v>5.99</v>
      </c>
      <c r="AP368" s="29">
        <v>8.5</v>
      </c>
      <c r="AQ368" s="29">
        <v>124.16</v>
      </c>
      <c r="AR368" s="29">
        <v>136.13</v>
      </c>
      <c r="BH368" s="29">
        <v>1473.4</v>
      </c>
      <c r="BI368" s="29">
        <v>81.78</v>
      </c>
      <c r="BJ368" s="29">
        <v>353.48</v>
      </c>
      <c r="BK368" s="29">
        <v>346.87</v>
      </c>
      <c r="BL368" s="29">
        <v>312.47</v>
      </c>
      <c r="BM368" s="29">
        <v>315.47</v>
      </c>
      <c r="BN368" s="29">
        <v>289.37</v>
      </c>
      <c r="BO368" s="29">
        <v>277.1</v>
      </c>
      <c r="BP368" s="29">
        <v>291.67</v>
      </c>
      <c r="BQ368" s="29">
        <v>271.89</v>
      </c>
      <c r="BR368" s="29">
        <v>272.14</v>
      </c>
      <c r="BX368" s="29">
        <v>41.5</v>
      </c>
      <c r="BY368" s="29">
        <v>50.0</v>
      </c>
      <c r="BZ368" s="29">
        <v>50.0</v>
      </c>
      <c r="CA368" s="29">
        <v>41.6</v>
      </c>
      <c r="CB368" s="29">
        <v>44.0</v>
      </c>
      <c r="CC368" s="29">
        <v>40.8</v>
      </c>
      <c r="CD368" s="29">
        <v>27.43</v>
      </c>
      <c r="CE368" s="29">
        <v>31.73</v>
      </c>
      <c r="CF368" s="29">
        <v>278.0</v>
      </c>
      <c r="CG368" s="29">
        <v>1111.0</v>
      </c>
      <c r="CH368" s="29">
        <v>17.0</v>
      </c>
      <c r="CI368" s="29">
        <v>5582.0</v>
      </c>
      <c r="CJ368" s="27" t="inlineStr">
        <is>
          <t xml:space="preserve">dez/26</t>
        </is>
      </c>
    </row>
    <row r="369">
      <c r="A369" s="28">
        <v>46318</v>
      </c>
      <c r="B369" s="29">
        <v>1560.32</v>
      </c>
      <c r="C369" s="29">
        <v>3518.84</v>
      </c>
      <c r="D369" s="29">
        <v>8.27</v>
      </c>
      <c r="E369" s="29">
        <v>6.93</v>
      </c>
      <c r="F369" s="29">
        <v>1601.95</v>
      </c>
      <c r="G369" s="29">
        <v>936.73</v>
      </c>
      <c r="H369" s="29">
        <v>380.5</v>
      </c>
      <c r="I369" s="27" t="inlineStr">
        <is>
          <t xml:space="preserve">dez/26</t>
        </is>
      </c>
      <c r="J369" s="29">
        <v>205082.56</v>
      </c>
      <c r="K369" s="30">
        <v>4974.5</v>
      </c>
      <c r="L369" s="27" t="inlineStr">
        <is>
          <t xml:space="preserve">nov/26</t>
        </is>
      </c>
      <c r="M369" s="29">
        <v>392.45</v>
      </c>
      <c r="N369" s="27" t="inlineStr">
        <is>
          <t xml:space="preserve">nov/26</t>
        </is>
      </c>
      <c r="O369" s="29">
        <v>65.53</v>
      </c>
      <c r="P369" s="27" t="inlineStr">
        <is>
          <t xml:space="preserve">nov/26</t>
        </is>
      </c>
      <c r="Q369" s="29">
        <v>27.71</v>
      </c>
      <c r="R369" s="27" t="inlineStr">
        <is>
          <t xml:space="preserve">nov/26</t>
        </is>
      </c>
      <c r="S369" s="30">
        <v>12.565</v>
      </c>
      <c r="T369" s="27" t="inlineStr">
        <is>
          <t xml:space="preserve">nov/26</t>
        </is>
      </c>
      <c r="U369" s="30">
        <v>4.56</v>
      </c>
      <c r="V369" s="27" t="inlineStr">
        <is>
          <t xml:space="preserve">dez/26</t>
        </is>
      </c>
      <c r="W369" s="29">
        <v>346.1</v>
      </c>
      <c r="X369" s="27" t="inlineStr">
        <is>
          <t xml:space="preserve">dez/26</t>
        </is>
      </c>
      <c r="Y369" s="30">
        <v>0.6683</v>
      </c>
      <c r="Z369" s="27" t="inlineStr">
        <is>
          <t xml:space="preserve">dez/26</t>
        </is>
      </c>
      <c r="AA369" s="29">
        <v>404.71</v>
      </c>
      <c r="AB369" s="29">
        <v>125.44</v>
      </c>
      <c r="AC369" s="29">
        <v>382.42</v>
      </c>
      <c r="AD369" s="29">
        <v>377.44</v>
      </c>
      <c r="AE369" s="29">
        <v>374.96</v>
      </c>
      <c r="AF369" s="29">
        <v>372.02</v>
      </c>
      <c r="AG369" s="29">
        <v>365.9</v>
      </c>
      <c r="AH369" s="29">
        <v>368.0</v>
      </c>
      <c r="AI369" s="29">
        <v>364.66</v>
      </c>
      <c r="AJ369" s="29">
        <v>362.6</v>
      </c>
      <c r="AK369" s="29">
        <v>362.09</v>
      </c>
      <c r="AL369" s="29">
        <v>6.96</v>
      </c>
      <c r="AM369" s="29">
        <v>6.02</v>
      </c>
      <c r="AN369" s="29">
        <v>5.92</v>
      </c>
      <c r="AO369" s="29">
        <v>5.99</v>
      </c>
      <c r="AP369" s="29">
        <v>8.29</v>
      </c>
      <c r="AQ369" s="29">
        <v>121.08</v>
      </c>
      <c r="AR369" s="29">
        <v>132.98</v>
      </c>
      <c r="BC369" s="29">
        <v>9.42</v>
      </c>
      <c r="BD369" s="29">
        <v>9.24</v>
      </c>
      <c r="BE369" s="29">
        <v>10.05</v>
      </c>
      <c r="BF369" s="29">
        <v>8.72</v>
      </c>
      <c r="BG369" s="29">
        <v>9.31</v>
      </c>
      <c r="BH369" s="29">
        <v>1473.4</v>
      </c>
      <c r="BI369" s="29">
        <v>81.92</v>
      </c>
      <c r="BJ369" s="29">
        <v>353.48</v>
      </c>
      <c r="BK369" s="29">
        <v>350.95</v>
      </c>
      <c r="BL369" s="29">
        <v>313.05</v>
      </c>
      <c r="BM369" s="29">
        <v>316.67</v>
      </c>
      <c r="BN369" s="29">
        <v>288.31</v>
      </c>
      <c r="BO369" s="29">
        <v>281.92</v>
      </c>
      <c r="BP369" s="29">
        <v>298.75</v>
      </c>
      <c r="BQ369" s="29">
        <v>274.21</v>
      </c>
      <c r="BR369" s="29">
        <v>273.13</v>
      </c>
      <c r="BS369" s="30">
        <v>2.74</v>
      </c>
      <c r="BT369" s="30">
        <v>3.395</v>
      </c>
      <c r="BX369" s="29">
        <v>41.5</v>
      </c>
      <c r="BY369" s="29">
        <v>50.0</v>
      </c>
      <c r="BZ369" s="29">
        <v>50.0</v>
      </c>
      <c r="CA369" s="29">
        <v>41.6</v>
      </c>
      <c r="CB369" s="29">
        <v>44.0</v>
      </c>
      <c r="CC369" s="29">
        <v>40.8</v>
      </c>
      <c r="CD369" s="29">
        <v>27.65</v>
      </c>
      <c r="CE369" s="29">
        <v>32.02</v>
      </c>
      <c r="CF369" s="29">
        <v>272.0</v>
      </c>
      <c r="CG369" s="29">
        <v>1089.0</v>
      </c>
      <c r="CH369" s="29">
        <v>16.0</v>
      </c>
      <c r="CI369" s="29">
        <v>5592.0</v>
      </c>
      <c r="CJ369" s="27" t="inlineStr">
        <is>
          <t xml:space="preserve">dez/26</t>
        </is>
      </c>
    </row>
    <row r="370">
      <c r="A370" s="28">
        <v>46321</v>
      </c>
      <c r="B370" s="29">
        <v>1563.58</v>
      </c>
      <c r="C370" s="29">
        <v>3521.44</v>
      </c>
      <c r="D370" s="29">
        <v>8.27</v>
      </c>
      <c r="E370" s="29">
        <v>6.92</v>
      </c>
      <c r="F370" s="29">
        <v>1627.46</v>
      </c>
      <c r="G370" s="29">
        <v>954.64</v>
      </c>
      <c r="H370" s="29">
        <v>369.4</v>
      </c>
      <c r="I370" s="27" t="inlineStr">
        <is>
          <t xml:space="preserve">dez/26</t>
        </is>
      </c>
      <c r="J370" s="29">
        <v>176608.23</v>
      </c>
      <c r="K370" s="30">
        <v>5385.5</v>
      </c>
      <c r="L370" s="27" t="inlineStr">
        <is>
          <t xml:space="preserve">nov/26</t>
        </is>
      </c>
      <c r="M370" s="29">
        <v>397.0</v>
      </c>
      <c r="N370" s="27" t="inlineStr">
        <is>
          <t xml:space="preserve">nov/26</t>
        </is>
      </c>
      <c r="O370" s="29">
        <v>66.99</v>
      </c>
      <c r="P370" s="27" t="inlineStr">
        <is>
          <t xml:space="preserve">nov/26</t>
        </is>
      </c>
      <c r="Q370" s="29">
        <v>27.33</v>
      </c>
      <c r="R370" s="27" t="inlineStr">
        <is>
          <t xml:space="preserve">nov/26</t>
        </is>
      </c>
      <c r="S370" s="30">
        <v>12.4125</v>
      </c>
      <c r="T370" s="27" t="inlineStr">
        <is>
          <t xml:space="preserve">nov/26</t>
        </is>
      </c>
      <c r="U370" s="30">
        <v>4.55</v>
      </c>
      <c r="V370" s="27" t="inlineStr">
        <is>
          <t xml:space="preserve">dez/26</t>
        </is>
      </c>
      <c r="W370" s="29">
        <v>340.2</v>
      </c>
      <c r="X370" s="27" t="inlineStr">
        <is>
          <t xml:space="preserve">dez/26</t>
        </is>
      </c>
      <c r="Y370" s="30">
        <v>0.6701</v>
      </c>
      <c r="Z370" s="27" t="inlineStr">
        <is>
          <t xml:space="preserve">dez/26</t>
        </is>
      </c>
      <c r="AA370" s="29">
        <v>406.11</v>
      </c>
      <c r="AB370" s="29">
        <v>127.05</v>
      </c>
      <c r="AL370" s="29">
        <v>6.96</v>
      </c>
      <c r="AM370" s="29">
        <v>6.0</v>
      </c>
      <c r="AN370" s="29">
        <v>5.92</v>
      </c>
      <c r="AO370" s="29">
        <v>6.01</v>
      </c>
      <c r="AP370" s="29">
        <v>8.29</v>
      </c>
      <c r="AQ370" s="29">
        <v>121.55</v>
      </c>
      <c r="AR370" s="29">
        <v>132.98</v>
      </c>
      <c r="BH370" s="29">
        <v>1503.06</v>
      </c>
      <c r="BI370" s="29">
        <v>82.04</v>
      </c>
      <c r="BJ370" s="29">
        <v>353.48</v>
      </c>
      <c r="BK370" s="29">
        <v>351.61</v>
      </c>
      <c r="BL370" s="29">
        <v>313.44</v>
      </c>
      <c r="BM370" s="29">
        <v>317.68</v>
      </c>
      <c r="BN370" s="29">
        <v>290.52</v>
      </c>
      <c r="BO370" s="29">
        <v>281.59</v>
      </c>
      <c r="BP370" s="29">
        <v>297.5</v>
      </c>
      <c r="BQ370" s="29">
        <v>276.2</v>
      </c>
      <c r="BR370" s="29">
        <v>275.0</v>
      </c>
      <c r="BY370" s="29">
        <v>50.0</v>
      </c>
      <c r="BZ370" s="29">
        <v>50.5</v>
      </c>
      <c r="CA370" s="29">
        <v>42.4</v>
      </c>
      <c r="CB370" s="29">
        <v>44.0</v>
      </c>
      <c r="CC370" s="29">
        <v>40.8</v>
      </c>
      <c r="CD370" s="29">
        <v>27.65</v>
      </c>
      <c r="CE370" s="29">
        <v>32.31</v>
      </c>
      <c r="CF370" s="29">
        <v>293.0</v>
      </c>
      <c r="CG370" s="29">
        <v>1173.0</v>
      </c>
      <c r="CH370" s="29">
        <v>17.0</v>
      </c>
      <c r="CI370" s="29">
        <v>5490.0</v>
      </c>
      <c r="CJ370" s="27" t="inlineStr">
        <is>
          <t xml:space="preserve">dez/26</t>
        </is>
      </c>
    </row>
    <row r="371">
      <c r="A371" s="28">
        <v>46322</v>
      </c>
      <c r="B371" s="29">
        <v>1569.61</v>
      </c>
      <c r="C371" s="29">
        <v>3531.88</v>
      </c>
      <c r="D371" s="29">
        <v>8.24</v>
      </c>
      <c r="E371" s="29">
        <v>6.9</v>
      </c>
      <c r="F371" s="29">
        <v>1610.19</v>
      </c>
      <c r="G371" s="29">
        <v>967.97</v>
      </c>
      <c r="H371" s="29">
        <v>360.0</v>
      </c>
      <c r="I371" s="27" t="inlineStr">
        <is>
          <t xml:space="preserve">dez/26</t>
        </is>
      </c>
      <c r="J371" s="29">
        <v>175710.05</v>
      </c>
      <c r="K371" s="30">
        <v>5356.5</v>
      </c>
      <c r="L371" s="27" t="inlineStr">
        <is>
          <t xml:space="preserve">nov/26</t>
        </is>
      </c>
      <c r="M371" s="29">
        <v>401.55</v>
      </c>
      <c r="N371" s="27" t="inlineStr">
        <is>
          <t xml:space="preserve">nov/26</t>
        </is>
      </c>
      <c r="O371" s="29">
        <v>66.35</v>
      </c>
      <c r="P371" s="27" t="inlineStr">
        <is>
          <t xml:space="preserve">nov/26</t>
        </is>
      </c>
      <c r="Q371" s="29">
        <v>27.12</v>
      </c>
      <c r="R371" s="27" t="inlineStr">
        <is>
          <t xml:space="preserve">nov/26</t>
        </is>
      </c>
      <c r="S371" s="30">
        <v>12.2925</v>
      </c>
      <c r="T371" s="27" t="inlineStr">
        <is>
          <t xml:space="preserve">nov/26</t>
        </is>
      </c>
      <c r="U371" s="30">
        <v>4.4875</v>
      </c>
      <c r="V371" s="27" t="inlineStr">
        <is>
          <t xml:space="preserve">dez/26</t>
        </is>
      </c>
      <c r="W371" s="29">
        <v>334.6</v>
      </c>
      <c r="X371" s="27" t="inlineStr">
        <is>
          <t xml:space="preserve">dez/26</t>
        </is>
      </c>
      <c r="Y371" s="30">
        <v>0.6671</v>
      </c>
      <c r="Z371" s="27" t="inlineStr">
        <is>
          <t xml:space="preserve">dez/26</t>
        </is>
      </c>
      <c r="AA371" s="29">
        <v>408.6</v>
      </c>
      <c r="AB371" s="29">
        <v>128.74</v>
      </c>
      <c r="AC371" s="29">
        <v>386.12</v>
      </c>
      <c r="AD371" s="29">
        <v>379.13</v>
      </c>
      <c r="AE371" s="29">
        <v>373.13</v>
      </c>
      <c r="AF371" s="29">
        <v>373.12</v>
      </c>
      <c r="AG371" s="29">
        <v>366.6</v>
      </c>
      <c r="AH371" s="29">
        <v>369.92</v>
      </c>
      <c r="AI371" s="29">
        <v>367.11</v>
      </c>
      <c r="AJ371" s="29">
        <v>362.41</v>
      </c>
      <c r="AK371" s="29">
        <v>366.08</v>
      </c>
      <c r="AL371" s="29">
        <v>6.96</v>
      </c>
      <c r="AM371" s="29">
        <v>5.94</v>
      </c>
      <c r="AN371" s="29">
        <v>5.92</v>
      </c>
      <c r="AO371" s="29">
        <v>6.0</v>
      </c>
      <c r="AP371" s="29">
        <v>8.26</v>
      </c>
      <c r="AQ371" s="29">
        <v>121.02</v>
      </c>
      <c r="AR371" s="29">
        <v>132.81</v>
      </c>
      <c r="BH371" s="29">
        <v>1499.49</v>
      </c>
      <c r="BI371" s="29">
        <v>82.28</v>
      </c>
      <c r="BJ371" s="29">
        <v>353.47</v>
      </c>
      <c r="BK371" s="29">
        <v>346.15</v>
      </c>
      <c r="BL371" s="29">
        <v>313.64</v>
      </c>
      <c r="BM371" s="29">
        <v>319.83</v>
      </c>
      <c r="BN371" s="29">
        <v>290.28</v>
      </c>
      <c r="BO371" s="29">
        <v>285.21</v>
      </c>
      <c r="BP371" s="29">
        <v>296.58</v>
      </c>
      <c r="BQ371" s="29">
        <v>281.01</v>
      </c>
      <c r="BR371" s="29">
        <v>283.57</v>
      </c>
      <c r="BX371" s="29">
        <v>41.5</v>
      </c>
      <c r="BY371" s="29">
        <v>50.0</v>
      </c>
      <c r="BZ371" s="29">
        <v>50.5</v>
      </c>
      <c r="CA371" s="29">
        <v>42.4</v>
      </c>
      <c r="CB371" s="29">
        <v>44.0</v>
      </c>
      <c r="CC371" s="29">
        <v>40.8</v>
      </c>
      <c r="CD371" s="29">
        <v>26.96</v>
      </c>
      <c r="CE371" s="29">
        <v>31.47</v>
      </c>
      <c r="CF371" s="29">
        <v>293.0</v>
      </c>
      <c r="CG371" s="29">
        <v>1173.0</v>
      </c>
      <c r="CH371" s="29">
        <v>17.0</v>
      </c>
      <c r="CI371" s="29">
        <v>5577.0</v>
      </c>
      <c r="CJ371" s="27" t="inlineStr">
        <is>
          <t xml:space="preserve">dez/26</t>
        </is>
      </c>
    </row>
    <row r="372">
      <c r="A372" s="28">
        <v>46323</v>
      </c>
      <c r="B372" s="29">
        <v>1571.3</v>
      </c>
      <c r="C372" s="29">
        <v>3533.54</v>
      </c>
      <c r="D372" s="29">
        <v>8.24</v>
      </c>
      <c r="E372" s="29">
        <v>6.9</v>
      </c>
      <c r="F372" s="29">
        <v>1593.89</v>
      </c>
      <c r="G372" s="29">
        <v>960.1</v>
      </c>
      <c r="H372" s="29">
        <v>355.0</v>
      </c>
      <c r="I372" s="27" t="inlineStr">
        <is>
          <t xml:space="preserve">dez/26</t>
        </is>
      </c>
      <c r="J372" s="29">
        <v>171006.1</v>
      </c>
      <c r="K372" s="30">
        <v>5349.0</v>
      </c>
      <c r="L372" s="27" t="inlineStr">
        <is>
          <t xml:space="preserve">nov/26</t>
        </is>
      </c>
      <c r="M372" s="29">
        <v>405.6</v>
      </c>
      <c r="N372" s="27" t="inlineStr">
        <is>
          <t xml:space="preserve">nov/26</t>
        </is>
      </c>
      <c r="O372" s="29">
        <v>66.8</v>
      </c>
      <c r="P372" s="27" t="inlineStr">
        <is>
          <t xml:space="preserve">nov/26</t>
        </is>
      </c>
      <c r="Q372" s="29">
        <v>26.98</v>
      </c>
      <c r="R372" s="27" t="inlineStr">
        <is>
          <t xml:space="preserve">nov/26</t>
        </is>
      </c>
      <c r="S372" s="30">
        <v>12.245</v>
      </c>
      <c r="T372" s="27" t="inlineStr">
        <is>
          <t xml:space="preserve">nov/26</t>
        </is>
      </c>
      <c r="U372" s="30">
        <v>4.5175</v>
      </c>
      <c r="V372" s="27" t="inlineStr">
        <is>
          <t xml:space="preserve">dez/26</t>
        </is>
      </c>
      <c r="W372" s="29">
        <v>335.7</v>
      </c>
      <c r="X372" s="27" t="inlineStr">
        <is>
          <t xml:space="preserve">dez/26</t>
        </is>
      </c>
      <c r="Y372" s="30">
        <v>0.6556</v>
      </c>
      <c r="Z372" s="27" t="inlineStr">
        <is>
          <t xml:space="preserve">dez/26</t>
        </is>
      </c>
      <c r="AA372" s="29">
        <v>411.34</v>
      </c>
      <c r="AB372" s="29">
        <v>128.74</v>
      </c>
      <c r="AC372" s="29">
        <v>388.88</v>
      </c>
      <c r="AD372" s="29">
        <v>379.67</v>
      </c>
      <c r="AE372" s="29">
        <v>376.55</v>
      </c>
      <c r="AF372" s="29">
        <v>373.08</v>
      </c>
      <c r="AG372" s="29">
        <v>368.83</v>
      </c>
      <c r="AH372" s="29">
        <v>368.11</v>
      </c>
      <c r="AI372" s="29">
        <v>366.03</v>
      </c>
      <c r="AJ372" s="29">
        <v>363.41</v>
      </c>
      <c r="AK372" s="29">
        <v>360.0</v>
      </c>
      <c r="AL372" s="29">
        <v>6.96</v>
      </c>
      <c r="AM372" s="29">
        <v>5.86</v>
      </c>
      <c r="AN372" s="29">
        <v>5.91</v>
      </c>
      <c r="AO372" s="29">
        <v>5.99</v>
      </c>
      <c r="AP372" s="29">
        <v>8.26</v>
      </c>
      <c r="AQ372" s="29">
        <v>121.02</v>
      </c>
      <c r="AR372" s="29">
        <v>132.81</v>
      </c>
      <c r="BH372" s="29">
        <v>1500.74</v>
      </c>
      <c r="BI372" s="29">
        <v>82.13</v>
      </c>
      <c r="BJ372" s="29">
        <v>354.06</v>
      </c>
      <c r="BK372" s="29">
        <v>345.18</v>
      </c>
      <c r="BL372" s="29">
        <v>311.64</v>
      </c>
      <c r="BM372" s="29">
        <v>317.61</v>
      </c>
      <c r="BN372" s="29">
        <v>292.81</v>
      </c>
      <c r="BO372" s="29">
        <v>286.32</v>
      </c>
      <c r="BP372" s="29">
        <v>294.08</v>
      </c>
      <c r="BQ372" s="29">
        <v>281.52</v>
      </c>
      <c r="BR372" s="29">
        <v>288.13</v>
      </c>
      <c r="BX372" s="29">
        <v>42.5</v>
      </c>
      <c r="BY372" s="29">
        <v>50.0</v>
      </c>
      <c r="BZ372" s="29">
        <v>50.5</v>
      </c>
      <c r="CA372" s="29">
        <v>42.4</v>
      </c>
      <c r="CB372" s="29">
        <v>44.0</v>
      </c>
      <c r="CC372" s="29">
        <v>40.8</v>
      </c>
      <c r="CD372" s="29">
        <v>26.96</v>
      </c>
      <c r="CE372" s="29">
        <v>32.14</v>
      </c>
      <c r="CF372" s="29">
        <v>294.0</v>
      </c>
      <c r="CG372" s="29">
        <v>1176.0</v>
      </c>
      <c r="CH372" s="29">
        <v>17.0</v>
      </c>
      <c r="CI372" s="29">
        <v>5456.0</v>
      </c>
      <c r="CJ372" s="27" t="inlineStr">
        <is>
          <t xml:space="preserve">dez/26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Informativo</vt:lpstr>
      <vt:lpstr>Histórico</vt:lpstr>
      <vt:lpstr>Fontes e guia</vt:lpstr>
      <vt:lpstr>Séries</vt:lpstr>
      <vt:lpstr>Novas cotações</vt:lpstr>
      <vt:lpstr>Informativo!Area_de_impressao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Fabricio Silva</cp:lastModifiedBy>
  <dcterms:modified xsi:type="dcterms:W3CDTF">2026-10-09T13:43:56Z</dcterms:modified>
</cp:coreProperties>
</file>